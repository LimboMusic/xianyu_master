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资源"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0" customWidth="1"/>
    <col min="8" max="8" width="19" customWidth="1"/>
    <col min="9" max="9" width="19" customWidth="1"/>
    <col min="10" max="10" width="19" customWidth="1"/>
    <col min="11" max="11" width="19" customWidth="1"/>
    <col min="12" max="12" width="0" customWidth="1"/>
  </cols>
  <sheetData>
    <row r="1" ht="13" customHeight="1">
      <c r="A1" s="1" t="inlineStr">
        <is>
          <t>名称</t>
        </is>
      </c>
      <c r="B1" s="1" t="inlineStr">
        <is>
          <t>编码</t>
        </is>
      </c>
      <c r="C1" s="1" t="inlineStr">
        <is>
          <t>发货内容</t>
        </is>
      </c>
      <c r="D1" s="1" t="inlineStr">
        <is>
          <t>已经定时发布</t>
        </is>
      </c>
      <c r="E1" s="1" t="inlineStr">
        <is>
          <t>标题</t>
        </is>
      </c>
      <c r="F1" s="1" t="inlineStr">
        <is>
          <t>图片</t>
        </is>
      </c>
      <c r="G1" s="1" t="inlineStr">
        <is>
          <t>图片路径（影刀）</t>
        </is>
      </c>
      <c r="H1" s="1" t="inlineStr">
        <is>
          <t>链接网址</t>
        </is>
      </c>
      <c r="I1" s="1" t="inlineStr">
        <is>
          <t>id</t>
        </is>
      </c>
      <c r="J1" s="1" t="inlineStr">
        <is>
          <t>是否出单</t>
        </is>
      </c>
      <c r="K1" s="1" t="inlineStr">
        <is>
          <t>完成转存</t>
        </is>
      </c>
      <c r="L1" s="1" t="inlineStr">
        <is>
          <t>豆瓣搜索</t>
        </is>
      </c>
    </row>
    <row r="2" ht="25.5" customHeight="1">
      <c r="A2" t="inlineStr">
        <is>
          <t>【赠品】</t>
        </is>
      </c>
      <c r="B2">
        <v>1</v>
      </c>
      <c r="C2" t="inlineStr">
        <is>
          <t>赠送：
1、生活、职场、饭局等【人情世故】实用指南
【超级会员V1】通过百度网盘分享的文件：赠送2-【人情世…
链接:https://pan.baidu.com/s/1Swf2RL5wsYYbuVBk_2pJnA 
提取码:chq4
复制这段内容打开「百度网盘APP 即可获取」
2、网易云破J版
夸克：我用夸克网盘给你分享了「【赠】网易云破解...防失效）」，点击链接或复制整段内容，打开「夸克APP」即可获取。
动作瑷洺晨风凌多好
/~9e9039vF8x~:/
链接：https://pan.quark.cn/s/c70f8c62dd13
3. ai指令大全
【超级会员V1】通过百度网盘分享的文件：92-ai指令价…
链接:https://pan.baidu.com/s/1703Y2tXOzVFCXlWrSJDs0w 
提取码:6d92
复制这段内容打开「百度网盘APP 即可获取」
4. abobe软件
浏览器不限速链接:https://ai.feishu.cn/（去掉我）record/B04OrPsuLebCCFczwTocZf87nTh(一定转存后下载）
 通过网盘分享的文件：ai(一定要转存后下载，以免文件损坏）
链接: https://pan.baidu.com/s/1SDrrIVNp5Rn1rCbIu89SpA 提取码: 52d8 (一定手机转存自己网盘后下载，以免文件丢失)</t>
        </is>
      </c>
      <c r="D2" t="inlineStr">
        <is>
          <t>是</t>
        </is>
      </c>
      <c r="E2"/>
      <c r="F2" s="2"/>
      <c r="G2"/>
      <c r="H2" s="2" t="str">
        <f>=HYPERLINK("http://1", "1")</f>
        <v>1</v>
      </c>
      <c r="I2"/>
      <c r="J2"/>
      <c r="K2"/>
      <c r="L2" t="inlineStr">
        <is>
          <t>【赠品】</t>
        </is>
      </c>
    </row>
    <row r="3" ht="25.5" customHeight="1">
      <c r="A3" t="inlineStr">
        <is>
          <t>个人简历ppt模板</t>
        </is>
      </c>
      <c r="B3">
        <v>10</v>
      </c>
      <c r="C3" t="inlineStr">
        <is>
          <t>链接【请复制链接到百度网盘打开，然后即可保存和下载。不要直接点！不要直接点！不要直接点！】：https://pan.baidu.com/s/1Tdg_gxJDnCUyqn6sM09tsA?pwd=5678
提取码:5678
  永久链接  持续更新中
收货好平 再送一款哦，祝您生活愉快~</t>
        </is>
      </c>
      <c r="D3" t="inlineStr">
        <is>
          <t>是</t>
        </is>
      </c>
      <c r="E3" t="inlineStr">
        <is>
          <t>个人简历ppt模板自我介绍工作岗位竞聘竞选应聘求职转正述职演讲
⭐️无需解压，打开即可编辑
⭐️每套风格都是我精心挑选出来的。
⭐️每个风格都有单独归类文档编号跟预览，方便查找！
⭐️标价就是售价，直接拍 拍下秒发☁️盘
此套全员高级！一步到位~
全部精品！没有一个滥竽充数的模板！
喜欢的亲们，不用问在不在，直接拍。</t>
        </is>
      </c>
      <c r="F3" s="2"/>
      <c r="G3"/>
      <c r="H3" s="2"/>
      <c r="I3"/>
      <c r="J3"/>
      <c r="K3"/>
      <c r="L3"/>
    </row>
    <row r="4" ht="25.5" customHeight="1">
      <c r="A4" t="inlineStr">
        <is>
          <t>科研PPT模板</t>
        </is>
      </c>
      <c r="B4">
        <v>11</v>
      </c>
      <c r="C4" t="inlineStr">
        <is>
          <t>通过网盘分享的文件：A047-科研学术汇报文献汇报PPT 链接: https://pan.baidu.com/s/1i3YBzMmKEwO_-PRuBsgmEQ?pwd=i6cy 提取码: i6cy 手机使用：复制整段话到百度网盘自动提取 电脑使用：复制上面发您的链接在浏览器地址栏 好-平，可任选店里一个宝贝免费送哦！</t>
        </is>
      </c>
      <c r="D4" t="inlineStr">
        <is>
          <t>是</t>
        </is>
      </c>
      <c r="E4" t="inlineStr">
        <is>
          <t>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4" s="2"/>
      <c r="G4"/>
      <c r="H4" s="2"/>
      <c r="I4"/>
      <c r="J4"/>
      <c r="K4"/>
      <c r="L4"/>
    </row>
    <row r="5" ht="25.5" customHeight="1">
      <c r="A5" t="inlineStr">
        <is>
          <t>【秒发】英语课堂游戏ppt</t>
        </is>
      </c>
      <c r="B5">
        <v>12</v>
      </c>
      <c r="C5" t="inlineStr">
        <is>
          <t>这是您要的资料：
【超级会员V3】通过百度网盘分享的文件：英语课堂游戏PP…
链接:https://pan.baidu.com/s/1cp-X8sDmFl6Q4DajLCa81w?pwd=jh35 
提取码:jh35
复制这段内容打开「百度网盘APP 即可获取」</t>
        </is>
      </c>
      <c r="D5" t="inlineStr">
        <is>
          <t>是</t>
        </is>
      </c>
      <c r="E5" t="inlineStr">
        <is>
          <t>【秒发】英语课堂游戏ppt教具趣味教学互动教师公开课单词造句小游戏课件
4000款学英语游戏PPT
拿来就用/可修改/可编辑
销量前三我都买了
标价就是售价
24小时自动发货
拍下即发货
下单后自动秒发货到聊天窗口
如果没有收到链接或链接失效
请联系人工客服
客服在线时间晚10:00点
#发布技能来赚钱 #学习资料教材</t>
        </is>
      </c>
      <c r="F5" s="2" t="str">
        <f>=HYPERLINK("http://img.alicdn.com/bao/uploaded/i4/O1CN015ph24l1LvqS14RntA_!!4611686018427381938-53-fleamarket.heic_790x10000Q90.jpg_.webp", "img.alicdn.com/bao/uploaded/i4/O1CN015ph24l1LvqS14RntA_!!4611686018427381938-53-fleamarket.heic_790x10000Q90.jpg_.webp")</f>
        <v>img.alicdn.com/bao/uploaded/i4/O1CN015ph24l1LvqS14RntA_!!4611686018427381938-53-fleamarket.heic_790x10000Q90.jpg_.webp</v>
      </c>
      <c r="G5"/>
      <c r="H5" s="2"/>
      <c r="I5"/>
      <c r="J5"/>
      <c r="K5"/>
      <c r="L5"/>
    </row>
    <row r="6" ht="25.5" customHeight="1">
      <c r="A6" t="inlineStr">
        <is>
          <t>ppt模板高级感简约商务</t>
        </is>
      </c>
      <c r="B6">
        <v>13</v>
      </c>
      <c r="C6" t="inlineStr">
        <is>
          <t>通过网盘分享的文件：SS100-9999PPT
链接: https://pan.baidu.com/s/1Q5wU5DtRlub8SWKujZmtVA?pwd=frqh 提取码: frqh 
手机使用：复制整段话到百度网盘自动提取
电脑使用：复制上面发您的链接在浏览器地址栏</t>
        </is>
      </c>
      <c r="D6" t="inlineStr">
        <is>
          <t>是</t>
        </is>
      </c>
      <c r="E6" t="inlineStr">
        <is>
          <t>ppt模板高级感简约商务毕业答辩教师课件工作汇报总结动态模版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6" s="2" t="str">
        <f>=HYPERLINK("http://img.alicdn.com/bao/uploaded/i2/O1CN01EM2dUg1dZ5wnvSFdA_!!4611686018427387605-0-fleamarket.jpg_790x10000Q90.jpg_.webp", "img.alicdn.com/bao/uploaded/i2/O1CN01EM2dUg1dZ5wnvSFdA_!!4611686018427387605-0-fleamarket.jpg_790x10000Q90.jpg_.webp")</f>
        <v>img.alicdn.com/bao/uploaded/i2/O1CN01EM2dUg1dZ5wnvSFdA_!!4611686018427387605-0-fleamarket.jpg_790x10000Q90.jpg_.webp</v>
      </c>
      <c r="G6"/>
      <c r="H6" s="2"/>
      <c r="I6"/>
      <c r="J6"/>
      <c r="K6"/>
      <c r="L6"/>
    </row>
    <row r="7" ht="25.5" customHeight="1">
      <c r="A7" t="inlineStr">
        <is>
          <t>500页创意图文PPT模板，一键换图超实用</t>
        </is>
      </c>
      <c r="B7">
        <v>14</v>
      </c>
      <c r="C7" t="inlineStr">
        <is>
          <t>通过网盘分享的文件：B107-最新500页全动画PPT模板
链接: https://pan.baidu.com/s/1JFXEgeQoQwF29nujKz-h1Q 提取码: 9999 
--来自百度网盘超级会员v3的分享</t>
        </is>
      </c>
      <c r="D7" t="inlineStr">
        <is>
          <t>是</t>
        </is>
      </c>
      <c r="E7" t="inlineStr">
        <is>
          <t>500页创意图文PPT模板，一键换图超实用！适合工作汇报、项目报告、策划方案等场景。包含多图排版、截图展示、人物介绍等多种模板，100%可编辑，用更少时间做出更高级的图文页面。标价就是卖价，24小时自动发货，网盘链接永久有效。
百度网盘发货
免责声明:
1.本店均通过网络等渠道合法获得，仅作为阅读交流使用，无任何商业目的。
2.本店商品价格是网盘储存费用和人工整理资料费用，并非资料本身价格。
3.本店为广大朋友提供音频视频资料学习，特此声明，版权归原作者所有，如有侵权请联系客服删除，谢谢!
B107</t>
        </is>
      </c>
      <c r="F7" s="2" t="str">
        <f>=HYPERLINK("http://img.alicdn.com/bao/uploaded/i4/O1CN01HmIEXn2KMIL44jL6E_!!4611686018427383542-53-fleamarket.heic_790x10000Q90.jpg_.webp", "img.alicdn.com/bao/uploaded/i4/O1CN01HmIEXn2KMIL44jL6E_!!4611686018427383542-53-fleamarket.heic_790x10000Q90.jpg_.webp")</f>
        <v>img.alicdn.com/bao/uploaded/i4/O1CN01HmIEXn2KMIL44jL6E_!!4611686018427383542-53-fleamarket.heic_790x10000Q90.jpg_.webp</v>
      </c>
      <c r="G7"/>
      <c r="H7" s="2"/>
      <c r="I7"/>
      <c r="J7"/>
      <c r="K7"/>
      <c r="L7"/>
    </row>
    <row r="8" ht="25.5" customHeight="1">
      <c r="A8" t="inlineStr">
        <is>
          <t>【速发】999+套经典正红主题PPT模板</t>
        </is>
      </c>
      <c r="B8">
        <v>15</v>
      </c>
      <c r="C8" t="inlineStr">
        <is>
          <t>----
您好，感谢光临小店
以下是发货内容：
「888红色主题-...以免丢失」，复制整段内容，打开最新版「夸克APP」即可获取。
畅享原画，免费5倍速播放，支持AI字幕和投屏，更有网盘TV版。
筷莱茳鹙违张夜夺郝
/~1fbf36mfkJ~:/
链接：https://pan.quark.cn/s/848cc93e47ca
通过网盘分享的文件：888红色主题-先转存在提取以免丢失
链接: https://pan.baidu.com/s/1WfkSXsMzi2z3-OGRLDcttw?pwd=6666 提取码: 6666 
--来自百度网盘超级会员v3的分享
----</t>
        </is>
      </c>
      <c r="D8" t="inlineStr">
        <is>
          <t>是</t>
        </is>
      </c>
      <c r="E8" t="inlineStr">
        <is>
          <t>【速发】999+套经典正红主题PPT模板 高端商务课件 工作总结汇报 简约大气套装
——★24小时自动发货★——
[精选分类]专题学习｜历史教育｜会议精神｜年度总结｜主题会议｜政策解读｜周年纪念｜团队建设｜职业道德｜行业发展｜传统文化｜精神传承｜纪律规范...
[亮点]主题全覆盖，即下载即使用！
【适用场景】
职场汇报｜年度总结｜市场研究｜毕业答辩｜教学课件｜学术竞赛｜高校应用｜教师教研｜创新创业｜项目展示｜
品牌推广｜新品发布｜人才招聘｜员工培训｜商业提案｜工程技术｜时尚产业｜建筑地产｜家居设计｜健康产业｜媒体传播｜餐饮文旅｜招生宣传｜庆典活动｜服务行业｜东方美学｜极简扁平｜机构应用
[核心优势]
• 百款模板一键打包，行业超高性价比
• 专业设计团队出品，品质保障
• 智能分类管理，标签清晰易查找
• 可自定义修改，高效省时</t>
        </is>
      </c>
      <c r="F8" s="2" t="str">
        <f>=HYPERLINK("http://img.alicdn.com/bao/uploaded/i4/O1CN01ooS73v2LM7moIUBKC_!!4611686018427383533-0-fleamarket.jpg_790x10000Q90.jpg_.webp", "img.alicdn.com/bao/uploaded/i4/O1CN01ooS73v2LM7moIUBKC_!!4611686018427383533-0-fleamarket.jpg_790x10000Q90.jpg_.webp")</f>
        <v>img.alicdn.com/bao/uploaded/i4/O1CN01ooS73v2LM7moIUBKC_!!4611686018427383533-0-fleamarket.jpg_790x10000Q90.jpg_.webp</v>
      </c>
      <c r="G8"/>
      <c r="H8" s="2"/>
      <c r="I8"/>
      <c r="J8"/>
      <c r="K8"/>
      <c r="L8"/>
    </row>
    <row r="9" ht="25.5" customHeight="1">
      <c r="A9" t="inlineStr">
        <is>
          <t>少儿创意美术PPT课件600个＋</t>
        </is>
      </c>
      <c r="B9">
        <v>16</v>
      </c>
      <c r="C9" t="inlineStr">
        <is>
          <t>~~~~~
您好！感谢光临本店，这是您的订单
以下为订单内容，请注意查收：
【超级会员V2】通过百度网盘分享的文件：少儿创意美术60...
链接：https://pan.baidu.com/s/12v46UsJtBQM4Dy4TlLaXZQ 
提取码：8877 
复制这段内容打开「百度网盘APP 即可获取」
记得再来哦！！
~~~~~</t>
        </is>
      </c>
      <c r="D9" t="inlineStr">
        <is>
          <t>是</t>
        </is>
      </c>
      <c r="E9" t="inlineStr">
        <is>
          <t>少儿创意美术PPT课件600个＋，适合3-16岁，中小大班通用。不用问在不在，1元即可拥有600个ppt，需要直接拍下！
内容丰富，包括步骤和范画，适合美术社团、线上自学、兴趣班等。图片精美，范画详尽，省心省力，让教学更轻松。
已开通24小时自动发货，需要的朋友直接拍下。质量信得过，适合美术教培机构。发的是网盘链接，永不失效，售出不退。
所有文件均来自网络公开渠道，仅供学习交流使用，版权归版权人所有。如有版权问题，请联系小店删除。
欢迎有兴趣的朋友点击“我想要”！</t>
        </is>
      </c>
      <c r="F9" s="2" t="str">
        <f>=HYPERLINK("http://img.alicdn.com/bao/uploaded/i3/O1CN01ehY5p822M96bIzjRX_!!4611686018427385297-53-fleamarket.heic_790x10000Q90.jpg_.webp", "img.alicdn.com/bao/uploaded/i3/O1CN01ehY5p822M96bIzjRX_!!4611686018427385297-53-fleamarket.heic_790x10000Q90.jpg_.webp")</f>
        <v>img.alicdn.com/bao/uploaded/i3/O1CN01ehY5p822M96bIzjRX_!!4611686018427385297-53-fleamarket.heic_790x10000Q90.jpg_.webp</v>
      </c>
      <c r="G9"/>
      <c r="H9" s="2"/>
      <c r="I9"/>
      <c r="J9"/>
      <c r="K9"/>
      <c r="L9"/>
    </row>
    <row r="10" ht="25.5" customHeight="1">
      <c r="A10" t="inlineStr">
        <is>
          <t>ai指令</t>
        </is>
      </c>
      <c r="B10">
        <v>18</v>
      </c>
      <c r="C10" t="inlineStr">
        <is>
          <t>【超级会员V1】通过百度网盘分享的文件：92-ai指令价…
链接:https://pan.baidu.com/s/1703Y2tXOzVFCXlWrSJDs0w 
提取码:6d92
复制这段内容打开「百度网盘APP 即可获取」</t>
        </is>
      </c>
      <c r="D10" t="inlineStr">
        <is>
          <t>是</t>
        </is>
      </c>
      <c r="E10" t="inlineStr">
        <is>
          <t>ai指令</t>
        </is>
      </c>
      <c r="F10" s="2"/>
      <c r="G10"/>
      <c r="H10" s="2"/>
      <c r="I10"/>
      <c r="J10"/>
      <c r="K10"/>
      <c r="L10"/>
    </row>
    <row r="11" ht="25.5" customHeight="1">
      <c r="A11" t="inlineStr">
        <is>
          <t>adobe软件</t>
        </is>
      </c>
      <c r="B11">
        <v>19</v>
      </c>
      <c r="C11" t="inlineStr">
        <is>
          <t>浏览器不限速链接:https://ai.feishu.cn/（去掉我）record/B04OrPsuLebCCFczwTocZf87nTh(一定转存后下载）
 通过网盘分享的文件：ai(一定要转存后下载，以免文件损坏）
链接: https://pan.baidu.com/s/1SDrrIVNp5Rn1rCbIu89SpA 提取码: 52d8 (一定手机转存自己网盘后下载，以免文件丢失)
安装教程以及问题解决：https://www.yuque.com/xiaogaifenxiang/eerhzc/wfs9flxo0dgkgy1w?singleDoc#
（网盘复制链接即可，不要全部复制）</t>
        </is>
      </c>
      <c r="D11" t="inlineStr">
        <is>
          <t>是</t>
        </is>
      </c>
      <c r="E11" t="inlineStr">
        <is>
          <t>adobe软件</t>
        </is>
      </c>
      <c r="F11" s="2"/>
      <c r="G11"/>
      <c r="H11" s="2"/>
      <c r="I11"/>
      <c r="J11"/>
      <c r="K11"/>
      <c r="L11"/>
    </row>
    <row r="12" ht="25.5" customHeight="1">
      <c r="A12" t="inlineStr">
        <is>
          <t>即梦会员</t>
        </is>
      </c>
      <c r="B12">
        <v>20</v>
      </c>
      <c r="C12" t="inlineStr">
        <is>
          <t>【既梦】最新版资源
----------------------------------------
夸克网盘链接：https://pan.quark.cn/s/957aaeb9c4f7
【先保存到网盘，再下载查看，终身包更新！！】
----------------------------------------
使用教程：复制以上链接打开跨克或浏览器即可查看
注意：虚拟商品发货后不支持退款！！！</t>
        </is>
      </c>
      <c r="D12" t="inlineStr">
        <is>
          <t>是</t>
        </is>
      </c>
      <c r="E12" t="inlineStr">
        <is>
          <t>即梦会员</t>
        </is>
      </c>
      <c r="F12" s="2"/>
      <c r="G12"/>
      <c r="H12" s="2"/>
      <c r="I12"/>
      <c r="J12"/>
      <c r="K12"/>
      <c r="L12"/>
    </row>
    <row r="13" ht="25.5" customHeight="1">
      <c r="A13" t="inlineStr">
        <is>
          <t>【秒发】个人简历PPT模板简</t>
        </is>
      </c>
      <c r="B13">
        <v>21</v>
      </c>
      <c r="C13" t="inlineStr">
        <is>
          <t>G 个人简历PPT模板简约大学生自我介绍工作求职面试岗位竞聘晋升ppt
链接: https://pan.baidu.com/s/1zov9tXPjLlk1Rm1eHpIXOQ?pwd=5555 提取码: 5555</t>
        </is>
      </c>
      <c r="D13" t="inlineStr">
        <is>
          <t>是</t>
        </is>
      </c>
      <c r="E13" t="inlineStr">
        <is>
          <t>【秒发】个人简历PPT模板简约大学生自我介绍工作求职面试岗位竞聘晋升ppt
自动发货，基本24小时都可以秒发，需要直接拍，发白度网盘链接</t>
        </is>
      </c>
      <c r="F13" s="2" t="str">
        <f>=HYPERLINK("http://img.alicdn.com/bao/uploaded/i4/O1CN01DURtu11oLJiyhmkBB_!!4611686018427383640-53-fleamarket.heic_790x10000Q90.jpg_.webp", "img.alicdn.com/bao/uploaded/i4/O1CN01DURtu11oLJiyhmkBB_!!4611686018427383640-53-fleamarket.heic_790x10000Q90.jpg_.webp")</f>
        <v>img.alicdn.com/bao/uploaded/i4/O1CN01DURtu11oLJiyhmkBB_!!4611686018427383640-53-fleamarket.heic_790x10000Q90.jpg_.webp</v>
      </c>
      <c r="G13"/>
      <c r="H13" s="2"/>
      <c r="I13"/>
      <c r="J13"/>
      <c r="K13"/>
      <c r="L13"/>
    </row>
    <row r="14" ht="25.5" customHeight="1">
      <c r="A14" t="inlineStr">
        <is>
          <t>ai模板科研绘图素材</t>
        </is>
      </c>
      <c r="B14">
        <v>30</v>
      </c>
      <c r="C14" t="inlineStr">
        <is>
          <t>~~~~~
您好！感谢光临本店，这是您的订单以下为订单内容，请注意查收：
素材提取链接：
链接: https://pan.baidu.com/s/10Mvts9BU6FAUVOxNqPCmIw?pwd=8888 提取码: 8888</t>
        </is>
      </c>
      <c r="D14" t="inlineStr">
        <is>
          <t>是</t>
        </is>
      </c>
      <c r="E14" t="inlineStr">
        <is>
          <t>ai模板科研绘图素材ppt医学插画器官细胞流程图片png生物作图资料
[钉子]资料拍下发佰度盘
[火]资料都是我自己工作期间，一个一个收集整理的，分类清晰，内容丰富，非常适合参考学习；
-----★24小时自动发货，直接拍秒发★-----
[1]这些资料，能让你的工作更方便，帮你提高工作效率，节省时间和精力！
[2]东西不贵，算是整理资料的一点点辛苦费，需要的朋友可以直接下单，大部分产品是秒发货！
遇到困难很需要这份资料可以随时联系我</t>
        </is>
      </c>
      <c r="F14" s="2" t="str">
        <f>=HYPERLINK("http://img.alicdn.com/bao/uploaded/i1/O1CN01OT8h9p1P2Co2yKhm7_!!4611686018427379974-0-fleamarket.jpg_790x10000Q90.jpg_.webp", "img.alicdn.com/bao/uploaded/i1/O1CN01OT8h9p1P2Co2yKhm7_!!4611686018427379974-0-fleamarket.jpg_790x10000Q90.jpg_.webp")</f>
        <v>img.alicdn.com/bao/uploaded/i1/O1CN01OT8h9p1P2Co2yKhm7_!!4611686018427379974-0-fleamarket.jpg_790x10000Q90.jpg_.webp</v>
      </c>
      <c r="G14"/>
      <c r="H14" s="2"/>
      <c r="I14"/>
      <c r="J14"/>
      <c r="K14"/>
      <c r="L14"/>
    </row>
    <row r="15" ht="25.5" customHeight="1">
      <c r="A15" t="inlineStr">
        <is>
          <t>家装室内设计软装</t>
        </is>
      </c>
      <c r="B15">
        <v>31</v>
      </c>
      <c r="C15" t="inlineStr">
        <is>
          <t>链接：https://pan.baidu.com/s/1KKcjynRfSBqeZaYHegDZCA?pwd=xvxr 提取码：xvxr
复制这段内容后打开百度网盘手机App，操作更方便哦
免解压版：
链接：https://pan.baidu.com/s/12jvCN0F06vBA6swwme8ZBQ?pwd=1kym 
提取码：1kym</t>
        </is>
      </c>
      <c r="D15" t="inlineStr">
        <is>
          <t>是</t>
        </is>
      </c>
      <c r="E15" t="inlineStr">
        <is>
          <t>家装室内设计软装ppt模板310套素材！！！！！动态装修家居现代北欧轻奢方案素材
不要问有没有，能看到就有，直接拍下就可以！拍了自动发货的！直接下单就行
产品介绍：
310套PPT
大小大约8个G
各种风格都有
拍下发网盘链接 ！！
点赞并且收藏一下，防止以后找不到我家哦。
10秒内发货，随时咨询
本素材为电子图册，因资料有可复制性，下单后不退款。介意勿拍。
素材收集于网络，不可用于商业目的，收取的费用为整理素材的辛苦费用</t>
        </is>
      </c>
      <c r="F15" s="2" t="str">
        <f>=HYPERLINK("http://img.alicdn.com/bao/uploaded/i4/O1CN01DV6E451XfbkqqQpiT_!!53-fleamarket.heic_790x10000Q90.jpg_.webp", "img.alicdn.com/bao/uploaded/i4/O1CN01DV6E451XfbkqqQpiT_!!53-fleamarket.heic_790x10000Q90.jpg_.webp")</f>
        <v>img.alicdn.com/bao/uploaded/i4/O1CN01DV6E451XfbkqqQpiT_!!53-fleamarket.heic_790x10000Q90.jpg_.webp</v>
      </c>
      <c r="G15"/>
      <c r="H15" s="2"/>
      <c r="I15"/>
      <c r="J15"/>
      <c r="K15"/>
      <c r="L15"/>
    </row>
    <row r="16" ht="25.5" customHeight="1">
      <c r="A16" t="inlineStr">
        <is>
          <t>科研学术答辩PPT</t>
        </is>
      </c>
      <c r="B16">
        <v>32</v>
      </c>
      <c r="C16" t="inlineStr">
        <is>
          <t>科研学术答辩PP...辩PPT
链接：https://pan.quark.cn/s/ead4528ebc65
-----------------------
记得保存，防止链接失效
-----------------------
转存方法： 先转存，然后在网盘下载
【手机】复制本段话，粘贴到网盘搜索栏获取文件。
【电脑】单独复制链接，通过浏览器打开获取文件。
-----------------------
由于佰度网盘不是阿里官方网盘，容易导致禁言，以及佰度网盘和谐，无法分享，就算分享出来也是空文件。</t>
        </is>
      </c>
      <c r="D16" t="inlineStr">
        <is>
          <t>是</t>
        </is>
      </c>
      <c r="E16" t="inlineStr">
        <is>
          <t>⚠️科研学术答辩PPT、毕业答辩PPT（四种配色全发，支持一|||
键换色）
[闪亮]ppt模版适用范围：国自然基金答辩、重点项目申报答辩、青年科学基金答辩、科研学术项目申报答辩、职称晋升答辩、学术论坛会议汇报、组会文献汇报答辩、开题答辩、中期答辩、毕业答辩等，工作汇报、路演汇报等。。
[蓝圆]国自然基金答辩模版ppt，精美版专业汇报
[绿圆]组会文献汇报模版ppt，秒胜同门师兄妹
[红圆]本科、硕士、博士全领域专属答辩ppt模版
[黄圆]科研、学术论坛汇报ppt模版，尽显专业
[火]职称晋升、重点实验室申报答辩ppt模版
[1]支持一键换色
[2]蓝色、绿色、红色、紫色四种配色全发
[3]ppt内所有元素均可自由编辑
～ 所见即所得 ～
需要可以直接拍下，看到马上发货哦
❤️❤️❤️自动发货，标价就是卖价，需要直接拍，24小时秒发网盘链接
[钉子]任何情况，不要申请退款，私信沟通给你处理，小店经营不易。
[钉子]所有文件均获取自网络公开渠道，仅供学习和交流使用，所有版权归版权人所有，如版权方认为侵犯了您的版权，请及时联系小店删除。</t>
        </is>
      </c>
      <c r="F16" s="2" t="str">
        <f>=HYPERLINK("http://img.alicdn.com/bao/uploaded/i2/O1CN01dmg1R21IFlIK5Cisb_!!4611686018427383856-53-fleamarket.heic_790x10000Q90.jpg_.webp", "img.alicdn.com/bao/uploaded/i2/O1CN01dmg1R21IFlIK5Cisb_!!4611686018427383856-53-fleamarket.heic_790x10000Q90.jpg_.webp")</f>
        <v>img.alicdn.com/bao/uploaded/i2/O1CN01dmg1R21IFlIK5Cisb_!!4611686018427383856-53-fleamarket.heic_790x10000Q90.jpg_.webp</v>
      </c>
      <c r="G16"/>
      <c r="H16" s="2"/>
      <c r="I16"/>
      <c r="J16"/>
      <c r="K16"/>
      <c r="L16"/>
    </row>
    <row r="17" ht="25.5" customHeight="1">
      <c r="A17" t="inlineStr">
        <is>
          <t>课题平面逻辑</t>
        </is>
      </c>
      <c r="B17">
        <v>33</v>
      </c>
      <c r="C17" t="inlineStr">
        <is>
          <t>请先转存网盘，保存数据，防止链接失效
通过网盘分享的文件：技术线路图内部资料.pptx
链接: https://pan.baidu.com/s/11EJsh2ykjfF7cU43vbFUiw?pwd=8888 提取码: 8888 
--来自百度网盘超级会员v1的分享</t>
        </is>
      </c>
      <c r="D17" t="inlineStr">
        <is>
          <t>是</t>
        </is>
      </c>
      <c r="E17" t="inlineStr">
        <is>
          <t>课题平面逻辑框架图ppt模板
可编辑课题框架图，适用于课题项目申报，答辩等
适用范围：国家重大科技专项，国家重点研发，国自然/国社科基金项目等
设计素材可自由编辑，内容完整清晰，适合做课题申报的朋友用。价格实惠。通过网盘发送，即拍即发。</t>
        </is>
      </c>
      <c r="F17" s="2" t="str">
        <f>=HYPERLINK("http://img.alicdn.com/bao/uploaded/i2/O1CN01TKBFZu1cR1KA4f7dp_!!4611686018427385644-53-fleamarket.heic_790x10000Q90.jpg_.webp", "img.alicdn.com/bao/uploaded/i2/O1CN01TKBFZu1cR1KA4f7dp_!!4611686018427385644-53-fleamarket.heic_790x10000Q90.jpg_.webp")</f>
        <v>img.alicdn.com/bao/uploaded/i2/O1CN01TKBFZu1cR1KA4f7dp_!!4611686018427385644-53-fleamarket.heic_790x10000Q90.jpg_.webp</v>
      </c>
      <c r="G17"/>
      <c r="H17" s="2"/>
      <c r="I17"/>
      <c r="J17"/>
      <c r="K17"/>
      <c r="L17"/>
    </row>
    <row r="18" ht="25.5" customHeight="1">
      <c r="A18" t="inlineStr">
        <is>
          <t>900多套ppt模板</t>
        </is>
      </c>
      <c r="B18">
        <v>34</v>
      </c>
      <c r="C18" t="inlineStr">
        <is>
          <t>----
您好，你购买的订单号：3133813623640075187 以下是给您发货的内容：
链接：https://pan.baidu.com/s/17JEAHcOsMcZHMChovcvHrQ?pwd=6666 
提取码：6666 
----</t>
        </is>
      </c>
      <c r="D18" t="inlineStr">
        <is>
          <t>是</t>
        </is>
      </c>
      <c r="E18" t="inlineStr">
        <is>
          <t>900多套ppt模板打包价2.8元，拍后再送店内其他素材1份（全店任选）俩也行~
店内所有2.8元的ppt都与这套一样滴，展示的都在这个链接里。
拍后发b.d网 盘 链 接，发后不退。
只能用电脑或者平板编辑</t>
        </is>
      </c>
      <c r="F18" s="2" t="str">
        <f>=HYPERLINK("http://img.alicdn.com/bao/uploaded/i4/O1CN01fAXSCI27GiDg6MdlX_!!0-fleamarket.jpg_790x10000Q90.jpg_.webp", "img.alicdn.com/bao/uploaded/i4/O1CN01fAXSCI27GiDg6MdlX_!!0-fleamarket.jpg_790x10000Q90.jpg_.webp")</f>
        <v>img.alicdn.com/bao/uploaded/i4/O1CN01fAXSCI27GiDg6MdlX_!!0-fleamarket.jpg_790x10000Q90.jpg_.webp</v>
      </c>
      <c r="G18"/>
      <c r="H18" s="2" t="str">
        <f>=HYPERLINK("https://www.goofish.com/item?spm=a21ybx.search.searchFeedList.6.22e26c82F4k9k2&amp;id=689853330803&amp;categoryId=201454708", "https://www.goofish.com/item?spm=a21ybx.search.searchFeedList.6.22e26c82F4k9k2&amp;id=689853330803&amp;categoryId=201454708")</f>
        <v>https://www.goofish.com/item?spm=a21ybx.search.searchFeedList.6.22e26c82F4k9k2&amp;id=689853330803&amp;categoryId=201454708</v>
      </c>
      <c r="I18"/>
      <c r="J18"/>
      <c r="K18"/>
      <c r="L18"/>
    </row>
    <row r="19" ht="25.5" customHeight="1">
      <c r="A19" t="inlineStr">
        <is>
          <t>动态PPT模板</t>
        </is>
      </c>
      <c r="B19">
        <v>35</v>
      </c>
      <c r="C19" t="inlineStr">
        <is>
          <t>PPT转盘轮播套…
链接：https://pan.quark.cn/s/bb62a9bbdcbd
-----------------------
记得保存，防止链接失效，
由于度盘和谐文件无法分享。
-----------------------
转存方法： 先转存，然后在网盘下载
【手机】复制本段话，粘贴到网盘搜索栏获取文件。
【电脑】单独复制链接，通过浏览器打开获取文件。
-----------------------
好萍赠送壁纸+上万ppt模版+学习资料等，10T+资料合集。</t>
        </is>
      </c>
      <c r="D19" t="inlineStr">
        <is>
          <t>是</t>
        </is>
      </c>
      <c r="E19" t="inlineStr">
        <is>
          <t>动态PPT模板，高级感答辩汇报用【拍下秒发货】动态高级感ppt模板平滑切换答辩工作汇报简约蓝|||色展示大气高端
——★24小时自动发货★——
【适用】
商务｜工作总结｜答辩｜工作汇报｜数据分析｜市场调研｜科技创新｜汇报展示｜企业宣传｜产品介绍｜企业招聘｜企业培训｜商业计划书｜能源科技｜时尚｜文化传媒｜教育招生｜企业年会｜产品发布
[比心] 全部都是动态的ppt
[比心]仅20份，快来捡漏吧～
[五角星]可编辑，可下载～
[五角星]分类清晰，独立文件夹标注～
[五角星]售后无忧，可放心拍～
效果图如下～（仅部分展示）</t>
        </is>
      </c>
      <c r="F19" s="2" t="str">
        <f>=HYPERLINK("http://img.alicdn.com/bao/uploaded/i1/O1CN01w8cWp71IFlGGHtkF4_!!4611686018427383856-53-fleamarket.heic_790x10000Q90.jpg_.webp", "img.alicdn.com/bao/uploaded/i1/O1CN01w8cWp71IFlGGHtkF4_!!4611686018427383856-53-fleamarket.heic_790x10000Q90.jpg_.webp")</f>
        <v>img.alicdn.com/bao/uploaded/i1/O1CN01w8cWp71IFlGGHtkF4_!!4611686018427383856-53-fleamarket.heic_790x10000Q90.jpg_.webp</v>
      </c>
      <c r="G19"/>
      <c r="H19" s="2" t="str">
        <f>=HYPERLINK("https://www.goofish.com/item?spm=a21ybx.search.searchFeedList.4.22e26c82F4k9k2&amp;id=931771158389&amp;categoryId=201454708", "https://www.goofish.com/item?spm=a21ybx.search.searchFeedList.4.22e26c82F4k9k2&amp;id=931771158389&amp;categoryId=201454708")</f>
        <v>https://www.goofish.com/item?spm=a21ybx.search.searchFeedList.4.22e26c82F4k9k2&amp;id=931771158389&amp;categoryId=201454708</v>
      </c>
      <c r="I19"/>
      <c r="J19"/>
      <c r="K19"/>
      <c r="L19"/>
    </row>
    <row r="20" ht="25.5" customHeight="1">
      <c r="A20" t="inlineStr">
        <is>
          <t>屎盆子镶金边PPT模板</t>
        </is>
      </c>
      <c r="B20">
        <v>36</v>
      </c>
      <c r="C20" t="inlineStr">
        <is>
          <t>通过网盘分享的文件：屎盆子镶金边PPT模板
链接: https://pan.baidu.com/s/16t_6O2EkFPp1U1h-bXAUHQ?pwd=7wk4 提取码: 7wk4 
手机使用：复制整段话到百度网盘自动提取
电脑使用：复制上面发您的链接在浏览器地址栏
好-平，可任选店里一个宝贝免费送哦！</t>
        </is>
      </c>
      <c r="D20" t="inlineStr">
        <is>
          <t>是</t>
        </is>
      </c>
      <c r="E20" t="inlineStr">
        <is>
          <t>屎盆子镶金边PPT模板素材高端创意平滑轮播旋转极简动态快闪汇报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20" s="2" t="str">
        <f>=HYPERLINK("http://img.alicdn.com/bao/uploaded/i4/O1CN01APpF6p1dZ5xE4kSzQ_!!4611686018427387605-0-fleamarket.jpg_790x10000Q90.jpg_.webp", "img.alicdn.com/bao/uploaded/i4/O1CN01APpF6p1dZ5xE4kSzQ_!!4611686018427387605-0-fleamarket.jpg_790x10000Q90.jpg_.webp")</f>
        <v>img.alicdn.com/bao/uploaded/i4/O1CN01APpF6p1dZ5xE4kSzQ_!!4611686018427387605-0-fleamarket.jpg_790x10000Q90.jpg_.webp</v>
      </c>
      <c r="G20"/>
      <c r="H20" s="2" t="str">
        <f>=HYPERLINK("https://www.goofish.com/item?spm=a21ybx.search.searchFeedList.21.22e26c82F4k9k2&amp;id=993239941201&amp;categoryId=201454708", "https://www.goofish.com/item?spm=a21ybx.search.searchFeedList.21.22e26c82F4k9k2&amp;id=993239941201&amp;categoryId=201454708")</f>
        <v>https://www.goofish.com/item?spm=a21ybx.search.searchFeedList.21.22e26c82F4k9k2&amp;id=993239941201&amp;categoryId=201454708</v>
      </c>
      <c r="I20"/>
      <c r="J20"/>
      <c r="K20"/>
      <c r="L20"/>
    </row>
    <row r="21" ht="25.5" customHeight="1">
      <c r="A21" t="inlineStr">
        <is>
          <t>大学生职业生涯规划大赛</t>
        </is>
      </c>
      <c r="B21">
        <v>37</v>
      </c>
      <c r="C21" t="inlineStr">
        <is>
          <t>通过网盘分享的文件：大学生职业生涯规划大赛PPT模板
链接: https://pan.baidu.com/s/1cA1ff0IdAkSlChvNj_XQIg?pwd=3t2x 提取码: 3t2x 
手机使用：复制整段话到百度网盘自动提取
电脑使用：复制上面发您的链接在浏览器地址栏</t>
        </is>
      </c>
      <c r="D21" t="inlineStr">
        <is>
          <t>是</t>
        </is>
      </c>
      <c r="E21" t="inlineStr">
        <is>
          <t>大学生职业生涯规划大赛PPT模版职规赛成长就业赛道指导答辩高级
——★24小时自动秒发百度网盘 ★——
——★24小时自动秒发百度网盘 ★——
——★24小时自动秒发百度网盘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21" s="2" t="str">
        <f>=HYPERLINK("http://img.alicdn.com/bao/uploaded/i1/O1CN01QyKCN61dZ5xXsDTvo_!!4611686018427387605-0-fleamarket.jpg_790x10000Q90.jpg_.webp", "img.alicdn.com/bao/uploaded/i1/O1CN01QyKCN61dZ5xXsDTvo_!!4611686018427387605-0-fleamarket.jpg_790x10000Q90.jpg_.webp")</f>
        <v>img.alicdn.com/bao/uploaded/i1/O1CN01QyKCN61dZ5xXsDTvo_!!4611686018427387605-0-fleamarket.jpg_790x10000Q90.jpg_.webp</v>
      </c>
      <c r="G21"/>
      <c r="H21" s="2" t="str">
        <f>=HYPERLINK("https://www.goofish.com/item?spm=a21ybx.search.searchFeedList.9.22e26c82F4k9k2&amp;id=998863131131&amp;categoryId=201454708", "https://www.goofish.com/item?spm=a21ybx.search.searchFeedList.9.22e26c82F4k9k2&amp;id=998863131131&amp;categoryId=201454708")</f>
        <v>https://www.goofish.com/item?spm=a21ybx.search.searchFeedList.9.22e26c82F4k9k2&amp;id=998863131131&amp;categoryId=201454708</v>
      </c>
      <c r="I21"/>
      <c r="J21"/>
      <c r="K21"/>
      <c r="L21"/>
    </row>
    <row r="22" ht="25.5" customHeight="1">
      <c r="A22" t="inlineStr">
        <is>
          <t>13色1950页高级感工作汇</t>
        </is>
      </c>
      <c r="B22">
        <v>38</v>
      </c>
      <c r="C22" t="inlineStr">
        <is>
          <t>13色1950页
链接：https://pan.quark.cn/s/ce9ecc66ccef
-----------------------
记得保存，防止链接失效，
由于度盘和谐文件无法分享。
-----------------------
转存方法： 先转存，然后在网盘下载
【手机】复制本段话，粘贴到网盘搜索栏获取文件。
【电脑】单独复制链接，通过浏览器打开获取文件。
-----------------------
好萍赠送壁纸+上万ppt模版+学习资料等，10T+资料合集。</t>
        </is>
      </c>
      <c r="D22" t="inlineStr">
        <is>
          <t>是</t>
        </is>
      </c>
      <c r="E22" t="inlineStr">
        <is>
          <t>13色1950页高级感工作汇报数据分析PPT模板 工作汇报||| | 数据分析 | 市场调研
格式：PPT（可编辑）
超值还赠送：
[1]500页精美通用PPT模板
[2]PPT设计小图标
[3]各类逻辑图表
13种配色，每色150页，共1950页
适用范围：日常报告，市场调研，数据分析，工作总结，工作汇报等各种场景。流程进度、数据图表、逻辑图表应有尽有
拍下24小时自动发货，拍下网盘秒发货</t>
        </is>
      </c>
      <c r="F22" s="2" t="str">
        <f>=HYPERLINK("http://img.alicdn.com/bao/uploaded/i1/O1CN01rB27Ci1IFlGmDdjQH_!!4611686018427383856-53-fleamarket.heic_790x10000Q90.jpg_.webp", "img.alicdn.com/bao/uploaded/i1/O1CN01rB27Ci1IFlGmDdjQH_!!4611686018427383856-53-fleamarket.heic_790x10000Q90.jpg_.webp")</f>
        <v>img.alicdn.com/bao/uploaded/i1/O1CN01rB27Ci1IFlGmDdjQH_!!4611686018427383856-53-fleamarket.heic_790x10000Q90.jpg_.webp</v>
      </c>
      <c r="G22"/>
      <c r="H22" s="2" t="str">
        <f>=HYPERLINK("https://www.goofish.com/item?spm=a21ybx.search.searchFeedList.23.22e26c82F4k9k2&amp;id=949004980033&amp;categoryId=201454708", "https://www.goofish.com/item?spm=a21ybx.search.searchFeedList.23.22e26c82F4k9k2&amp;id=949004980033&amp;categoryId=201454708")</f>
        <v>https://www.goofish.com/item?spm=a21ybx.search.searchFeedList.23.22e26c82F4k9k2&amp;id=949004980033&amp;categoryId=201454708</v>
      </c>
      <c r="I22"/>
      <c r="J22"/>
      <c r="K22"/>
      <c r="L22"/>
    </row>
    <row r="23" ht="25.5" customHeight="1">
      <c r="A23" t="inlineStr">
        <is>
          <t>国自然PPT模板国家自然科学基金科研</t>
        </is>
      </c>
      <c r="B23">
        <v>40</v>
      </c>
      <c r="C23" t="inlineStr">
        <is>
          <t>通过网盘分享的文件：B40-国家自然科学
链接: https://pan.baidu.com/s/1MA8WUBt2eroHC3awi0NeeA?pwd=9999 提取码: 9999 
--来自百度网盘超级会员v3的分享</t>
        </is>
      </c>
      <c r="D23" t="inlineStr">
        <is>
          <t>是</t>
        </is>
      </c>
      <c r="E23" t="inlineStr">
        <is>
          <t>国自然PPT模板国家自然科学基金科研项目申请答辩结题汇报PPT模板
24小时自动发货，直接拍秒发
主页置顶商品全店会员6.6，包含全店所有素材和以后更新的素材
每套模版都是我精挑细选出来的
每款模板都是质量高，适用于任何场合
每个模板都可以帮你节省大量时间
B40</t>
        </is>
      </c>
      <c r="F23" s="2" t="str">
        <f>=HYPERLINK("http://img.alicdn.com/bao/uploaded/i4/O1CN011S9AVE2KMIKlnhsE6_!!4611686018427383542-53-fleamarket.heic_790x10000Q90.jpg_.webp", "img.alicdn.com/bao/uploaded/i4/O1CN011S9AVE2KMIKlnhsE6_!!4611686018427383542-53-fleamarket.heic_790x10000Q90.jpg_.webp")</f>
        <v>img.alicdn.com/bao/uploaded/i4/O1CN011S9AVE2KMIKlnhsE6_!!4611686018427383542-53-fleamarket.heic_790x10000Q90.jpg_.webp</v>
      </c>
      <c r="G23"/>
      <c r="H23" s="2" t="str">
        <f>=HYPERLINK("https://www.goofish.com/item?spm=a21ybx.search.searchFeedList.16.22e26c82F4k9k2&amp;id=953863212313&amp;categoryId=201454708", "https://www.goofish.com/item?spm=a21ybx.search.searchFeedList.16.22e26c82F4k9k2&amp;id=953863212313&amp;categoryId=201454708")</f>
        <v>https://www.goofish.com/item?spm=a21ybx.search.searchFeedList.16.22e26c82F4k9k2&amp;id=953863212313&amp;categoryId=201454708</v>
      </c>
      <c r="I23"/>
      <c r="J23"/>
      <c r="K23"/>
      <c r="L23"/>
    </row>
    <row r="24" ht="25.5" customHeight="1">
      <c r="A24" t="inlineStr">
        <is>
          <t>105套国赛金奖ppt模板大学生创新创业</t>
        </is>
      </c>
      <c r="B24">
        <v>41</v>
      </c>
      <c r="C24" t="inlineStr">
        <is>
          <t>您好，您此次购物的订单编号是：3134153461078075187。
以下是给您发货的内容。
通过网盘分享的文件：105套国赛金奖ppt模板
链接: https://pan.baidu.com/s/1ft-TL7tLTcYY2nR1rqUTcw?pwd=xurc 提取码: xurc 
--来自百度网盘超级会员v6的分享:
复制上面这段话到佰度网盘即可打开，记得及时保存，避免失效！
要是宝贝合您心意，还请不吝好评。我们准备了惊喜赠品，赶紧好评解锁吧！</t>
        </is>
      </c>
      <c r="D24" t="inlineStr">
        <is>
          <t>是</t>
        </is>
      </c>
      <c r="E24" t="inlineStr">
        <is>
          <t>105套国赛金奖ppt模板大学生创新创业大赛挑战杯创赛获奖
都是可编辑修改的
拍下后另外赠送：
[1] 500+套互联网＋，大创，挑战杯，往届获奖作品等资料参考，部分附带演示视频，路演视频！
[2] 10000套大学生创新创业计划书word成品互联网+大赛ppt模板商业策划书撰。
[3] 100个专业大学生职业生涯规划书Word范文赠送PPT
需要的直接拍，拍下后网盘秒发货</t>
        </is>
      </c>
      <c r="F24" s="2" t="str">
        <f>=HYPERLINK("http://img.alicdn.com/bao/uploaded/i2/O1CN01doYnYm1bo5dNtbyQN_!!4611686018427387015-53-fleamarket.heic_790x10000Q90.jpg_.webp", "img.alicdn.com/bao/uploaded/i2/O1CN01doYnYm1bo5dNtbyQN_!!4611686018427387015-53-fleamarket.heic_790x10000Q90.jpg_.webp")</f>
        <v>img.alicdn.com/bao/uploaded/i2/O1CN01doYnYm1bo5dNtbyQN_!!4611686018427387015-53-fleamarket.heic_790x10000Q90.jpg_.webp</v>
      </c>
      <c r="G24"/>
      <c r="H24" s="2" t="str">
        <f>=HYPERLINK("https://www.goofish.com/item?spm=a21ybx.search.searchFeedList.25.22e26c82F4k9k2&amp;id=909700993980&amp;categoryId=201454708", "https://www.goofish.com/item?spm=a21ybx.search.searchFeedList.25.22e26c82F4k9k2&amp;id=909700993980&amp;categoryId=201454708")</f>
        <v>https://www.goofish.com/item?spm=a21ybx.search.searchFeedList.25.22e26c82F4k9k2&amp;id=909700993980&amp;categoryId=201454708</v>
      </c>
      <c r="I24"/>
      <c r="J24"/>
      <c r="K24"/>
      <c r="L24"/>
    </row>
    <row r="25" ht="25.5" customHeight="1">
      <c r="A25" t="inlineStr">
        <is>
          <t>高品质400+简历模</t>
        </is>
      </c>
      <c r="B25">
        <v>62</v>
      </c>
      <c r="C25" t="inlineStr">
        <is>
          <t>宝子稍等片刻，资源正在路上</t>
        </is>
      </c>
      <c r="D25" t="inlineStr">
        <is>
          <t>是</t>
        </is>
      </c>
      <c r="E25" t="inlineStr">
        <is>
          <t>高品质400+简历模板个人求职电子版word封面应届毕业生表格英文设计制作定制
——★24小时自动秒发百度网盘 ★——
预览图对应相应源文件名字，不是卖图片，也没有任何额外费用，如果不会使用可以咨询解决[送花][送花][送花]
拍下直接发400套高质量简历模板
单页，双页，四页，多页均有，自荐信模版，英文版，多种模板，任你选择
可以用手机直接编辑哦
不要问在不在，喜欢的直接拍下即可！秒发
您想要的各种素材都在这里 任何不满意直接退款</t>
        </is>
      </c>
      <c r="F25" s="2" t="str">
        <f>=HYPERLINK("http://img.alicdn.com/bao/uploaded/i2/O1CN01XvG7871dZ5w9EjfQX_!!4611686018427387605-0-fleamarket.jpg_790x10000Q90.jpg_.webp", "img.alicdn.com/bao/uploaded/i2/O1CN01XvG7871dZ5w9EjfQX_!!4611686018427387605-0-fleamarket.jpg_790x10000Q90.jpg_.webp")</f>
        <v>img.alicdn.com/bao/uploaded/i2/O1CN01XvG7871dZ5w9EjfQX_!!4611686018427387605-0-fleamarket.jpg_790x10000Q90.jpg_.webp</v>
      </c>
      <c r="G25"/>
      <c r="H25" s="2" t="str">
        <f>=HYPERLINK("https://www.goofish.com/item?spm=a21ybx.personal.feeds.295.12e16ac2PYxLX9&amp;id=750009782412&amp;categoryId=50023914", "https://www.goofish.com/item?spm=a21ybx.personal.feeds.295.12e16ac2PYxLX9&amp;id=750009782412&amp;categoryId=50023914")</f>
        <v>https://www.goofish.com/item?spm=a21ybx.personal.feeds.295.12e16ac2PYxLX9&amp;id=750009782412&amp;categoryId=50023914</v>
      </c>
      <c r="I25"/>
      <c r="J25"/>
      <c r="K25"/>
      <c r="L25"/>
    </row>
    <row r="26" ht="25.5" customHeight="1">
      <c r="A26" t="inlineStr">
        <is>
          <t>科研PPT模板学术汇</t>
        </is>
      </c>
      <c r="B26">
        <v>63</v>
      </c>
      <c r="C26" t="inlineStr">
        <is>
          <t>宝子稍等片刻，资源正在路上</t>
        </is>
      </c>
      <c r="D26" t="inlineStr">
        <is>
          <t>是</t>
        </is>
      </c>
      <c r="E26" t="inlineStr">
        <is>
          <t>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6" s="2" t="str">
        <f>=HYPERLINK("http://img.alicdn.com/bao/uploaded/i3/O1CN01aRdK1I1dZ5wmHoKdF_!!4611686018427387605-0-fleamarket.jpg_790x10000Q90.jpg_.webp", "img.alicdn.com/bao/uploaded/i3/O1CN01aRdK1I1dZ5wmHoKdF_!!4611686018427387605-0-fleamarket.jpg_790x10000Q90.jpg_.webp")</f>
        <v>img.alicdn.com/bao/uploaded/i3/O1CN01aRdK1I1dZ5wmHoKdF_!!4611686018427387605-0-fleamarket.jpg_790x10000Q90.jpg_.webp</v>
      </c>
      <c r="G26"/>
      <c r="H26" s="2" t="str">
        <f>=HYPERLINK("https://www.goofish.com/item?spm=a21ybx.personal.feeds.360.12e16ac2PYxLX9&amp;id=986502332050&amp;categoryId=50023914", "https://www.goofish.com/item?spm=a21ybx.personal.feeds.360.12e16ac2PYxLX9&amp;id=986502332050&amp;categoryId=50023914")</f>
        <v>https://www.goofish.com/item?spm=a21ybx.personal.feeds.360.12e16ac2PYxLX9&amp;id=986502332050&amp;categoryId=50023914</v>
      </c>
      <c r="I26"/>
      <c r="J26"/>
      <c r="K26"/>
      <c r="L26"/>
    </row>
    <row r="27" ht="25.5" customHeight="1">
      <c r="A27" t="inlineStr">
        <is>
          <t>课题申报框架构图教学</t>
        </is>
      </c>
      <c r="B27">
        <v>64</v>
      </c>
      <c r="C27" t="inlineStr">
        <is>
          <t>宝子稍等片刻，资源正在路上</t>
        </is>
      </c>
      <c r="D27" t="inlineStr">
        <is>
          <t>是</t>
        </is>
      </c>
      <c r="E27" t="inlineStr">
        <is>
          <t>课题申报框架构图教学思政科研绘图技术路线图visoi流程图ppt模板
——★24小时自动秒发百度网盘 ★——
——★24小时自动秒发百度网盘 ★——
——★24小时自动秒发百度网盘 ★——
280款流程架构路线图 PPT + WORD +VISOI
课题申报 教学大赛 技术路线 科研论文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7" s="2" t="str">
        <f>=HYPERLINK("http://img.alicdn.com/bao/uploaded/i1/O1CN01oQTUGX1dZ5wze9757_!!4611686018427387605-0-fleamarket.jpg_790x10000Q90.jpg_.webp", "img.alicdn.com/bao/uploaded/i1/O1CN01oQTUGX1dZ5wze9757_!!4611686018427387605-0-fleamarket.jpg_790x10000Q90.jpg_.webp")</f>
        <v>img.alicdn.com/bao/uploaded/i1/O1CN01oQTUGX1dZ5wze9757_!!4611686018427387605-0-fleamarket.jpg_790x10000Q90.jpg_.webp</v>
      </c>
      <c r="G27"/>
      <c r="H27" s="2" t="str">
        <f>=HYPERLINK("https://www.goofish.com/item?spm=a21ybx.personal.feeds.108.12e16ac2PYxLX9&amp;id=990745156115&amp;categoryId=50023914", "https://www.goofish.com/item?spm=a21ybx.personal.feeds.108.12e16ac2PYxLX9&amp;id=990745156115&amp;categoryId=50023914")</f>
        <v>https://www.goofish.com/item?spm=a21ybx.personal.feeds.108.12e16ac2PYxLX9&amp;id=990745156115&amp;categoryId=50023914</v>
      </c>
      <c r="I27"/>
      <c r="J27"/>
      <c r="K27"/>
      <c r="L27"/>
    </row>
    <row r="28" ht="25.5" customHeight="1">
      <c r="A28" t="inlineStr">
        <is>
          <t>大学生国家奖学金励志</t>
        </is>
      </c>
      <c r="B28">
        <v>65</v>
      </c>
      <c r="C28" t="inlineStr">
        <is>
          <t>宝子稍等片刻，资源正在路上</t>
        </is>
      </c>
      <c r="D28" t="inlineStr">
        <is>
          <t>是</t>
        </is>
      </c>
      <c r="E28" t="inlineStr">
        <is>
          <t>大学生国家奖学金励志国奖答辩竞选PPT模板蓝红色主题大气高级感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8" s="2" t="str">
        <f>=HYPERLINK("http://img.alicdn.com/bao/uploaded/i2/O1CN014Sac8D1dZ5wncs34U_!!4611686018427387605-0-fleamarket.jpg_790x10000Q90.jpg_.webp", "img.alicdn.com/bao/uploaded/i2/O1CN014Sac8D1dZ5wncs34U_!!4611686018427387605-0-fleamarket.jpg_790x10000Q90.jpg_.webp")</f>
        <v>img.alicdn.com/bao/uploaded/i2/O1CN014Sac8D1dZ5wncs34U_!!4611686018427387605-0-fleamarket.jpg_790x10000Q90.jpg_.webp</v>
      </c>
      <c r="G28"/>
      <c r="H28" s="2" t="str">
        <f>=HYPERLINK("https://www.goofish.com/item?spm=a21ybx.personal.feeds.114.12e16ac2PYxLX9&amp;id=985828185520&amp;categoryId=50023914", "https://www.goofish.com/item?spm=a21ybx.personal.feeds.114.12e16ac2PYxLX9&amp;id=985828185520&amp;categoryId=50023914")</f>
        <v>https://www.goofish.com/item?spm=a21ybx.personal.feeds.114.12e16ac2PYxLX9&amp;id=985828185520&amp;categoryId=50023914</v>
      </c>
      <c r="I28"/>
      <c r="J28"/>
      <c r="K28"/>
      <c r="L28"/>
    </row>
    <row r="29" ht="25.5" customHeight="1">
      <c r="A29" t="inlineStr">
        <is>
          <t>电商详情页psd模板</t>
        </is>
      </c>
      <c r="B29">
        <v>66</v>
      </c>
      <c r="C29" t="inlineStr">
        <is>
          <t>宝子稍等片刻，资源正在路上</t>
        </is>
      </c>
      <c r="D29" t="inlineStr">
        <is>
          <t>是</t>
        </is>
      </c>
      <c r="E29" t="inlineStr">
        <is>
          <t>电商详情页psd模板店铺装修设计主图美工背景促销海报源文件素材
——★24小时自动秒发百度网盘 ★——
——★24小时自动秒发百度网盘 ★——
——★24小时自动秒发百度网盘 ★——
5万款全套电商素材模板 主图 详情图 首页 店招 促销 标签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9" s="2" t="str">
        <f>=HYPERLINK("http://img.alicdn.com/bao/uploaded/i4/O1CN010gRoUm1dZ5x3WeSEi_!!4611686018427387605-2-fleamarket.png_790x10000.jpg_.webp", "img.alicdn.com/bao/uploaded/i4/O1CN010gRoUm1dZ5x3WeSEi_!!4611686018427387605-2-fleamarket.png_790x10000.jpg_.webp")</f>
        <v>img.alicdn.com/bao/uploaded/i4/O1CN010gRoUm1dZ5x3WeSEi_!!4611686018427387605-2-fleamarket.png_790x10000.jpg_.webp</v>
      </c>
      <c r="G29"/>
      <c r="H29" s="2" t="str">
        <f>=HYPERLINK("https://www.goofish.com/item?spm=a21ybx.personal.feeds.365.12e16ac2PYxLX9&amp;id=989828106972&amp;categoryId=50023914", "https://www.goofish.com/item?spm=a21ybx.personal.feeds.365.12e16ac2PYxLX9&amp;id=989828106972&amp;categoryId=50023914")</f>
        <v>https://www.goofish.com/item?spm=a21ybx.personal.feeds.365.12e16ac2PYxLX9&amp;id=989828106972&amp;categoryId=50023914</v>
      </c>
      <c r="I29"/>
      <c r="J29"/>
      <c r="K29"/>
      <c r="L29"/>
    </row>
    <row r="30" ht="25.5" customHeight="1">
      <c r="A30" t="inlineStr">
        <is>
          <t>大学生职业生涯规划大</t>
        </is>
      </c>
      <c r="B30">
        <v>67</v>
      </c>
      <c r="C30" t="inlineStr">
        <is>
          <t>宝子稍等片刻，资源正在路上</t>
        </is>
      </c>
      <c r="D30" t="inlineStr">
        <is>
          <t>是</t>
        </is>
      </c>
      <c r="E30" t="inlineStr">
        <is>
          <t>大学生职业生涯规划大赛职规赛PPT模板书成长就业赛道高级感红色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30" s="2" t="str">
        <f>=HYPERLINK("http://img.alicdn.com/bao/uploaded/i3/O1CN01nILD4o1dZ5wwxYefP_!!4611686018427387605-0-fleamarket.jpg_790x10000Q90.jpg_.webp", "img.alicdn.com/bao/uploaded/i3/O1CN01nILD4o1dZ5wwxYefP_!!4611686018427387605-0-fleamarket.jpg_790x10000Q90.jpg_.webp")</f>
        <v>img.alicdn.com/bao/uploaded/i3/O1CN01nILD4o1dZ5wwxYefP_!!4611686018427387605-0-fleamarket.jpg_790x10000Q90.jpg_.webp</v>
      </c>
      <c r="G30"/>
      <c r="H30" s="2" t="str">
        <f>=HYPERLINK("https://www.goofish.com/item?spm=a21ybx.personal.feeds.109.12e16ac2PYxLX9&amp;id=987781883336&amp;categoryId=50023914", "https://www.goofish.com/item?spm=a21ybx.personal.feeds.109.12e16ac2PYxLX9&amp;id=987781883336&amp;categoryId=50023914")</f>
        <v>https://www.goofish.com/item?spm=a21ybx.personal.feeds.109.12e16ac2PYxLX9&amp;id=987781883336&amp;categoryId=50023914</v>
      </c>
      <c r="I30"/>
      <c r="J30"/>
      <c r="K30"/>
      <c r="L30"/>
    </row>
    <row r="31" ht="25.5" customHeight="1">
      <c r="A31" t="inlineStr">
        <is>
          <t>100页高级感商务大</t>
        </is>
      </c>
      <c r="B31">
        <v>68</v>
      </c>
      <c r="C31" t="inlineStr">
        <is>
          <t>宝子稍等片刻，资源正在路上</t>
        </is>
      </c>
      <c r="D31" t="inlineStr">
        <is>
          <t>是</t>
        </is>
      </c>
      <c r="E31" t="inlineStr">
        <is>
          <t>100页高级感商务大气版式多图片排版图文工作总结汇报动态ppt模板
——★24小时自动秒发百度网盘 ★——
——★24小时自动秒发百度网盘 ★——
——★24小时自动秒发百度网盘 ★——
1款(4色)高级感图表PPT共100页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31" s="2" t="str">
        <f>=HYPERLINK("http://img.alicdn.com/bao/uploaded/i3/O1CN01OscPje1dZ5wkQSRoe_!!4611686018427387605-0-fleamarket.jpg_790x10000Q90.jpg_.webp", "img.alicdn.com/bao/uploaded/i3/O1CN01OscPje1dZ5wkQSRoe_!!4611686018427387605-0-fleamarket.jpg_790x10000Q90.jpg_.webp")</f>
        <v>img.alicdn.com/bao/uploaded/i3/O1CN01OscPje1dZ5wkQSRoe_!!4611686018427387605-0-fleamarket.jpg_790x10000Q90.jpg_.webp</v>
      </c>
      <c r="G31"/>
      <c r="H31" s="2" t="str">
        <f>=HYPERLINK("https://www.goofish.com/item?spm=a21ybx.personal.feeds.520.12e16ac2PYxLX9&amp;id=984361009829&amp;categoryId=50023914", "https://www.goofish.com/item?spm=a21ybx.personal.feeds.520.12e16ac2PYxLX9&amp;id=984361009829&amp;categoryId=50023914")</f>
        <v>https://www.goofish.com/item?spm=a21ybx.personal.feeds.520.12e16ac2PYxLX9&amp;id=984361009829&amp;categoryId=50023914</v>
      </c>
      <c r="I31"/>
      <c r="J31"/>
      <c r="K31"/>
      <c r="L31"/>
    </row>
    <row r="32" ht="25.5" customHeight="1">
      <c r="A32" t="inlineStr">
        <is>
          <t>企业宣传册模板wor</t>
        </is>
      </c>
      <c r="B32">
        <v>69</v>
      </c>
      <c r="C32" t="inlineStr">
        <is>
          <t>宝子稍等片刻，资源正在路上</t>
        </is>
      </c>
      <c r="D32" t="inlineStr">
        <is>
          <t>是</t>
        </is>
      </c>
      <c r="E32" t="inlineStr">
        <is>
          <t>企业宣传册模板word商务公司简介产品手画册CDR排版PSD设计AI素材
——★24小时自动秒发百度网盘 ★——
9999套宣传画册PSD/AI/CDR/WORD分层高清素材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t>
        </is>
      </c>
      <c r="F32" s="2" t="str">
        <f>=HYPERLINK("http://img.alicdn.com/bao/uploaded/i1/O1CN01cfBJJb1dZ5wElUGf4_!!4611686018427387605-0-fleamarket.jpg_790x10000Q90.jpg_.webp", "img.alicdn.com/bao/uploaded/i1/O1CN01cfBJJb1dZ5wElUGf4_!!4611686018427387605-0-fleamarket.jpg_790x10000Q90.jpg_.webp")</f>
        <v>img.alicdn.com/bao/uploaded/i1/O1CN01cfBJJb1dZ5wElUGf4_!!4611686018427387605-0-fleamarket.jpg_790x10000Q90.jpg_.webp</v>
      </c>
      <c r="G32"/>
      <c r="H32" s="2" t="str">
        <f>=HYPERLINK("https://www.goofish.com/item?spm=a21ybx.personal.feeds.279.12e16ac2PYxLX9&amp;id=971315835141&amp;categoryId=50023914", "https://www.goofish.com/item?spm=a21ybx.personal.feeds.279.12e16ac2PYxLX9&amp;id=971315835141&amp;categoryId=50023914")</f>
        <v>https://www.goofish.com/item?spm=a21ybx.personal.feeds.279.12e16ac2PYxLX9&amp;id=971315835141&amp;categoryId=50023914</v>
      </c>
      <c r="I32"/>
      <c r="J32"/>
      <c r="K32"/>
      <c r="L32"/>
    </row>
    <row r="33" ht="25.5" customHeight="1">
      <c r="A33" t="inlineStr">
        <is>
          <t>2025新款CAD图</t>
        </is>
      </c>
      <c r="B33">
        <v>70</v>
      </c>
      <c r="C33" t="inlineStr">
        <is>
          <t>宝子稍等片刻，资源正在路上</t>
        </is>
      </c>
      <c r="D33" t="inlineStr">
        <is>
          <t>是</t>
        </is>
      </c>
      <c r="E33" t="inlineStr">
        <is>
          <t>2025新款CAD图库室内设计家装家具平面中式欧式施工图动态素材库
——★24小时自动秒发百度网盘 ★——
——★24小时自动秒发百度网盘 ★——
——★24小时自动秒发百度网盘 ★——
室内设计CAD图库欧式/中式/现代 赠:动态图库
家装+工装+平面+立面+动态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33" s="2" t="str">
        <f>=HYPERLINK("http://img.alicdn.com/bao/uploaded/i2/O1CN01iM0BpW1dZ5x4YdUaj_!!4611686018427387605-0-fleamarket.jpg_790x10000Q90.jpg_.webp", "img.alicdn.com/bao/uploaded/i2/O1CN01iM0BpW1dZ5x4YdUaj_!!4611686018427387605-0-fleamarket.jpg_790x10000Q90.jpg_.webp")</f>
        <v>img.alicdn.com/bao/uploaded/i2/O1CN01iM0BpW1dZ5x4YdUaj_!!4611686018427387605-0-fleamarket.jpg_790x10000Q90.jpg_.webp</v>
      </c>
      <c r="G33"/>
      <c r="H33" s="2" t="str">
        <f>=HYPERLINK("https://www.goofish.com/item?spm=a21ybx.personal.feeds.349.12e16ac2PYxLX9&amp;id=991568744881&amp;categoryId=50023914", "https://www.goofish.com/item?spm=a21ybx.personal.feeds.349.12e16ac2PYxLX9&amp;id=991568744881&amp;categoryId=50023914")</f>
        <v>https://www.goofish.com/item?spm=a21ybx.personal.feeds.349.12e16ac2PYxLX9&amp;id=991568744881&amp;categoryId=50023914</v>
      </c>
      <c r="I33"/>
      <c r="J33"/>
      <c r="K33"/>
      <c r="L33"/>
    </row>
    <row r="34" ht="25.5" customHeight="1">
      <c r="A34" t="inlineStr">
        <is>
          <t>电商美工店铺装修电商</t>
        </is>
      </c>
      <c r="B34">
        <v>71</v>
      </c>
      <c r="C34" t="inlineStr">
        <is>
          <t>宝子稍等片刻，资源正在路上</t>
        </is>
      </c>
      <c r="D34" t="inlineStr">
        <is>
          <t>是</t>
        </is>
      </c>
      <c r="E34" t="inlineStr">
        <is>
          <t>电商美工店铺装修电商美妆详情页专题页面排版PSD模板PS设计素材 5000款电商详情可编辑psd源文件店铺装修素材
-----★24小时自动发货，直接拍秒发★--
⭐️每套模版都是我精挑细选出来的
⭐️每款模板都是质量高，适用于任何场合
⭐️每个模板都可以帮你节省大量时间
</t>
        </is>
      </c>
      <c r="F34" s="2" t="str">
        <f>=HYPERLINK("http://img.alicdn.com/bao/uploaded/i2/O1CN010gFUNh2CLMYSlu5lb_!!4611686018427382025-53-fleamarket.heic_790x10000Q90.jpg_.webp", "img.alicdn.com/bao/uploaded/i2/O1CN010gFUNh2CLMYSlu5lb_!!4611686018427382025-53-fleamarket.heic_790x10000Q90.jpg_.webp")</f>
        <v>img.alicdn.com/bao/uploaded/i2/O1CN010gFUNh2CLMYSlu5lb_!!4611686018427382025-53-fleamarket.heic_790x10000Q90.jpg_.webp</v>
      </c>
      <c r="G34"/>
      <c r="H34" s="2" t="str">
        <f>=HYPERLINK("https://www.goofish.com/item?spm=a21ybx.personal.feeds.17.77e76ac22jN7kj&amp;id=838970575462&amp;categoryId=50023914", "https://www.goofish.com/item?spm=a21ybx.personal.feeds.17.77e76ac22jN7kj&amp;id=838970575462&amp;categoryId=50023914")</f>
        <v>https://www.goofish.com/item?spm=a21ybx.personal.feeds.17.77e76ac22jN7kj&amp;id=838970575462&amp;categoryId=50023914</v>
      </c>
      <c r="I34"/>
      <c r="J34"/>
      <c r="K34"/>
      <c r="L34"/>
    </row>
    <row r="35" ht="25.5" customHeight="1">
      <c r="A35" t="inlineStr">
        <is>
          <t>100款高端整套文创</t>
        </is>
      </c>
      <c r="B35">
        <v>72</v>
      </c>
      <c r="C35" t="inlineStr">
        <is>
          <t>宝子稍等片刻，资源正在路上</t>
        </is>
      </c>
      <c r="D35" t="inlineStr">
        <is>
          <t>是</t>
        </is>
      </c>
      <c r="E35" t="inlineStr">
        <is>
          <t>100款高端整套文创品牌VI提案效果展示贴图样机PSD设计素材 精选100款文创样机psd可编辑源文件素材
-----★24小时自动发货，直接拍秒发★-----
⭐️每套模版都是我精挑细选出来的
⭐️每款模板都是质量高，适用于任何场合
⭐️每个模板都可以帮你节省大量时间
</t>
        </is>
      </c>
      <c r="F35" s="2" t="str">
        <f>=HYPERLINK("http://img.alicdn.com/bao/uploaded/i3/O1CN01zDGmul2CLMWUS0as9_!!53-fleamarket.heic_790x10000Q90.jpg_.webp", "img.alicdn.com/bao/uploaded/i3/O1CN01zDGmul2CLMWUS0as9_!!53-fleamarket.heic_790x10000Q90.jpg_.webp")</f>
        <v>img.alicdn.com/bao/uploaded/i3/O1CN01zDGmul2CLMWUS0as9_!!53-fleamarket.heic_790x10000Q90.jpg_.webp</v>
      </c>
      <c r="G35"/>
      <c r="H35" s="2" t="str">
        <f>=HYPERLINK("https://www.goofish.com/item?spm=a21ybx.personal.feeds.66.77e76ac22jN7kj&amp;id=839406600249&amp;categoryId=50023914", "https://www.goofish.com/item?spm=a21ybx.personal.feeds.66.77e76ac22jN7kj&amp;id=839406600249&amp;categoryId=50023914")</f>
        <v>https://www.goofish.com/item?spm=a21ybx.personal.feeds.66.77e76ac22jN7kj&amp;id=839406600249&amp;categoryId=50023914</v>
      </c>
      <c r="I35"/>
      <c r="J35"/>
      <c r="K35"/>
      <c r="L35"/>
    </row>
    <row r="36" ht="25.5" customHeight="1">
      <c r="A36" t="inlineStr">
        <is>
          <t>企业公司介绍宣传商务</t>
        </is>
      </c>
      <c r="B36">
        <v>73</v>
      </c>
      <c r="C36" t="inlineStr">
        <is>
          <t>宝子稍等片刻，资源正在路上</t>
        </is>
      </c>
      <c r="D36" t="inlineStr">
        <is>
          <t>是</t>
        </is>
      </c>
      <c r="E36" t="inlineStr">
        <is>
          <t>企业公司介绍宣传商务x展架活动易拉宝广告海报模板PSD设计素材PS 精选239款企业易拉宝招聘宣传展架 可编辑素材源文件
-----★24小时自动发货，直接拍秒发★----
⭐️每套模版都是我精挑细选出来的
⭐️每款模板都是质量高，适用于任何场合
⭐️每个模板都可以帮你节省大量时间</t>
        </is>
      </c>
      <c r="F36" s="2" t="str">
        <f>=HYPERLINK("http://img.alicdn.com/bao/uploaded/i2/O1CN01J0jqjZ2CLMWU6wTOA_!!53-fleamarket.heic_790x10000Q90.jpg_.webp", "img.alicdn.com/bao/uploaded/i2/O1CN01J0jqjZ2CLMWU6wTOA_!!53-fleamarket.heic_790x10000Q90.jpg_.webp")</f>
        <v>img.alicdn.com/bao/uploaded/i2/O1CN01J0jqjZ2CLMWU6wTOA_!!53-fleamarket.heic_790x10000Q90.jpg_.webp</v>
      </c>
      <c r="G36"/>
      <c r="H36" s="2" t="str">
        <f>=HYPERLINK("https://www.goofish.com/item?spm=a21ybx.personal.feeds.142.77e76ac22jN7kj&amp;id=838965135188&amp;categoryId=50023914", "https://www.goofish.com/item?spm=a21ybx.personal.feeds.142.77e76ac22jN7kj&amp;id=838965135188&amp;categoryId=50023914")</f>
        <v>https://www.goofish.com/item?spm=a21ybx.personal.feeds.142.77e76ac22jN7kj&amp;id=838965135188&amp;categoryId=50023914</v>
      </c>
      <c r="I36"/>
      <c r="J36"/>
      <c r="K36"/>
      <c r="L36"/>
    </row>
    <row r="37" ht="25.5" customHeight="1">
      <c r="A37" t="inlineStr">
        <is>
          <t>记账系统Excel表</t>
        </is>
      </c>
      <c r="B37">
        <v>74</v>
      </c>
      <c r="C37" t="inlineStr">
        <is>
          <t>宝子稍等片刻，资源正在路上</t>
        </is>
      </c>
      <c r="D37" t="inlineStr">
        <is>
          <t>是</t>
        </is>
      </c>
      <c r="E37" t="inlineStr">
        <is>
          <t>记账系统Excel表格模板 excel记账表格 家庭账本年度分析表 个人月度费用支出记账管理系统52套
✨✨
-----★24小时自动发货，直接拍秒发★-----
⭐️每套模版都是我精挑细选出来的
⭐️每款模板都是质量高，适用于任何场合
⭐️每个模板都可以帮你节省大量时间
</t>
        </is>
      </c>
      <c r="F37" s="2" t="str">
        <f>=HYPERLINK("http://img.alicdn.com/bao/uploaded/i4/O1CN01T4AYaW2CLMWROUuB5_!!53-fleamarket.heic_790x10000Q90.jpg_.webp", "img.alicdn.com/bao/uploaded/i4/O1CN01T4AYaW2CLMWROUuB5_!!53-fleamarket.heic_790x10000Q90.jpg_.webp")</f>
        <v>img.alicdn.com/bao/uploaded/i4/O1CN01T4AYaW2CLMWROUuB5_!!53-fleamarket.heic_790x10000Q90.jpg_.webp</v>
      </c>
      <c r="G37"/>
      <c r="H37" s="2" t="str">
        <f>=HYPERLINK("https://www.goofish.com/item?spm=a21ybx.personal.feeds.53.77e76ac22jN7kj&amp;id=839341433731&amp;categoryId=50023914", "https://www.goofish.com/item?spm=a21ybx.personal.feeds.53.77e76ac22jN7kj&amp;id=839341433731&amp;categoryId=50023914")</f>
        <v>https://www.goofish.com/item?spm=a21ybx.personal.feeds.53.77e76ac22jN7kj&amp;id=839341433731&amp;categoryId=50023914</v>
      </c>
      <c r="I37"/>
      <c r="J37"/>
      <c r="K37"/>
      <c r="L37"/>
    </row>
    <row r="38" ht="25.5" customHeight="1">
      <c r="A38" t="inlineStr">
        <is>
          <t>6000张动漫线稿</t>
        </is>
      </c>
      <c r="B38">
        <v>75</v>
      </c>
      <c r="C38" t="inlineStr">
        <is>
          <t>宝子稍等片刻，资源正在路上</t>
        </is>
      </c>
      <c r="D38" t="inlineStr">
        <is>
          <t>是</t>
        </is>
      </c>
      <c r="E38" t="inlineStr">
        <is>
          <t>6000张动漫线稿，超多！可以平时用来练习。
想要直接拍
【线稿】上万张人体结构建筑线稿临摹参考五官表情光影表现身体动作肌肉骨骼透视漫画练习日式场景cg 建筑风景速写等绘画设计参考素材绘画速写古风线稿PS手绘图Q版人体造型多角度线稿草稿动态姿势合集
★页(张)数：13153张【精选高质量】
★文件大小：4.8G【解压后】（方便保存）
★文件格式：JPG，JPEG
★图片类型：日韩人物、日系插画、人体动态欧美角色、建筑设定、概念设计、建筑物件、科幻设定、现代场景、日系场景、表情结构、肌肉透视、漫画分镜等
------★24小时自动发货，直接拍秒发★-----
⭐️每套风格的模版都是我精心挑选出来的。
⭐️每款都是 质量高，适用于任何场合～
⭐️每个风格都有单独归类文档编号跟预览物
</t>
        </is>
      </c>
      <c r="F38" s="2" t="str">
        <f>=HYPERLINK("http://img.alicdn.com/bao/uploaded/i3/O1CN01wy0YmG2CLMWRgZaLC_!!53-fleamarket.heic_790x10000Q90.jpg_.webp", "img.alicdn.com/bao/uploaded/i3/O1CN01wy0YmG2CLMWRgZaLC_!!53-fleamarket.heic_790x10000Q90.jpg_.webp")</f>
        <v>img.alicdn.com/bao/uploaded/i3/O1CN01wy0YmG2CLMWRgZaLC_!!53-fleamarket.heic_790x10000Q90.jpg_.webp</v>
      </c>
      <c r="G38"/>
      <c r="H38" s="2" t="str">
        <f>=HYPERLINK("https://www.goofish.com/item?spm=a21ybx.personal.feeds.63.77e76ac22jN7kj&amp;id=838899803609&amp;categoryId=50023914", "https://www.goofish.com/item?spm=a21ybx.personal.feeds.63.77e76ac22jN7kj&amp;id=838899803609&amp;categoryId=50023914")</f>
        <v>https://www.goofish.com/item?spm=a21ybx.personal.feeds.63.77e76ac22jN7kj&amp;id=838899803609&amp;categoryId=50023914</v>
      </c>
      <c r="I38"/>
      <c r="J38"/>
      <c r="K38"/>
      <c r="L38"/>
    </row>
    <row r="39" ht="25.5" customHeight="1">
      <c r="A39" t="inlineStr">
        <is>
          <t>茶叶奶茶手册VI品牌</t>
        </is>
      </c>
      <c r="B39">
        <v>76</v>
      </c>
      <c r="C39" t="inlineStr">
        <is>
          <t>宝子稍等片刻，资源正在路上</t>
        </is>
      </c>
      <c r="D39" t="inlineStr">
        <is>
          <t>是</t>
        </is>
      </c>
      <c r="E39" t="inlineStr">
        <is>
          <t>茶叶奶茶手册VI品牌形象企业产品宣传册VIS全套模板矢量设计素材 精选24款茶叶奶茶品牌手册ai可编辑模板素材
-----★24小时自动发货，直接拍秒发★-----
⭐️每套模版都是我精挑细选出来的
⭐️每款模板都是质量高，适用于任何场合
⭐️每个模板都可以帮你节省大量时间
</t>
        </is>
      </c>
      <c r="F39" s="2" t="str">
        <f>=HYPERLINK("http://img.alicdn.com/bao/uploaded/i1/O1CN017GYIxI2CLMWMV6rEa_!!53-fleamarket.heic_790x10000Q90.jpg_.webp", "img.alicdn.com/bao/uploaded/i1/O1CN017GYIxI2CLMWMV6rEa_!!53-fleamarket.heic_790x10000Q90.jpg_.webp")</f>
        <v>img.alicdn.com/bao/uploaded/i1/O1CN017GYIxI2CLMWMV6rEa_!!53-fleamarket.heic_790x10000Q90.jpg_.webp</v>
      </c>
      <c r="G39"/>
      <c r="H39" s="2" t="str">
        <f>=HYPERLINK("https://www.goofish.com/item?spm=a21ybx.personal.feeds.156.77e76ac22jN7kj&amp;id=839233401492&amp;categoryId=50023914", "https://www.goofish.com/item?spm=a21ybx.personal.feeds.156.77e76ac22jN7kj&amp;id=839233401492&amp;categoryId=50023914")</f>
        <v>https://www.goofish.com/item?spm=a21ybx.personal.feeds.156.77e76ac22jN7kj&amp;id=839233401492&amp;categoryId=50023914</v>
      </c>
      <c r="I39"/>
      <c r="J39"/>
      <c r="K39"/>
      <c r="L39"/>
    </row>
    <row r="40" ht="25.5" customHeight="1">
      <c r="A40" t="inlineStr">
        <is>
          <t>【PPT模板】350</t>
        </is>
      </c>
      <c r="B40">
        <v>77</v>
      </c>
      <c r="C40" t="inlineStr">
        <is>
          <t>【超级会员V1】通过百度网盘分享的文件：Z005-炫酷科…
链接:https://pan.baidu.com/s/1xSAjEXz_MzPcGXqZ5sh6Gg 
提取码:9mcs
复制这段内容打开「百度网盘APP 即可获取」</t>
        </is>
      </c>
      <c r="D40" t="inlineStr">
        <is>
          <t>是</t>
        </is>
      </c>
      <c r="E40" t="inlineStr">
        <is>
          <t>【PPT模板】350套炫酷科技感ppt模板类动态高端工作汇报商务互联网多媒体ppt模板
-----★24小时自动发货，直接拍秒发★-----
⭐️每套模版都是我精挑细选出来的
⭐️每款模板都是质量高，适用于任何场合
⭐️每个模板都可以帮你节省大量时间
</t>
        </is>
      </c>
      <c r="F40" s="2" t="str">
        <f>=HYPERLINK("http://img.alicdn.com/bao/uploaded/i1/O1CN01LltOwv2CLMVoQWQrs_!!53-fleamarket.heic_790x10000Q90.jpg_.webp", "img.alicdn.com/bao/uploaded/i1/O1CN01LltOwv2CLMVoQWQrs_!!53-fleamarket.heic_790x10000Q90.jpg_.webp")</f>
        <v>img.alicdn.com/bao/uploaded/i1/O1CN01LltOwv2CLMVoQWQrs_!!53-fleamarket.heic_790x10000Q90.jpg_.webp</v>
      </c>
      <c r="G40"/>
      <c r="H40" s="2" t="str">
        <f>=HYPERLINK("https://www.goofish.com/item?spm=a21ybx.personal.feeds.173.77e76ac22jN7kj&amp;id=827741364305&amp;categoryId=50023914", "https://www.goofish.com/item?spm=a21ybx.personal.feeds.173.77e76ac22jN7kj&amp;id=827741364305&amp;categoryId=50023914")</f>
        <v>https://www.goofish.com/item?spm=a21ybx.personal.feeds.173.77e76ac22jN7kj&amp;id=827741364305&amp;categoryId=50023914</v>
      </c>
      <c r="I40"/>
      <c r="J40"/>
      <c r="K40"/>
      <c r="L40"/>
    </row>
    <row r="41" ht="25.5" customHeight="1">
      <c r="A41" t="inlineStr">
        <is>
          <t>PS海报模板素材图库</t>
        </is>
      </c>
      <c r="B41">
        <v>78</v>
      </c>
      <c r="C41" t="inlineStr">
        <is>
          <t>【超级会员V1】通过百度网盘分享的文件：S108-PS海…
链接:https://pan.baidu.com/s/14CNwuguGTteib53KmxPAHw 
提取码:389k
复制这段内容打开「百度网盘APP 即可获取」</t>
        </is>
      </c>
      <c r="D41" t="inlineStr">
        <is>
          <t>是</t>
        </is>
      </c>
      <c r="E41" t="inlineStr">
        <is>
          <t>PS海报模板素材图库，精选4000套海报设计模板
涉及广告/平面/设计/促销/宣传/食品/招聘/招生/婚纱/电影/音乐/金融/旅游/科技/美容/母婴/教育/地产/电器/等众多领域，psd格式！
-----★24小时自动发货，直接拍秒发★-----
⭐️每套风格的模版都是我精心挑选出来的。
⭐️每款都是 质量高，适用于任何场合～
⭐️每个风格都有单独归类文档编号跟预览物之情
</t>
        </is>
      </c>
      <c r="F41" s="2" t="str">
        <f>=HYPERLINK("http://img.alicdn.com/bao/uploaded/i1/O1CN01p1PijE2CLMWS8ZH7O_!!53-fleamarket.heic_790x10000Q90.jpg_.webp", "img.alicdn.com/bao/uploaded/i1/O1CN01p1PijE2CLMWS8ZH7O_!!53-fleamarket.heic_790x10000Q90.jpg_.webp")</f>
        <v>img.alicdn.com/bao/uploaded/i1/O1CN01p1PijE2CLMWS8ZH7O_!!53-fleamarket.heic_790x10000Q90.jpg_.webp</v>
      </c>
      <c r="G41"/>
      <c r="H41" s="2" t="str">
        <f>=HYPERLINK("https://www.goofish.com/item?spm=a21ybx.personal.feeds.46.77e76ac22jN7kj&amp;id=838995255145&amp;categoryId=50023914", "https://www.goofish.com/item?spm=a21ybx.personal.feeds.46.77e76ac22jN7kj&amp;id=838995255145&amp;categoryId=50023914")</f>
        <v>https://www.goofish.com/item?spm=a21ybx.personal.feeds.46.77e76ac22jN7kj&amp;id=838995255145&amp;categoryId=50023914</v>
      </c>
      <c r="I41"/>
      <c r="J41"/>
      <c r="K41"/>
      <c r="L41"/>
    </row>
    <row r="42" ht="25.5" customHeight="1">
      <c r="A42" t="inlineStr">
        <is>
          <t>
80套高端PPT模</t>
        </is>
      </c>
      <c r="B42">
        <v>79</v>
      </c>
      <c r="C42" t="inlineStr">
        <is>
          <t>宝子稍等片刻，资源正在路上</t>
        </is>
      </c>
      <c r="D42" t="inlineStr">
        <is>
          <t>是</t>
        </is>
      </c>
      <c r="E42" t="inlineStr">
        <is>
          <t>
80套高端PPT模板，逻辑PPT，高端大气PPT，工作汇报PPT模板
适用于各种行业，设计精美，多种风格款式可选，可编辑修改，使用方便
-----★24小时自动发货，直接拍秒发★-----
⭐️每套模版都是我精挑细选出来的
⭐️每款模板都是质量高，适用于任何场合
⭐️每个模板都可以帮你节省大量时间
</t>
        </is>
      </c>
      <c r="F42" s="2" t="str">
        <f>=HYPERLINK("http://img.alicdn.com/bao/uploaded/i3/O1CN01RQPkEd2CLMW7HQ5cn_!!53-fleamarket.heic_790x10000Q90.jpg_.webp", "img.alicdn.com/bao/uploaded/i3/O1CN01RQPkEd2CLMW7HQ5cn_!!53-fleamarket.heic_790x10000Q90.jpg_.webp")</f>
        <v>img.alicdn.com/bao/uploaded/i3/O1CN01RQPkEd2CLMW7HQ5cn_!!53-fleamarket.heic_790x10000Q90.jpg_.webp</v>
      </c>
      <c r="G42"/>
      <c r="H42" s="2" t="str">
        <f>=HYPERLINK("https://www.goofish.com/item?spm=a21ybx.personal.feeds.96.77e76ac22jN7kj&amp;id=830266147835&amp;categoryId=50023914", "https://www.goofish.com/item?spm=a21ybx.personal.feeds.96.77e76ac22jN7kj&amp;id=830266147835&amp;categoryId=50023914")</f>
        <v>https://www.goofish.com/item?spm=a21ybx.personal.feeds.96.77e76ac22jN7kj&amp;id=830266147835&amp;categoryId=50023914</v>
      </c>
      <c r="I42"/>
      <c r="J42"/>
      <c r="K42"/>
      <c r="L42"/>
    </row>
    <row r="43" ht="25.5" customHeight="1">
      <c r="A43" t="inlineStr">
        <is>
          <t>2026马年中小学生</t>
        </is>
      </c>
      <c r="B43">
        <v>80</v>
      </c>
      <c r="C43" t="inlineStr">
        <is>
          <t>宝子稍等片刻，资源正在路上</t>
        </is>
      </c>
      <c r="D43" t="inlineStr">
        <is>
          <t>是</t>
        </is>
      </c>
      <c r="E43" t="inlineStr">
        <is>
          <t>2026马年中小学生幼儿园喜迎元旦ppt班会元旦联欢晚会ppt素材企业
——★24小时自动秒发百度网盘 ★——
——★24小时自动秒发百度网盘 ★——
——★24小时自动秒发百度网盘 ★——
200款马年元旦PPT
2026元旦 2026新年 元旦晚会 新年晚会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3" s="2" t="str">
        <f>=HYPERLINK("http://img.alicdn.com/bao/uploaded/i2/O1CN01HAdhZX1dZ5xQsq9cA_!!4611686018427387605-2-fleamarket.png_790x10000.jpg_.webp", "img.alicdn.com/bao/uploaded/i2/O1CN01HAdhZX1dZ5xQsq9cA_!!4611686018427387605-2-fleamarket.png_790x10000.jpg_.webp")</f>
        <v>img.alicdn.com/bao/uploaded/i2/O1CN01HAdhZX1dZ5xQsq9cA_!!4611686018427387605-2-fleamarket.png_790x10000.jpg_.webp</v>
      </c>
      <c r="G43"/>
      <c r="H43" s="2" t="str">
        <f>=HYPERLINK("https://www.goofish.com/item?spm=a21ybx.personal.feeds.57.12e16ac2PYxLX9&amp;id=998398580438&amp;categoryId=50023914", "https://www.goofish.com/item?spm=a21ybx.personal.feeds.57.12e16ac2PYxLX9&amp;id=998398580438&amp;categoryId=50023914")</f>
        <v>https://www.goofish.com/item?spm=a21ybx.personal.feeds.57.12e16ac2PYxLX9&amp;id=998398580438&amp;categoryId=50023914</v>
      </c>
      <c r="I43"/>
      <c r="J43"/>
      <c r="K43"/>
      <c r="L43"/>
    </row>
    <row r="44" ht="25.5" customHeight="1">
      <c r="A44" t="inlineStr">
        <is>
          <t>邀请函电子版模板企业</t>
        </is>
      </c>
      <c r="B44">
        <v>81</v>
      </c>
      <c r="C44" t="inlineStr">
        <is>
          <t>宝子稍等片刻，资源正在路上</t>
        </is>
      </c>
      <c r="D44" t="inlineStr">
        <is>
          <t>是</t>
        </is>
      </c>
      <c r="E44" t="inlineStr">
        <is>
          <t>邀请函电子版模板企业商务晚宴请柬word公司会议年会庆典请帖素材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4" s="2" t="str">
        <f>=HYPERLINK("http://img.alicdn.com/bao/uploaded/i3/O1CN01GHbUGR1dZ5wr9Y8Z9_!!4611686018427387605-0-fleamarket.jpg_790x10000Q90.jpg_.webp", "img.alicdn.com/bao/uploaded/i3/O1CN01GHbUGR1dZ5wr9Y8Z9_!!4611686018427387605-0-fleamarket.jpg_790x10000Q90.jpg_.webp")</f>
        <v>img.alicdn.com/bao/uploaded/i3/O1CN01GHbUGR1dZ5wr9Y8Z9_!!4611686018427387605-0-fleamarket.jpg_790x10000Q90.jpg_.webp</v>
      </c>
      <c r="G44"/>
      <c r="H44" s="2" t="str">
        <f>=HYPERLINK("https://www.goofish.com/item?spm=a21ybx.personal.feeds.475.12e16ac2PYxLX9&amp;id=985666559871&amp;categoryId=50023914", "https://www.goofish.com/item?spm=a21ybx.personal.feeds.475.12e16ac2PYxLX9&amp;id=985666559871&amp;categoryId=50023914")</f>
        <v>https://www.goofish.com/item?spm=a21ybx.personal.feeds.475.12e16ac2PYxLX9&amp;id=985666559871&amp;categoryId=50023914</v>
      </c>
      <c r="I44"/>
      <c r="J44"/>
      <c r="K44"/>
      <c r="L44"/>
    </row>
    <row r="45" ht="25.5" customHeight="1">
      <c r="A45" t="inlineStr">
        <is>
          <t>高级感年终工作总结转</t>
        </is>
      </c>
      <c r="B45">
        <v>82</v>
      </c>
      <c r="C45" t="inlineStr">
        <is>
          <t>宝子稍等片刻，资源正在路上</t>
        </is>
      </c>
      <c r="D45" t="inlineStr">
        <is>
          <t>是</t>
        </is>
      </c>
      <c r="E45" t="inlineStr">
        <is>
          <t>高级感年终工作总结转正述职汇报甘特图逻辑架构数据图表ppt模板
——★24小时自动秒发百度网盘 ★——
——★24小时自动秒发百度网盘 ★——
——★24小时自动秒发百度网盘 ★——
一款218页，不是218款哦亲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5" s="2" t="str">
        <f>=HYPERLINK("http://img.alicdn.com/bao/uploaded/i2/O1CN01fzjgv91dZ5wxmRYjG_!!4611686018427387605-0-fleamarket.jpg_790x10000Q90.jpg_.webp", "img.alicdn.com/bao/uploaded/i2/O1CN01fzjgv91dZ5wxmRYjG_!!4611686018427387605-0-fleamarket.jpg_790x10000Q90.jpg_.webp")</f>
        <v>img.alicdn.com/bao/uploaded/i2/O1CN01fzjgv91dZ5wxmRYjG_!!4611686018427387605-0-fleamarket.jpg_790x10000Q90.jpg_.webp</v>
      </c>
      <c r="G45"/>
      <c r="H45" s="2" t="str">
        <f>=HYPERLINK("https://www.goofish.com/item?spm=a21ybx.personal.feeds.421.12e16ac2PYxLX9&amp;id=989300669579&amp;categoryId=50023914", "https://www.goofish.com/item?spm=a21ybx.personal.feeds.421.12e16ac2PYxLX9&amp;id=989300669579&amp;categoryId=50023914")</f>
        <v>https://www.goofish.com/item?spm=a21ybx.personal.feeds.421.12e16ac2PYxLX9&amp;id=989300669579&amp;categoryId=50023914</v>
      </c>
      <c r="I45"/>
      <c r="J45"/>
      <c r="K45"/>
      <c r="L45"/>
    </row>
    <row r="46" ht="25.5" customHeight="1">
      <c r="A46" t="inlineStr">
        <is>
          <t>屎盆子镶金边PPT模</t>
        </is>
      </c>
      <c r="B46">
        <v>83</v>
      </c>
      <c r="C46" t="inlineStr">
        <is>
          <t>宝子稍等片刻，资源正在路上</t>
        </is>
      </c>
      <c r="D46" t="inlineStr">
        <is>
          <t>是</t>
        </is>
      </c>
      <c r="E46" t="inlineStr">
        <is>
          <t>屎盆子镶金边PPT模板素材高级感动态快闪创意平滑轮播极简约商务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6" s="2" t="str">
        <f>=HYPERLINK("http://img.alicdn.com/bao/uploaded/i1/O1CN01mNw1wM1dZ5wxmO5rL_!!4611686018427387605-0-fleamarket.jpg_790x10000Q90.jpg_.webp", "img.alicdn.com/bao/uploaded/i1/O1CN01mNw1wM1dZ5wxmO5rL_!!4611686018427387605-0-fleamarket.jpg_790x10000Q90.jpg_.webp")</f>
        <v>img.alicdn.com/bao/uploaded/i1/O1CN01mNw1wM1dZ5wxmO5rL_!!4611686018427387605-0-fleamarket.jpg_790x10000Q90.jpg_.webp</v>
      </c>
      <c r="G46"/>
      <c r="H46" s="2" t="str">
        <f>=HYPERLINK("https://www.goofish.com/item?spm=a21ybx.personal.feeds.427.12e16ac2PYxLX9&amp;id=987781123378&amp;categoryId=50023914", "https://www.goofish.com/item?spm=a21ybx.personal.feeds.427.12e16ac2PYxLX9&amp;id=987781123378&amp;categoryId=50023914")</f>
        <v>https://www.goofish.com/item?spm=a21ybx.personal.feeds.427.12e16ac2PYxLX9&amp;id=987781123378&amp;categoryId=50023914</v>
      </c>
      <c r="I46"/>
      <c r="J46"/>
      <c r="K46"/>
      <c r="L46"/>
    </row>
    <row r="47" ht="25.5" customHeight="1">
      <c r="A47" t="inlineStr">
        <is>
          <t>研究生组会文献汇报P</t>
        </is>
      </c>
      <c r="B47">
        <v>84</v>
      </c>
      <c r="C47" t="inlineStr">
        <is>
          <t>宝子稍等片刻，资源正在路上</t>
        </is>
      </c>
      <c r="D47" t="inlineStr">
        <is>
          <t>是</t>
        </is>
      </c>
      <c r="E47" t="inlineStr">
        <is>
          <t>研究生组会文献汇报PPT模板解读研究现状英文综述博士后阅读报告
——★24小时自动秒发百度网盘 ★——
——★24小时自动秒发百度网盘 ★——
——★24小时自动秒发百度网盘 ★——
33套PPT组会文献汇报 硕士博士 中文英文 学术汇报 框架完整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7" s="2" t="str">
        <f>=HYPERLINK("http://img.alicdn.com/bao/uploaded/i2/O1CN01aDqa5E1dZ5x0uC6nh_!!4611686018427387605-0-fleamarket.jpg_790x10000Q90.jpg_.webp", "img.alicdn.com/bao/uploaded/i2/O1CN01aDqa5E1dZ5x0uC6nh_!!4611686018427387605-0-fleamarket.jpg_790x10000Q90.jpg_.webp")</f>
        <v>img.alicdn.com/bao/uploaded/i2/O1CN01aDqa5E1dZ5x0uC6nh_!!4611686018427387605-0-fleamarket.jpg_790x10000Q90.jpg_.webp</v>
      </c>
      <c r="G47"/>
      <c r="H47" s="2" t="str">
        <f>=HYPERLINK("https://www.goofish.com/item?spm=a21ybx.personal.feeds.392.12e16ac2PYxLX9&amp;id=989296162241&amp;categoryId=50023914", "https://www.goofish.com/item?spm=a21ybx.personal.feeds.392.12e16ac2PYxLX9&amp;id=989296162241&amp;categoryId=50023914")</f>
        <v>https://www.goofish.com/item?spm=a21ybx.personal.feeds.392.12e16ac2PYxLX9&amp;id=989296162241&amp;categoryId=50023914</v>
      </c>
      <c r="I47"/>
      <c r="J47"/>
      <c r="K47"/>
      <c r="L47"/>
    </row>
    <row r="48" ht="25.5" customHeight="1">
      <c r="A48" t="inlineStr">
        <is>
          <t>世界全国职业院校技能</t>
        </is>
      </c>
      <c r="B48">
        <v>85</v>
      </c>
      <c r="C48" t="inlineStr">
        <is>
          <t>宝子稍等片刻，资源正在路上</t>
        </is>
      </c>
      <c r="D48" t="inlineStr">
        <is>
          <t>是</t>
        </is>
      </c>
      <c r="E48" t="inlineStr">
        <is>
          <t>世界全国职业院校技能大赛PPT模板资料逐字稿全赛道高级感可编辑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8" s="2" t="str">
        <f>=HYPERLINK("http://img.alicdn.com/bao/uploaded/i1/O1CN01TUaGZb1dZ5wq1dPl4_!!4611686018427387605-0-fleamarket.jpg_790x10000Q90.jpg_.webp", "img.alicdn.com/bao/uploaded/i1/O1CN01TUaGZb1dZ5wq1dPl4_!!4611686018427387605-0-fleamarket.jpg_790x10000Q90.jpg_.webp")</f>
        <v>img.alicdn.com/bao/uploaded/i1/O1CN01TUaGZb1dZ5wq1dPl4_!!4611686018427387605-0-fleamarket.jpg_790x10000Q90.jpg_.webp</v>
      </c>
      <c r="G48"/>
      <c r="H48" s="2" t="str">
        <f>=HYPERLINK("https://www.goofish.com/item?spm=a21ybx.personal.feeds.477.12e16ac2PYxLX9&amp;id=987649944333&amp;categoryId=50023914", "https://www.goofish.com/item?spm=a21ybx.personal.feeds.477.12e16ac2PYxLX9&amp;id=987649944333&amp;categoryId=50023914")</f>
        <v>https://www.goofish.com/item?spm=a21ybx.personal.feeds.477.12e16ac2PYxLX9&amp;id=987649944333&amp;categoryId=50023914</v>
      </c>
      <c r="I48"/>
      <c r="J48"/>
      <c r="K48"/>
      <c r="L48"/>
    </row>
    <row r="49" ht="25.5" customHeight="1">
      <c r="A49" t="inlineStr">
        <is>
          <t>excel高级可视化</t>
        </is>
      </c>
      <c r="B49">
        <v>86</v>
      </c>
      <c r="C49" t="inlineStr">
        <is>
          <t>宝子稍等片刻，资源正在路上</t>
        </is>
      </c>
      <c r="D49" t="inlineStr">
        <is>
          <t>是</t>
        </is>
      </c>
      <c r="E49" t="inlineStr">
        <is>
          <t>excel高级可视化大屏数据分析图表模版PPT动态销售财务看板柱状图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9" s="2" t="str">
        <f>=HYPERLINK("http://img.alicdn.com/bao/uploaded/i2/O1CN01JO1zmS1dZ5wxos4Yf_!!4611686018427387605-0-fleamarket.jpg_790x10000Q90.jpg_.webp", "img.alicdn.com/bao/uploaded/i2/O1CN01JO1zmS1dZ5wxos4Yf_!!4611686018427387605-0-fleamarket.jpg_790x10000Q90.jpg_.webp")</f>
        <v>img.alicdn.com/bao/uploaded/i2/O1CN01JO1zmS1dZ5wxos4Yf_!!4611686018427387605-0-fleamarket.jpg_790x10000Q90.jpg_.webp</v>
      </c>
      <c r="G49"/>
      <c r="H49" s="2" t="str">
        <f>=HYPERLINK("https://www.goofish.com/item?spm=a21ybx.personal.feeds.409.12e16ac2PYxLX9&amp;id=989312953171&amp;categoryId=50023914", "https://www.goofish.com/item?spm=a21ybx.personal.feeds.409.12e16ac2PYxLX9&amp;id=989312953171&amp;categoryId=50023914")</f>
        <v>https://www.goofish.com/item?spm=a21ybx.personal.feeds.409.12e16ac2PYxLX9&amp;id=989312953171&amp;categoryId=50023914</v>
      </c>
      <c r="I49"/>
      <c r="J49"/>
      <c r="K49"/>
      <c r="L49"/>
    </row>
    <row r="50" ht="25.5" customHeight="1">
      <c r="A50" t="inlineStr">
        <is>
          <t>创赛PPT模板创新创</t>
        </is>
      </c>
      <c r="B50">
        <v>87</v>
      </c>
      <c r="C50" t="inlineStr">
        <is>
          <t>宝子稍等片刻，资源正在路上</t>
        </is>
      </c>
      <c r="D50" t="inlineStr">
        <is>
          <t>是</t>
        </is>
      </c>
      <c r="E50" t="inlineStr">
        <is>
          <t>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t>
        </is>
      </c>
      <c r="F50" s="2" t="str">
        <f>=HYPERLINK("http://img.alicdn.com/bao/uploaded/i4/O1CN01Q63Ezx1dZ5wFvlkgn_!!4611686018427387605-0-fleamarket.jpg_790x10000Q90.jpg_.webp", "img.alicdn.com/bao/uploaded/i4/O1CN01Q63Ezx1dZ5wFvlkgn_!!4611686018427387605-0-fleamarket.jpg_790x10000Q90.jpg_.webp")</f>
        <v>img.alicdn.com/bao/uploaded/i4/O1CN01Q63Ezx1dZ5wFvlkgn_!!4611686018427387605-0-fleamarket.jpg_790x10000Q90.jpg_.webp</v>
      </c>
      <c r="G50"/>
      <c r="H50" s="2" t="str">
        <f>=HYPERLINK("https://www.goofish.com/item?spm=a21ybx.personal.feeds.275.12e16ac2PYxLX9&amp;id=973239537314&amp;categoryId=201664707", "https://www.goofish.com/item?spm=a21ybx.personal.feeds.275.12e16ac2PYxLX9&amp;id=973239537314&amp;categoryId=201664707")</f>
        <v>https://www.goofish.com/item?spm=a21ybx.personal.feeds.275.12e16ac2PYxLX9&amp;id=973239537314&amp;categoryId=201664707</v>
      </c>
      <c r="I50"/>
      <c r="J50"/>
      <c r="K50"/>
      <c r="L50"/>
    </row>
    <row r="51" ht="25.5" customHeight="1">
      <c r="A51" t="inlineStr">
        <is>
          <t>读书分享ppt成品模</t>
        </is>
      </c>
      <c r="B51">
        <v>88</v>
      </c>
      <c r="C51" t="inlineStr">
        <is>
          <t>宝子稍等片刻，资源正在路上</t>
        </is>
      </c>
      <c r="D51" t="inlineStr">
        <is>
          <t>是</t>
        </is>
      </c>
      <c r="E51" t="inlineStr">
        <is>
          <t>读书分享ppt成品模板名著诗词带讲稿教师学生读后感课外好书推荐
——★24小时自动秒发百度网盘 ★——
——★24小时自动秒发百度网盘 ★——
——★24小时自动秒发百度网盘 ★——
4800套读书分享PPT 教师读书 世界读书日 诗词名著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1" s="2" t="str">
        <f>=HYPERLINK("http://img.alicdn.com/bao/uploaded/i2/O1CN01lAIKG01dZ5x1etfQr_!!4611686018427387605-0-fleamarket.jpg_790x10000Q90.jpg_.webp", "img.alicdn.com/bao/uploaded/i2/O1CN01lAIKG01dZ5x1etfQr_!!4611686018427387605-0-fleamarket.jpg_790x10000Q90.jpg_.webp")</f>
        <v>img.alicdn.com/bao/uploaded/i2/O1CN01lAIKG01dZ5x1etfQr_!!4611686018427387605-0-fleamarket.jpg_790x10000Q90.jpg_.webp</v>
      </c>
      <c r="G51"/>
      <c r="H51" s="2" t="str">
        <f>=HYPERLINK("https://www.goofish.com/item?spm=a21ybx.personal.feeds.379.12e16ac2PYxLX9&amp;id=991214376436&amp;categoryId=50023914", "https://www.goofish.com/item?spm=a21ybx.personal.feeds.379.12e16ac2PYxLX9&amp;id=991214376436&amp;categoryId=50023914")</f>
        <v>https://www.goofish.com/item?spm=a21ybx.personal.feeds.379.12e16ac2PYxLX9&amp;id=991214376436&amp;categoryId=50023914</v>
      </c>
      <c r="I51"/>
      <c r="J51"/>
      <c r="K51"/>
      <c r="L51"/>
    </row>
    <row r="52" ht="25.5" customHeight="1">
      <c r="A52" t="inlineStr">
        <is>
          <t>ppt科研绘图素材材</t>
        </is>
      </c>
      <c r="B52">
        <v>89</v>
      </c>
      <c r="C52" t="inlineStr">
        <is>
          <t>宝子稍等片刻，资源正在路上</t>
        </is>
      </c>
      <c r="D52" t="inlineStr">
        <is>
          <t>是</t>
        </is>
      </c>
      <c r="E52" t="inlineStr">
        <is>
          <t>ppt科研绘图素材材料实验仪器设备化学生物流程图片SCI器官细胞AI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2" s="2" t="str">
        <f>=HYPERLINK("http://img.alicdn.com/bao/uploaded/i1/O1CN01bVhU2t1dZ5woY9rgd_!!4611686018427387605-0-fleamarket.jpg_790x10000Q90.jpg_.webp", "img.alicdn.com/bao/uploaded/i1/O1CN01bVhU2t1dZ5woY9rgd_!!4611686018427387605-0-fleamarket.jpg_790x10000Q90.jpg_.webp")</f>
        <v>img.alicdn.com/bao/uploaded/i1/O1CN01bVhU2t1dZ5woY9rgd_!!4611686018427387605-0-fleamarket.jpg_790x10000Q90.jpg_.webp</v>
      </c>
      <c r="G52"/>
      <c r="H52" s="2" t="str">
        <f>=HYPERLINK("https://www.goofish.com/item?spm=a21ybx.personal.feeds.487.12e16ac2PYxLX9&amp;id=986229413477&amp;categoryId=50023914", "https://www.goofish.com/item?spm=a21ybx.personal.feeds.487.12e16ac2PYxLX9&amp;id=986229413477&amp;categoryId=50023914")</f>
        <v>https://www.goofish.com/item?spm=a21ybx.personal.feeds.487.12e16ac2PYxLX9&amp;id=986229413477&amp;categoryId=50023914</v>
      </c>
      <c r="I52"/>
      <c r="J52"/>
      <c r="K52"/>
      <c r="L52"/>
    </row>
    <row r="53" ht="25.5" customHeight="1">
      <c r="A53" t="inlineStr">
        <is>
          <t>全国赛教学能力大赛实</t>
        </is>
      </c>
      <c r="B53">
        <v>90</v>
      </c>
      <c r="C53" t="inlineStr">
        <is>
          <t>宝子稍等片刻，资源正在路上</t>
        </is>
      </c>
      <c r="D53" t="inlineStr">
        <is>
          <t>是</t>
        </is>
      </c>
      <c r="E53" t="inlineStr">
        <is>
          <t>全国赛教学能力大赛实施报告PPT模板十二图汇报配图职业院校技能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3" s="2" t="str">
        <f>=HYPERLINK("http://img.alicdn.com/bao/uploaded/i3/O1CN01CQpTko1dZ5wuPT7GU_!!4611686018427387605-0-fleamarket.jpg_790x10000Q90.jpg_.webp", "img.alicdn.com/bao/uploaded/i3/O1CN01CQpTko1dZ5wuPT7GU_!!4611686018427387605-0-fleamarket.jpg_790x10000Q90.jpg_.webp")</f>
        <v>img.alicdn.com/bao/uploaded/i3/O1CN01CQpTko1dZ5wuPT7GU_!!4611686018427387605-0-fleamarket.jpg_790x10000Q90.jpg_.webp</v>
      </c>
      <c r="G53"/>
      <c r="H53" s="2" t="str">
        <f>=HYPERLINK("https://www.goofish.com/item?spm=a21ybx.personal.feeds.443.12e16ac2PYxLX9&amp;id=987346986432&amp;categoryId=50023914", "https://www.goofish.com/item?spm=a21ybx.personal.feeds.443.12e16ac2PYxLX9&amp;id=987346986432&amp;categoryId=50023914")</f>
        <v>https://www.goofish.com/item?spm=a21ybx.personal.feeds.443.12e16ac2PYxLX9&amp;id=987346986432&amp;categoryId=50023914</v>
      </c>
      <c r="I53"/>
      <c r="J53"/>
      <c r="K53"/>
      <c r="L53"/>
    </row>
    <row r="54" ht="25.5" customHeight="1">
      <c r="A54" t="inlineStr">
        <is>
          <t>非遗文化PPT模板成</t>
        </is>
      </c>
      <c r="B54">
        <v>91</v>
      </c>
      <c r="C54" t="inlineStr">
        <is>
          <t>宝子稍等片刻，资源正在路上</t>
        </is>
      </c>
      <c r="D54" t="inlineStr">
        <is>
          <t>是</t>
        </is>
      </c>
      <c r="E54" t="inlineStr">
        <is>
          <t>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4" s="2" t="str">
        <f>=HYPERLINK("http://img.alicdn.com/bao/uploaded/i3/O1CN011Na5nO1dZ5xEIJogw_!!4611686018427387605-0-fleamarket.jpg_790x10000Q90.jpg_.webp", "img.alicdn.com/bao/uploaded/i3/O1CN011Na5nO1dZ5xEIJogw_!!4611686018427387605-0-fleamarket.jpg_790x10000Q90.jpg_.webp")</f>
        <v>img.alicdn.com/bao/uploaded/i3/O1CN011Na5nO1dZ5xEIJogw_!!4611686018427387605-0-fleamarket.jpg_790x10000Q90.jpg_.webp</v>
      </c>
      <c r="G54"/>
      <c r="H54" s="2" t="str">
        <f>=HYPERLINK("https://www.goofish.com/item?spm=a21ybx.personal.feeds.205.12e16ac2PYxLX9&amp;id=992755850412&amp;categoryId=50023914", "https://www.goofish.com/item?spm=a21ybx.personal.feeds.205.12e16ac2PYxLX9&amp;id=992755850412&amp;categoryId=50023914")</f>
        <v>https://www.goofish.com/item?spm=a21ybx.personal.feeds.205.12e16ac2PYxLX9&amp;id=992755850412&amp;categoryId=50023914</v>
      </c>
      <c r="I54"/>
      <c r="J54"/>
      <c r="K54"/>
      <c r="L54"/>
    </row>
    <row r="55" ht="25.5" customHeight="1">
      <c r="A55" t="inlineStr">
        <is>
          <t>旅游宣传PPT模板出</t>
        </is>
      </c>
      <c r="B55">
        <v>92</v>
      </c>
      <c r="C55" t="inlineStr">
        <is>
          <t>宝子稍等片刻，资源正在路上</t>
        </is>
      </c>
      <c r="D55" t="inlineStr">
        <is>
          <t>是</t>
        </is>
      </c>
      <c r="E55" t="inlineStr">
        <is>
          <t>旅游宣传PPT模板出行攻略旅行画册城市介绍景点文旅推广简约风格
——★24小时自动秒发百度网盘 ★——
——★24小时自动秒发百度网盘 ★——
——★24小时自动秒发百度网盘 ★——
精选118套旅游宣传PPT 城市介绍 规划攻略 景点宣传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5" s="2" t="str">
        <f>=HYPERLINK("http://img.alicdn.com/bao/uploaded/i3/O1CN011BoLn11dZ5x7866PT_!!4611686018427387605-0-fleamarket.jpg_790x10000Q90.jpg_.webp", "img.alicdn.com/bao/uploaded/i3/O1CN011BoLn11dZ5x7866PT_!!4611686018427387605-0-fleamarket.jpg_790x10000Q90.jpg_.webp")</f>
        <v>img.alicdn.com/bao/uploaded/i3/O1CN011BoLn11dZ5x7866PT_!!4611686018427387605-0-fleamarket.jpg_790x10000Q90.jpg_.webp</v>
      </c>
      <c r="G55"/>
      <c r="H55" s="2" t="str">
        <f>=HYPERLINK("https://www.goofish.com/item?spm=a21ybx.personal.feeds.336.12e16ac2PYxLX9&amp;id=992134284696&amp;categoryId=50023914", "https://www.goofish.com/item?spm=a21ybx.personal.feeds.336.12e16ac2PYxLX9&amp;id=992134284696&amp;categoryId=50023914")</f>
        <v>https://www.goofish.com/item?spm=a21ybx.personal.feeds.336.12e16ac2PYxLX9&amp;id=992134284696&amp;categoryId=50023914</v>
      </c>
      <c r="I55"/>
      <c r="J55"/>
      <c r="K55"/>
      <c r="L55"/>
    </row>
    <row r="56" ht="25.5" customHeight="1">
      <c r="A56" t="inlineStr">
        <is>
          <t>爱国主题诗歌朗诵演讲</t>
        </is>
      </c>
      <c r="B56">
        <v>93</v>
      </c>
      <c r="C56" t="inlineStr">
        <is>
          <t>宝子稍等片刻，资源正在路上</t>
        </is>
      </c>
      <c r="D56" t="inlineStr">
        <is>
          <t>是</t>
        </is>
      </c>
      <c r="E56" t="inlineStr">
        <is>
          <t>爱国主题诗歌朗诵演讲比赛晚会舞台演出红歌led高清背景视频素材
——★24小时自动秒发百度网盘 ★——
——★24小时自动秒发百度网盘 ★——
——★24小时自动秒发百度网盘 ★——
演讲/朗诵视频合集
部分是:示范版(有人声)+配乐版(纯音乐)+MP3音乐+词稿
我们是高清像素!1920X1080!
像素很高!几米宽的显示屏也可使用!
全为MP4格式，均带伴奏视频，时长1-15分钟不等
218个背景视频全发您，很全!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6" s="2" t="str">
        <f>=HYPERLINK("http://img.alicdn.com/bao/uploaded/i1/O1CN01JZPG4i1dZ5wkU7eRp_!!4611686018427387605-0-fleamarket.jpg_790x10000Q90.jpg_.webp", "img.alicdn.com/bao/uploaded/i1/O1CN01JZPG4i1dZ5wkU7eRp_!!4611686018427387605-0-fleamarket.jpg_790x10000Q90.jpg_.webp")</f>
        <v>img.alicdn.com/bao/uploaded/i1/O1CN01JZPG4i1dZ5wkU7eRp_!!4611686018427387605-0-fleamarket.jpg_790x10000Q90.jpg_.webp</v>
      </c>
      <c r="G56"/>
      <c r="H56" s="2" t="str">
        <f>=HYPERLINK("https://www.goofish.com/item?spm=a21ybx.personal.feeds.498.12e16ac2PYxLX9&amp;id=985529520678&amp;categoryId=50023914", "https://www.goofish.com/item?spm=a21ybx.personal.feeds.498.12e16ac2PYxLX9&amp;id=985529520678&amp;categoryId=50023914")</f>
        <v>https://www.goofish.com/item?spm=a21ybx.personal.feeds.498.12e16ac2PYxLX9&amp;id=985529520678&amp;categoryId=50023914</v>
      </c>
      <c r="I56"/>
      <c r="J56"/>
      <c r="K56"/>
      <c r="L56"/>
    </row>
    <row r="57" ht="25.5" customHeight="1">
      <c r="A57" t="inlineStr">
        <is>
          <t>2026年带农历丙午</t>
        </is>
      </c>
      <c r="B57">
        <v>94</v>
      </c>
      <c r="C57" t="inlineStr">
        <is>
          <t>宝子稍等片刻，资源正在路上</t>
        </is>
      </c>
      <c r="D57" t="inlineStr">
        <is>
          <t>是</t>
        </is>
      </c>
      <c r="E57" t="inlineStr">
        <is>
          <t>2026年带农历丙午年【马年】日历电子版文件素材高清可编辑excel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7" s="2" t="str">
        <f>=HYPERLINK("http://img.alicdn.com/bao/uploaded/i2/O1CN01Mz388x1dZ5x3GgWrX_!!4611686018427387605-0-fleamarket.jpg_790x10000Q90.jpg_.webp", "img.alicdn.com/bao/uploaded/i2/O1CN01Mz388x1dZ5x3GgWrX_!!4611686018427387605-0-fleamarket.jpg_790x10000Q90.jpg_.webp")</f>
        <v>img.alicdn.com/bao/uploaded/i2/O1CN01Mz388x1dZ5x3GgWrX_!!4611686018427387605-0-fleamarket.jpg_790x10000Q90.jpg_.webp</v>
      </c>
      <c r="G57"/>
      <c r="H57" s="2" t="str">
        <f>=HYPERLINK("https://www.goofish.com/item?spm=a21ybx.personal.feeds.358.12e16ac2PYxLX9&amp;id=991552412013&amp;categoryId=50023914", "https://www.goofish.com/item?spm=a21ybx.personal.feeds.358.12e16ac2PYxLX9&amp;id=991552412013&amp;categoryId=50023914")</f>
        <v>https://www.goofish.com/item?spm=a21ybx.personal.feeds.358.12e16ac2PYxLX9&amp;id=991552412013&amp;categoryId=50023914</v>
      </c>
      <c r="I57"/>
      <c r="J57"/>
      <c r="K57"/>
      <c r="L57"/>
    </row>
    <row r="58" ht="25.5" customHeight="1">
      <c r="A58" t="inlineStr">
        <is>
          <t>疯狂动物城PPT模板</t>
        </is>
      </c>
      <c r="B58">
        <v>95</v>
      </c>
      <c r="C58" t="inlineStr">
        <is>
          <t>宝子稍等片刻，资源正在路上</t>
        </is>
      </c>
      <c r="D58" t="inlineStr">
        <is>
          <t>是</t>
        </is>
      </c>
      <c r="E58" t="inlineStr">
        <is>
          <t>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8" s="2" t="str">
        <f>=HYPERLINK("http://img.alicdn.com/bao/uploaded/i2/O1CN01E6FcQF1dZ5xX0xSC0_!!4611686018427387605-0-fleamarket.jpg_790x10000Q90.jpg_.webp", "img.alicdn.com/bao/uploaded/i2/O1CN01E6FcQF1dZ5xX0xSC0_!!4611686018427387605-0-fleamarket.jpg_790x10000Q90.jpg_.webp")</f>
        <v>img.alicdn.com/bao/uploaded/i2/O1CN01E6FcQF1dZ5xX0xSC0_!!4611686018427387605-0-fleamarket.jpg_790x10000Q90.jpg_.webp</v>
      </c>
      <c r="G58"/>
      <c r="H58" s="2" t="str">
        <f>=HYPERLINK("https://www.goofish.com/item?spm=a21ybx.personal.feeds.32.12e16ac2PYxLX9&amp;id=999137226968&amp;categoryId=50023914", "https://www.goofish.com/item?spm=a21ybx.personal.feeds.32.12e16ac2PYxLX9&amp;id=999137226968&amp;categoryId=50023914")</f>
        <v>https://www.goofish.com/item?spm=a21ybx.personal.feeds.32.12e16ac2PYxLX9&amp;id=999137226968&amp;categoryId=50023914</v>
      </c>
      <c r="I58"/>
      <c r="J58"/>
      <c r="K58"/>
      <c r="L58"/>
    </row>
    <row r="59" ht="25.5" customHeight="1">
      <c r="A59" t="inlineStr">
        <is>
          <t>儿童绘本故事PPT电</t>
        </is>
      </c>
      <c r="B59">
        <v>96</v>
      </c>
      <c r="C59" t="inlineStr">
        <is>
          <t>【超级会员V1】通过百度网盘分享的文件：故事绘本
链接:https://pan.baidu.com/s/1YZDBBU0V2kNIiDzpLSDv8w 
提取码:2nao
复制这段内容打开「百度网盘APP 即可获取」</t>
        </is>
      </c>
      <c r="D59" t="inlineStr">
        <is>
          <t>是</t>
        </is>
      </c>
      <c r="E59" t="inlineStr">
        <is>
          <t>儿童绘本故事PPT电子版幼儿园小学早教大中小班英语阅读课件教案
——★24小时自动秒发百度网盘 ★——
——★24小时自动秒发百度网盘 ★——
——★24小时自动秒发百度网盘 ★——
8900套儿童故事绘本 PPT+教案+绘本+动画
小班/中班/大班/小学绘本 今年新款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9" s="2" t="str">
        <f>=HYPERLINK("http://img.alicdn.com/bao/uploaded/i3/O1CN01IO6yEj1dZ5wyD6qmm_!!4611686018427387605-0-fleamarket.jpg_790x10000Q90.jpg_.webp", "img.alicdn.com/bao/uploaded/i3/O1CN01IO6yEj1dZ5wyD6qmm_!!4611686018427387605-0-fleamarket.jpg_790x10000Q90.jpg_.webp")</f>
        <v>img.alicdn.com/bao/uploaded/i3/O1CN01IO6yEj1dZ5wyD6qmm_!!4611686018427387605-0-fleamarket.jpg_790x10000Q90.jpg_.webp</v>
      </c>
      <c r="G59"/>
      <c r="H59" s="2" t="str">
        <f>=HYPERLINK("https://www.goofish.com/item?spm=a21ybx.personal.feeds.346.12e16ac2PYxLX9&amp;id=990876161430&amp;categoryId=50023914", "https://www.goofish.com/item?spm=a21ybx.personal.feeds.346.12e16ac2PYxLX9&amp;id=990876161430&amp;categoryId=50023914")</f>
        <v>https://www.goofish.com/item?spm=a21ybx.personal.feeds.346.12e16ac2PYxLX9&amp;id=990876161430&amp;categoryId=50023914</v>
      </c>
      <c r="I59"/>
      <c r="J59"/>
      <c r="K59"/>
      <c r="L59"/>
    </row>
    <row r="60" ht="25.5" customHeight="1">
      <c r="A60" t="inlineStr">
        <is>
          <t>大学生个人职业生涯规</t>
        </is>
      </c>
      <c r="B60">
        <v>97</v>
      </c>
      <c r="C60" t="inlineStr">
        <is>
          <t>宝子稍等片刻，资源正在路上</t>
        </is>
      </c>
      <c r="D60" t="inlineStr">
        <is>
          <t>是</t>
        </is>
      </c>
      <c r="E60" t="inlineStr">
        <is>
          <t>大学生个人职业生涯规划书简约就业指导求职工作计划通用ppt模板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0" s="2" t="str">
        <f>=HYPERLINK("http://img.alicdn.com/bao/uploaded/i3/O1CN01xkkmvq1dZ5x8bNJ3Q_!!4611686018427387605-0-fleamarket.jpg_790x10000Q90.jpg_.webp", "img.alicdn.com/bao/uploaded/i3/O1CN01xkkmvq1dZ5x8bNJ3Q_!!4611686018427387605-0-fleamarket.jpg_790x10000Q90.jpg_.webp")</f>
        <v>img.alicdn.com/bao/uploaded/i3/O1CN01xkkmvq1dZ5x8bNJ3Q_!!4611686018427387605-0-fleamarket.jpg_790x10000Q90.jpg_.webp</v>
      </c>
      <c r="G60"/>
      <c r="H60" s="2" t="str">
        <f>=HYPERLINK("https://www.goofish.com/item?spm=a21ybx.personal.feeds.319.12e16ac2PYxLX9&amp;id=991146598294&amp;categoryId=50023914", "https://www.goofish.com/item?spm=a21ybx.personal.feeds.319.12e16ac2PYxLX9&amp;id=991146598294&amp;categoryId=50023914")</f>
        <v>https://www.goofish.com/item?spm=a21ybx.personal.feeds.319.12e16ac2PYxLX9&amp;id=991146598294&amp;categoryId=50023914</v>
      </c>
      <c r="I60"/>
      <c r="J60"/>
      <c r="K60"/>
      <c r="L60"/>
    </row>
    <row r="61" ht="25.5" customHeight="1">
      <c r="A61" t="inlineStr">
        <is>
          <t>创赛PPT模板专用字</t>
        </is>
      </c>
      <c r="B61">
        <v>98</v>
      </c>
      <c r="C61" t="inlineStr">
        <is>
          <t>宝子稍等片刻，资源正在路上</t>
        </is>
      </c>
      <c r="D61" t="inlineStr">
        <is>
          <t>是</t>
        </is>
      </c>
      <c r="E61" t="inlineStr">
        <is>
          <t>创赛PPT模板专用字体包封面高级三创赛新创业大赛互联网加挑战杯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1" s="2" t="str">
        <f>=HYPERLINK("http://img.alicdn.com/bao/uploaded/i1/O1CN01Md3B5Q1dZ5x3NSLRI_!!4611686018427387605-0-fleamarket.jpg_790x10000Q90.jpg_.webp", "img.alicdn.com/bao/uploaded/i1/O1CN01Md3B5Q1dZ5x3NSLRI_!!4611686018427387605-0-fleamarket.jpg_790x10000Q90.jpg_.webp")</f>
        <v>img.alicdn.com/bao/uploaded/i1/O1CN01Md3B5Q1dZ5x3NSLRI_!!4611686018427387605-0-fleamarket.jpg_790x10000Q90.jpg_.webp</v>
      </c>
      <c r="G61"/>
      <c r="H61" s="2" t="str">
        <f>=HYPERLINK("https://www.goofish.com/item?spm=a21ybx.personal.feeds.364.12e16ac2PYxLX9&amp;id=990592765264&amp;categoryId=50023914", "https://www.goofish.com/item?spm=a21ybx.personal.feeds.364.12e16ac2PYxLX9&amp;id=990592765264&amp;categoryId=50023914")</f>
        <v>https://www.goofish.com/item?spm=a21ybx.personal.feeds.364.12e16ac2PYxLX9&amp;id=990592765264&amp;categoryId=50023914</v>
      </c>
      <c r="I61"/>
      <c r="J61"/>
      <c r="K61"/>
      <c r="L61"/>
    </row>
    <row r="62" ht="25.5" customHeight="1">
      <c r="A62" t="inlineStr">
        <is>
          <t>教学能力大赛PPT比</t>
        </is>
      </c>
      <c r="B62">
        <v>99</v>
      </c>
      <c r="C62" t="inlineStr">
        <is>
          <t>宝子稍等片刻，资源正在路上</t>
        </is>
      </c>
      <c r="D62" t="inlineStr">
        <is>
          <t>是</t>
        </is>
      </c>
      <c r="E62" t="inlineStr">
        <is>
          <t>教学能力大赛PPT比赛说课实施报告创新教学设计架构全国职业院校
——★24小时自动秒发百度网盘 ★——
——★24小时自动秒发百度网盘 ★——
——★24小时自动秒发百度网盘 ★——
16套PPT教学能力大赛 老师和评委都喜欢看的汇报PPT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2" s="2" t="str">
        <f>=HYPERLINK("http://img.alicdn.com/bao/uploaded/i1/O1CN011zfU051dZ5x0mz91t_!!4611686018427387605-0-fleamarket.jpg_790x10000Q90.jpg_.webp", "img.alicdn.com/bao/uploaded/i1/O1CN011zfU051dZ5x0mz91t_!!4611686018427387605-0-fleamarket.jpg_790x10000Q90.jpg_.webp")</f>
        <v>img.alicdn.com/bao/uploaded/i1/O1CN011zfU051dZ5x0mz91t_!!4611686018427387605-0-fleamarket.jpg_790x10000Q90.jpg_.webp</v>
      </c>
      <c r="G62"/>
      <c r="H62" s="2" t="str">
        <f>=HYPERLINK("https://www.goofish.com/item?spm=a21ybx.personal.feeds.391.12e16ac2PYxLX9&amp;id=990051145288&amp;categoryId=50023914", "https://www.goofish.com/item?spm=a21ybx.personal.feeds.391.12e16ac2PYxLX9&amp;id=990051145288&amp;categoryId=50023914")</f>
        <v>https://www.goofish.com/item?spm=a21ybx.personal.feeds.391.12e16ac2PYxLX9&amp;id=990051145288&amp;categoryId=50023914</v>
      </c>
      <c r="I62"/>
      <c r="J62"/>
      <c r="K62"/>
      <c r="L62"/>
    </row>
    <row r="63" ht="25.5" customHeight="1">
      <c r="A63" t="inlineStr">
        <is>
          <t>幼儿园讲故事PPT成</t>
        </is>
      </c>
      <c r="B63">
        <v>100</v>
      </c>
      <c r="C63" t="inlineStr">
        <is>
          <t>宝子稍等片刻，资源正在路上</t>
        </is>
      </c>
      <c r="D63" t="inlineStr">
        <is>
          <t>是</t>
        </is>
      </c>
      <c r="E63" t="inlineStr">
        <is>
          <t>幼儿园讲故事PPT成品含内容幼儿园老师家长进课堂故事资料素材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3" s="2" t="str">
        <f>=HYPERLINK("http://img.alicdn.com/bao/uploaded/i4/O1CN01rguB5z1dZ5wuqVvzZ_!!4611686018427387605-0-fleamarket.jpg_790x10000Q90.jpg_.webp", "img.alicdn.com/bao/uploaded/i4/O1CN01rguB5z1dZ5wuqVvzZ_!!4611686018427387605-0-fleamarket.jpg_790x10000Q90.jpg_.webp")</f>
        <v>img.alicdn.com/bao/uploaded/i4/O1CN01rguB5z1dZ5wuqVvzZ_!!4611686018427387605-0-fleamarket.jpg_790x10000Q90.jpg_.webp</v>
      </c>
      <c r="G63"/>
      <c r="H63" s="2" t="str">
        <f>=HYPERLINK("https://www.goofish.com/item?spm=a21ybx.personal.feeds.451.12e16ac2PYxLX9&amp;id=986798451751&amp;categoryId=50023914", "https://www.goofish.com/item?spm=a21ybx.personal.feeds.451.12e16ac2PYxLX9&amp;id=986798451751&amp;categoryId=50023914")</f>
        <v>https://www.goofish.com/item?spm=a21ybx.personal.feeds.451.12e16ac2PYxLX9&amp;id=986798451751&amp;categoryId=50023914</v>
      </c>
      <c r="I63"/>
      <c r="J63"/>
      <c r="K63"/>
      <c r="L63"/>
    </row>
    <row r="64" ht="25.5" customHeight="1">
      <c r="A64" t="inlineStr">
        <is>
          <t>教师课堂放松神器抽奖</t>
        </is>
      </c>
      <c r="B64">
        <v>101</v>
      </c>
      <c r="C64" t="inlineStr">
        <is>
          <t>宝子稍等片刻，资源正在路上</t>
        </is>
      </c>
      <c r="D64" t="inlineStr">
        <is>
          <t>是</t>
        </is>
      </c>
      <c r="E64" t="inlineStr">
        <is>
          <t>教师课堂放松神器抽奖红包PPT模板砸金蛋转盘趣味互动游戏课件wps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4" s="2" t="str">
        <f>=HYPERLINK("http://img.alicdn.com/bao/uploaded/i1/O1CN01z80CQn1dZ5wup0fwo_!!4611686018427387605-2-fleamarket.png_790x10000.jpg_.webp", "img.alicdn.com/bao/uploaded/i1/O1CN01z80CQn1dZ5wup0fwo_!!4611686018427387605-2-fleamarket.png_790x10000.jpg_.webp")</f>
        <v>img.alicdn.com/bao/uploaded/i1/O1CN01z80CQn1dZ5wup0fwo_!!4611686018427387605-2-fleamarket.png_790x10000.jpg_.webp</v>
      </c>
      <c r="G64"/>
      <c r="H64" s="2" t="str">
        <f>=HYPERLINK("https://www.goofish.com/item?spm=a21ybx.personal.feeds.448.12e16ac2PYxLX9&amp;id=988784320838&amp;categoryId=50023914", "https://www.goofish.com/item?spm=a21ybx.personal.feeds.448.12e16ac2PYxLX9&amp;id=988784320838&amp;categoryId=50023914")</f>
        <v>https://www.goofish.com/item?spm=a21ybx.personal.feeds.448.12e16ac2PYxLX9&amp;id=988784320838&amp;categoryId=50023914</v>
      </c>
      <c r="I64"/>
      <c r="J64"/>
      <c r="K64"/>
      <c r="L64"/>
    </row>
    <row r="65" ht="25.5" customHeight="1">
      <c r="A65" t="inlineStr">
        <is>
          <t>红色大气简约励志商务</t>
        </is>
      </c>
      <c r="B65">
        <v>102</v>
      </c>
      <c r="C65" t="inlineStr">
        <is>
          <t>【超级会员V1】通过百度网盘分享的文件：4272-红色P…
链接:https://pan.baidu.com/s/1wbBVclMKvYSmG5WvgnRysQ 
提取码:44e3
复制这段内容打开「百度网盘APP 即可获取」</t>
        </is>
      </c>
      <c r="D65" t="inlineStr">
        <is>
          <t>是</t>
        </is>
      </c>
      <c r="E65" t="inlineStr">
        <is>
          <t>红色大气简约励志商务个人年终年中工作总结述职汇报动态ppt模板
——★24小时自动秒发百度网盘 ★——
——★24小时自动秒发百度网盘 ★——
——★24小时自动秒发百度网盘 ★——
包含45款 大小:670MB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5" s="2" t="str">
        <f>=HYPERLINK("http://img.alicdn.com/bao/uploaded/i1/O1CN01zmpyI81dZ5wsJEhCX_!!4611686018427387605-0-fleamarket.jpg_790x10000Q90.jpg_.webp", "img.alicdn.com/bao/uploaded/i1/O1CN01zmpyI81dZ5wsJEhCX_!!4611686018427387605-0-fleamarket.jpg_790x10000Q90.jpg_.webp")</f>
        <v>img.alicdn.com/bao/uploaded/i1/O1CN01zmpyI81dZ5wsJEhCX_!!4611686018427387605-0-fleamarket.jpg_790x10000Q90.jpg_.webp</v>
      </c>
      <c r="G65"/>
      <c r="H65" s="2" t="str">
        <f>=HYPERLINK("https://www.goofish.com/item?spm=a21ybx.personal.feeds.468.12e16ac2PYxLX9&amp;id=987779177319&amp;categoryId=50023914", "https://www.goofish.com/item?spm=a21ybx.personal.feeds.468.12e16ac2PYxLX9&amp;id=987779177319&amp;categoryId=50023914")</f>
        <v>https://www.goofish.com/item?spm=a21ybx.personal.feeds.468.12e16ac2PYxLX9&amp;id=987779177319&amp;categoryId=50023914</v>
      </c>
      <c r="I65"/>
      <c r="J65"/>
      <c r="K65"/>
      <c r="L65"/>
    </row>
    <row r="66" ht="25.5" customHeight="1">
      <c r="A66" t="inlineStr">
        <is>
          <t>电商设计详情页模板淘</t>
        </is>
      </c>
      <c r="B66">
        <v>103</v>
      </c>
      <c r="C66" t="inlineStr">
        <is>
          <t>【超级会员V1】通过百度网盘分享的文件：电商全套素材
链接:https://pan.baidu.com/s/15TH6O3uHLq-9ftRSL7-JGw 
提取码:152e
复制这段内容打开「百度网盘APP 即可获取」</t>
        </is>
      </c>
      <c r="D66" t="inlineStr">
        <is>
          <t>是</t>
        </is>
      </c>
      <c r="E66" t="inlineStr">
        <is>
          <t>电商设计详情页模板淘宝商品主图店铺装修首页psd美工ps素材网店
——★24小时自动秒发百度网盘 ★——
——★24小时自动秒发百度网盘 ★——
——★24小时自动秒发百度网盘 ★——
4000套电商详情页 分层PSD+预览图 35类产品介绍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6" s="2" t="str">
        <f>=HYPERLINK("http://img.alicdn.com/bao/uploaded/i2/O1CN01XyFF9V1dZ5x6i5JFC_!!4611686018427387605-0-fleamarket.jpg_790x10000Q90.jpg_.webp", "img.alicdn.com/bao/uploaded/i2/O1CN01XyFF9V1dZ5x6i5JFC_!!4611686018427387605-0-fleamarket.jpg_790x10000Q90.jpg_.webp")</f>
        <v>img.alicdn.com/bao/uploaded/i2/O1CN01XyFF9V1dZ5x6i5JFC_!!4611686018427387605-0-fleamarket.jpg_790x10000Q90.jpg_.webp</v>
      </c>
      <c r="G66"/>
      <c r="H66" s="2" t="str">
        <f>=HYPERLINK("https://www.goofish.com/item?spm=a21ybx.personal.feeds.335.12e16ac2PYxLX9&amp;id=991443629845&amp;categoryId=50023914", "https://www.goofish.com/item?spm=a21ybx.personal.feeds.335.12e16ac2PYxLX9&amp;id=991443629845&amp;categoryId=50023914")</f>
        <v>https://www.goofish.com/item?spm=a21ybx.personal.feeds.335.12e16ac2PYxLX9&amp;id=991443629845&amp;categoryId=50023914</v>
      </c>
      <c r="I66"/>
      <c r="J66"/>
      <c r="K66"/>
      <c r="L66"/>
    </row>
    <row r="67" ht="25.5" customHeight="1">
      <c r="A67" t="inlineStr">
        <is>
          <t>医学品管圈医疗医护理</t>
        </is>
      </c>
      <c r="B67">
        <v>104</v>
      </c>
      <c r="C67" t="inlineStr">
        <is>
          <t>宝子稍等片刻，资源正在路上</t>
        </is>
      </c>
      <c r="D67" t="inlineStr">
        <is>
          <t>是</t>
        </is>
      </c>
      <c r="E67" t="inlineStr">
        <is>
          <t>医学品管圈医疗医护理查房ppt模板医生护士病例工作汇报培训课件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7" s="2" t="str">
        <f>=HYPERLINK("http://img.alicdn.com/bao/uploaded/i1/O1CN01M6z5491dZ5wyX6Gmj_!!4611686018427387605-0-fleamarket.jpg_790x10000Q90.jpg_.webp", "img.alicdn.com/bao/uploaded/i1/O1CN01M6z5491dZ5wyX6Gmj_!!4611686018427387605-0-fleamarket.jpg_790x10000Q90.jpg_.webp")</f>
        <v>img.alicdn.com/bao/uploaded/i1/O1CN01M6z5491dZ5wyX6Gmj_!!4611686018427387605-0-fleamarket.jpg_790x10000Q90.jpg_.webp</v>
      </c>
      <c r="G67"/>
      <c r="H67" s="2" t="str">
        <f>=HYPERLINK("https://www.goofish.com/item?spm=a21ybx.personal.feeds.411.12e16ac2PYxLX9&amp;id=988549746797&amp;categoryId=50023914", "https://www.goofish.com/item?spm=a21ybx.personal.feeds.411.12e16ac2PYxLX9&amp;id=988549746797&amp;categoryId=50023914")</f>
        <v>https://www.goofish.com/item?spm=a21ybx.personal.feeds.411.12e16ac2PYxLX9&amp;id=988549746797&amp;categoryId=50023914</v>
      </c>
      <c r="I67"/>
      <c r="J67"/>
      <c r="K67"/>
      <c r="L67"/>
    </row>
    <row r="68" ht="25.5" customHeight="1">
      <c r="A68" t="inlineStr">
        <is>
          <t>活跃气氛课前热身小游</t>
        </is>
      </c>
      <c r="B68">
        <v>105</v>
      </c>
      <c r="C68" t="inlineStr">
        <is>
          <t>【超级会员V2】通过百度网盘分享的文件：活跃气氛小游戏
链接:https://pan.baidu.com/s/1IjUruCJ-6yLqpKsvi-B1dA 
提取码:b04y
复制这段内容打开「百度网盘APP 即可获取」</t>
        </is>
      </c>
      <c r="D68" t="inlineStr">
        <is>
          <t>是</t>
        </is>
      </c>
      <c r="E68" t="inlineStr">
        <is>
          <t>活跃气氛课前热身小游戏PPT破冰线上网课小游戏互动创意课堂游戏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8" s="2" t="str">
        <f>=HYPERLINK("http://img.alicdn.com/bao/uploaded/i3/O1CN01I1mFzw1dZ5wogAJUc_!!4611686018427387605-0-fleamarket.jpg_790x10000Q90.jpg_.webp", "img.alicdn.com/bao/uploaded/i3/O1CN01I1mFzw1dZ5wogAJUc_!!4611686018427387605-0-fleamarket.jpg_790x10000Q90.jpg_.webp")</f>
        <v>img.alicdn.com/bao/uploaded/i3/O1CN01I1mFzw1dZ5wogAJUc_!!4611686018427387605-0-fleamarket.jpg_790x10000Q90.jpg_.webp</v>
      </c>
      <c r="G68"/>
      <c r="H68" s="2" t="str">
        <f>=HYPERLINK("https://www.goofish.com/item?spm=a21ybx.personal.feeds.481.12e16ac2PYxLX9&amp;id=984952487130&amp;categoryId=50023914", "https://www.goofish.com/item?spm=a21ybx.personal.feeds.481.12e16ac2PYxLX9&amp;id=984952487130&amp;categoryId=50023914")</f>
        <v>https://www.goofish.com/item?spm=a21ybx.personal.feeds.481.12e16ac2PYxLX9&amp;id=984952487130&amp;categoryId=50023914</v>
      </c>
      <c r="I68"/>
      <c r="J68"/>
      <c r="K68"/>
      <c r="L68"/>
    </row>
    <row r="69" ht="25.5" customHeight="1">
      <c r="A69" t="inlineStr">
        <is>
          <t>大学生国家奖学金竞选</t>
        </is>
      </c>
      <c r="B69">
        <v>106</v>
      </c>
      <c r="C69" t="inlineStr">
        <is>
          <t>宝子稍等片刻，资源正在路上</t>
        </is>
      </c>
      <c r="D69" t="inlineStr">
        <is>
          <t>是</t>
        </is>
      </c>
      <c r="E69" t="inlineStr">
        <is>
          <t>大学生国家奖学金竞选红色简约学术风励志导航栏国奖答辩ppt模板
——★24小时自动秒发百度网盘 ★——
——★24小时自动秒发百度网盘 ★——
——★24小时自动秒发百度网盘 ★——
高端精选250款国奖答辩PPT
大小:5GB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9" s="2" t="str">
        <f>=HYPERLINK("http://img.alicdn.com/bao/uploaded/i2/O1CN01qhwjve1dZ5wta1pkJ_!!4611686018427387605-0-fleamarket.jpg_790x10000Q90.jpg_.webp", "img.alicdn.com/bao/uploaded/i2/O1CN01qhwjve1dZ5wta1pkJ_!!4611686018427387605-0-fleamarket.jpg_790x10000Q90.jpg_.webp")</f>
        <v>img.alicdn.com/bao/uploaded/i2/O1CN01qhwjve1dZ5wta1pkJ_!!4611686018427387605-0-fleamarket.jpg_790x10000Q90.jpg_.webp</v>
      </c>
      <c r="G69"/>
      <c r="H69" s="2" t="str">
        <f>=HYPERLINK("https://www.goofish.com/item?spm=a21ybx.personal.feeds.460.12e16ac2PYxLX9&amp;id=987016574924&amp;categoryId=50023914", "https://www.goofish.com/item?spm=a21ybx.personal.feeds.460.12e16ac2PYxLX9&amp;id=987016574924&amp;categoryId=50023914")</f>
        <v>https://www.goofish.com/item?spm=a21ybx.personal.feeds.460.12e16ac2PYxLX9&amp;id=987016574924&amp;categoryId=50023914</v>
      </c>
      <c r="I69"/>
      <c r="J69"/>
      <c r="K69"/>
      <c r="L69"/>
    </row>
    <row r="70" ht="25.5" customHeight="1">
      <c r="A70" t="inlineStr">
        <is>
          <t>职业规划大赛精选PP</t>
        </is>
      </c>
      <c r="B70">
        <v>107</v>
      </c>
      <c r="C70" t="inlineStr">
        <is>
          <t>宝子稍等片刻，资源正在路上</t>
        </is>
      </c>
      <c r="D70" t="inlineStr">
        <is>
          <t>是</t>
        </is>
      </c>
      <c r="E70" t="inlineStr">
        <is>
          <t>职业规划大赛精选PPT模版含计划书成长就业赛道获奖作品高级感
——★24小时自动秒发百度网盘 ★——
——★24小时自动秒发百度网盘 ★——
——★24小时自动秒发百度网盘 ★——
精选PPT模板399套 成长赛道+就业赛道+带导航栏
大学生职业规划大赛 PPT+WORD计划书 PPT含内容可编辑 24小时发网盘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70" s="2" t="str">
        <f>=HYPERLINK("http://img.alicdn.com/bao/uploaded/i3/O1CN01tn5sfE1dZ5xN6s2lb_!!4611686018427387605-0-fleamarket.jpg_790x10000Q90.jpg_.webp", "img.alicdn.com/bao/uploaded/i3/O1CN01tn5sfE1dZ5xN6s2lb_!!4611686018427387605-0-fleamarket.jpg_790x10000Q90.jpg_.webp")</f>
        <v>img.alicdn.com/bao/uploaded/i3/O1CN01tn5sfE1dZ5xN6s2lb_!!4611686018427387605-0-fleamarket.jpg_790x10000Q90.jpg_.webp</v>
      </c>
      <c r="G70"/>
      <c r="H70" s="2" t="str">
        <f>=HYPERLINK("https://www.goofish.com/item?spm=a21ybx.personal.feeds.106.12e16ac2PYxLX9&amp;id=995226486484&amp;categoryId=50023914", "https://www.goofish.com/item?spm=a21ybx.personal.feeds.106.12e16ac2PYxLX9&amp;id=995226486484&amp;categoryId=50023914")</f>
        <v>https://www.goofish.com/item?spm=a21ybx.personal.feeds.106.12e16ac2PYxLX9&amp;id=995226486484&amp;categoryId=50023914</v>
      </c>
      <c r="I70"/>
      <c r="J70"/>
      <c r="K70"/>
      <c r="L70"/>
    </row>
    <row r="71" ht="25.5" customHeight="1">
      <c r="A71" t="inlineStr">
        <is>
          <t>科研学术文献汇报项目</t>
        </is>
      </c>
      <c r="B71">
        <v>108</v>
      </c>
      <c r="C71" t="inlineStr">
        <is>
          <t>宝子稍等片刻，资源正在路上</t>
        </is>
      </c>
      <c r="D71" t="inlineStr">
        <is>
          <t>是</t>
        </is>
      </c>
      <c r="E71" t="inlineStr">
        <is>
          <t>科研学术文献汇报项目组研究生人才职称申报开题报告答辩ppt模板
——★24小时自动秒发百度网盘 ★——
——★24小时自动秒发百度网盘 ★——
——★24小时自动秒发百度网盘 ★——
99款科研学术汇报PPT 大小:2.6GB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71" s="2" t="str">
        <f>=HYPERLINK("http://img.alicdn.com/bao/uploaded/i4/O1CN01bF9m4w1dZ5wtGchu5_!!4611686018427387605-0-fleamarket.jpg_790x10000Q90.jpg_.webp", "img.alicdn.com/bao/uploaded/i4/O1CN01bF9m4w1dZ5wtGchu5_!!4611686018427387605-0-fleamarket.jpg_790x10000Q90.jpg_.webp")</f>
        <v>img.alicdn.com/bao/uploaded/i4/O1CN01bF9m4w1dZ5wtGchu5_!!4611686018427387605-0-fleamarket.jpg_790x10000Q90.jpg_.webp</v>
      </c>
      <c r="G71"/>
      <c r="H71" s="2" t="str">
        <f>=HYPERLINK("https://www.goofish.com/item?spm=a21ybx.personal.feeds.453.12e16ac2PYxLX9&amp;id=988487908810&amp;categoryId=50023914", "https://www.goofish.com/item?spm=a21ybx.personal.feeds.453.12e16ac2PYxLX9&amp;id=988487908810&amp;categoryId=50023914")</f>
        <v>https://www.goofish.com/item?spm=a21ybx.personal.feeds.453.12e16ac2PYxLX9&amp;id=988487908810&amp;categoryId=50023914</v>
      </c>
      <c r="I71"/>
      <c r="J71"/>
      <c r="K71"/>
      <c r="L71"/>
    </row>
    <row r="72" ht="25.5" customHeight="1">
      <c r="A72" t="inlineStr">
        <is>
          <t>齐了！国内AI提示词</t>
        </is>
      </c>
      <c r="B72">
        <v>109</v>
      </c>
      <c r="C72" t="inlineStr">
        <is>
          <t>我用夸克网盘给你分享了「【8】【新】AI指令合集」，点击链接或复制整段内容，打开「夸克APP」即可获取。
筷莱嘟啪晻霭峰夺郝
/~ee6d39pIqs~:/
链接：https://pan.quark.cn/s/317de8408d94</t>
        </is>
      </c>
      <c r="D72" t="inlineStr">
        <is>
          <t>是</t>
        </is>
      </c>
      <c r="E72" t="inlineStr">
        <is>
          <t>齐了！国内AI提示词【指令】合集，工欲善其事必先利其器，模仿永远是高效的学习，高效内容创作的秘籍【指令+教程】，你值得拥有！
国内AI模型：豆包 Kimi 文心一言 混元 千问 多平台通用指令，同样的指令，根据不同账号定位会生成不同的内容！
有别于网上搜集那些比较水的指令提示词，有指令 有教程，​为内容创作
本集合提供了四十余套不同的指令，涵盖短视频几乎所有垂直细分赛道
虚拟商品，一经出售不退不换！
网盘发货，标价就是售价，需要直接拍 秒发货！
</t>
        </is>
      </c>
      <c r="F72" s="2" t="str">
        <f>=HYPERLINK("http://img.alicdn.com/bao/uploaded/i3/O1CN015X0TuB1gGGQBJ7ilY_!!4611686018427383762-53-fleamarket.heic_790x10000Q90.jpg_.webp", "img.alicdn.com/bao/uploaded/i3/O1CN015X0TuB1gGGQBJ7ilY_!!4611686018427383762-53-fleamarket.heic_790x10000Q90.jpg_.webp")</f>
        <v>img.alicdn.com/bao/uploaded/i3/O1CN015X0TuB1gGGQBJ7ilY_!!4611686018427383762-53-fleamarket.heic_790x10000Q90.jpg_.webp</v>
      </c>
      <c r="G72"/>
      <c r="H72" s="2" t="str">
        <f>=HYPERLINK("https://www.goofish.com/item?spm=a21ybx.search.searchFeedList.17.678761adKwsksx&amp;id=850245207696&amp;categoryId=201454708", "https://www.goofish.com/item?spm=a21ybx.search.searchFeedList.17.678761adKwsksx&amp;id=850245207696&amp;categoryId=201454708")</f>
        <v>https://www.goofish.com/item?spm=a21ybx.search.searchFeedList.17.678761adKwsksx&amp;id=850245207696&amp;categoryId=201454708</v>
      </c>
      <c r="I72"/>
      <c r="J72"/>
      <c r="K72"/>
      <c r="L72"/>
    </row>
    <row r="73" ht="25.5" customHeight="1">
      <c r="A73" t="inlineStr">
        <is>
          <t>AI绘画提示词大全S</t>
        </is>
      </c>
      <c r="B73">
        <v>129</v>
      </c>
      <c r="C73" t="inlineStr">
        <is>
          <t>----
您好，感谢光临小店，你购买的订单编号是32704357099550
以下是发货内容，请注意查收！
----
-百度网盘：
【超级会员V2】通过百度网盘分享的文件：StableDi…
链接:https://pan.baidu.com/s/1IVpB5FfiFqbm3kXMo_z52g 
提取码:8d8s
复制这段内容打开「百度网盘APP 即可获取」
-夸克网盘：
我用夸克网盘给你分享了「StableDi...图(1)」，点击链接或复制整段内容，打开「夸克APP」即可获取。
筷莱荇苹怬惏结夺郝
/~eb8f3Lqwui~:/
链接：https://pan.quark.cn/s/4661b9c86432
感谢您的惠顾，欢迎下次光临！
----</t>
        </is>
      </c>
      <c r="D73" t="inlineStr">
        <is>
          <t>是</t>
        </is>
      </c>
      <c r="E73" t="inlineStr">
        <is>
          <t>AI绘画提示词大全SD提示词StableDiffusion提示词关键词咒语绘画案例
标价就是售价，拍下秒发货百度网盘
此商品因特殊性，售出后不支持退款，请大家看清楚后下单
</t>
        </is>
      </c>
      <c r="F73" s="2" t="str">
        <f>=HYPERLINK("http://img.alicdn.com/bao/uploaded/i1/O1CN01leY3Gs25AdywFogYI_!!4611686018427384830-53-fleamarket.heic_790x10000Q90.jpg_.webp", "img.alicdn.com/bao/uploaded/i1/O1CN01leY3Gs25AdywFogYI_!!4611686018427384830-53-fleamarket.heic_790x10000Q90.jpg_.webp")</f>
        <v>img.alicdn.com/bao/uploaded/i1/O1CN01leY3Gs25AdywFogYI_!!4611686018427384830-53-fleamarket.heic_790x10000Q90.jpg_.webp</v>
      </c>
      <c r="G73"/>
      <c r="H73" s="2" t="str">
        <f>=HYPERLINK("https://www.goofish.com/item?spm=a21ybx.search.searchFeedList.8.678761adKwsksx&amp;id=887802804739&amp;categoryId=201454708", "https://www.goofish.com/item?spm=a21ybx.search.searchFeedList.8.678761adKwsksx&amp;id=887802804739&amp;categoryId=201454708")</f>
        <v>https://www.goofish.com/item?spm=a21ybx.search.searchFeedList.8.678761adKwsksx&amp;id=887802804739&amp;categoryId=201454708</v>
      </c>
      <c r="I73"/>
      <c r="J73"/>
      <c r="K73"/>
      <c r="L73"/>
    </row>
    <row r="74" ht="25.5" customHeight="1">
      <c r="A74" t="inlineStr">
        <is>
          <t xml:space="preserve">【提示词】TRAE </t>
        </is>
      </c>
      <c r="B74">
        <v>130</v>
      </c>
      <c r="C74" t="inlineStr">
        <is>
          <t>【超级会员V1】通过百度网盘分享的文件：编程开发-TRA…
链接:https://pan.baidu.com/s/1YranQ6OX7nJBPfGsP0Mw4w 
提取码:469a
复制这段内容打开「百度网盘APP 即可获取」</t>
        </is>
      </c>
      <c r="D74" t="inlineStr">
        <is>
          <t>是</t>
        </is>
      </c>
      <c r="E74" t="inlineStr">
        <is>
          <t>【提示词】TRAE 通用6A规则提示词+敏捷开发5S规则提示词
功能说明:
✅让 AI 按照专业流程工作
✅确保需求理解准确无误
✅保证代码质量和可维护性
✅建立完善的文档体系
✅实现高效的团队协作
内容包含:
6A+5S 规则提示词
【温馨说明】
课程目录已详细附在宝贝描述中，关于内容的疑问建议先查看描述，减少重复咨询，效率更高哦~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
</t>
        </is>
      </c>
      <c r="F74" s="2" t="str">
        <f>=HYPERLINK("http://img.alicdn.com/bao/uploaded/i1/O1CN01B6Y7H61pov0ynSv90_!!4611686018427385776-0-fleamarket.jpg_790x10000Q90.jpg_.webp", "img.alicdn.com/bao/uploaded/i1/O1CN01B6Y7H61pov0ynSv90_!!4611686018427385776-0-fleamarket.jpg_790x10000Q90.jpg_.webp")</f>
        <v>img.alicdn.com/bao/uploaded/i1/O1CN01B6Y7H61pov0ynSv90_!!4611686018427385776-0-fleamarket.jpg_790x10000Q90.jpg_.webp</v>
      </c>
      <c r="G74"/>
      <c r="H74" s="2" t="str">
        <f>=HYPERLINK("https://www.goofish.com/item?spm=a21ybx.search.searchFeedList.22.678761adKwsksx&amp;id=978016350086&amp;categoryId=201453616", "https://www.goofish.com/item?spm=a21ybx.search.searchFeedList.22.678761adKwsksx&amp;id=978016350086&amp;categoryId=201453616")</f>
        <v>https://www.goofish.com/item?spm=a21ybx.search.searchFeedList.22.678761adKwsksx&amp;id=978016350086&amp;categoryId=201453616</v>
      </c>
      <c r="I74"/>
      <c r="J74"/>
      <c r="K74"/>
      <c r="L74"/>
    </row>
    <row r="75" ht="25.5" customHeight="1">
      <c r="A75" t="inlineStr">
        <is>
          <t>Midjourney</t>
        </is>
      </c>
      <c r="B75">
        <v>131</v>
      </c>
      <c r="C75" t="inlineStr">
        <is>
          <t>【超级会员V2】通过百度网盘分享的文件：78000+AI…
链接:https://pan.baidu.com/s/1L2TLkp4iUfcX-D_IpxymFw 
提取码:4jzj
复制这段内容打开「百度网盘APP 即可获取」</t>
        </is>
      </c>
      <c r="D75" t="inlineStr">
        <is>
          <t>是</t>
        </is>
      </c>
      <c r="E75" t="inlineStr">
        <is>
          <t>Midjourney咒语AI提示词ai生图咒语描述词MJ提示词热门词AI绘图</t>
        </is>
      </c>
      <c r="F75" s="2" t="str">
        <f>=HYPERLINK("http://img.alicdn.com/bao/uploaded/i4/O1CN01Ndp8fZ1VFNsD7yW60_!!53-fleamarket.heic_790x10000Q90.jpg_.webp", "img.alicdn.com/bao/uploaded/i4/O1CN01Ndp8fZ1VFNsD7yW60_!!53-fleamarket.heic_790x10000Q90.jpg_.webp")</f>
        <v>img.alicdn.com/bao/uploaded/i4/O1CN01Ndp8fZ1VFNsD7yW60_!!53-fleamarket.heic_790x10000Q90.jpg_.webp</v>
      </c>
      <c r="G75"/>
      <c r="H75" s="2" t="str">
        <f>=HYPERLINK("https://www.goofish.com/item?spm=a21ybx.search.searchFeedList.17.678761adKwsksx&amp;id=837606072804&amp;categoryId=202034003", "https://www.goofish.com/item?spm=a21ybx.search.searchFeedList.17.678761adKwsksx&amp;id=837606072804&amp;categoryId=202034003")</f>
        <v>https://www.goofish.com/item?spm=a21ybx.search.searchFeedList.17.678761adKwsksx&amp;id=837606072804&amp;categoryId=202034003</v>
      </c>
      <c r="I75"/>
      <c r="J75"/>
      <c r="K75"/>
      <c r="L75"/>
    </row>
    <row r="76" ht="25.5" customHeight="1">
      <c r="A76" t="inlineStr">
        <is>
          <t>【秒发】2025年即</t>
        </is>
      </c>
      <c r="B76">
        <v>132</v>
      </c>
      <c r="C76" t="inlineStr">
        <is>
          <t>宝子稍等片刻，资源正在路上</t>
        </is>
      </c>
      <c r="D76" t="inlineStr">
        <is>
          <t>是</t>
        </is>
      </c>
      <c r="E76" t="inlineStr">
        <is>
          <t>【秒发】2025年即梦AI生成视频指南系统教程讲解教程提示词大全
电子资料 售出不退 介意勿拍 感谢理解
</t>
        </is>
      </c>
      <c r="F76" s="2" t="str">
        <f>=HYPERLINK("http://img.alicdn.com/bao/uploaded/i4/O1CN01iLn8r21XlZ0juFHfO_!!4611686018427384900-0-fleamarket.jpg_790x10000Q90.jpg_.webp", "img.alicdn.com/bao/uploaded/i4/O1CN01iLn8r21XlZ0juFHfO_!!4611686018427384900-0-fleamarket.jpg_790x10000Q90.jpg_.webp")</f>
        <v>img.alicdn.com/bao/uploaded/i4/O1CN01iLn8r21XlZ0juFHfO_!!4611686018427384900-0-fleamarket.jpg_790x10000Q90.jpg_.webp</v>
      </c>
      <c r="G76"/>
      <c r="H76" s="2" t="str">
        <f>=HYPERLINK("https://www.goofish.com/item?spm=a21ybx.search.searchFeedList.29.678761adKwsksx&amp;id=949028303969&amp;categoryId=201459411", "https://www.goofish.com/item?spm=a21ybx.search.searchFeedList.29.678761adKwsksx&amp;id=949028303969&amp;categoryId=201459411")</f>
        <v>https://www.goofish.com/item?spm=a21ybx.search.searchFeedList.29.678761adKwsksx&amp;id=949028303969&amp;categoryId=201459411</v>
      </c>
      <c r="I76"/>
      <c r="J76"/>
      <c r="K76"/>
      <c r="L76"/>
    </row>
    <row r="77" ht="25.5" customHeight="1">
      <c r="A77" t="inlineStr">
        <is>
          <t>【自动发货】3333</t>
        </is>
      </c>
      <c r="B77">
        <v>133</v>
      </c>
      <c r="C77" t="inlineStr">
        <is>
          <t>宝子稍等片刻，资源正在路上</t>
        </is>
      </c>
      <c r="D77" t="inlineStr">
        <is>
          <t>是</t>
        </is>
      </c>
      <c r="E77" t="inlineStr">
        <is>
          <t>【自动发货】2100+提示词模版|170+细分行业门类|小白秒变大神！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t>
        </is>
      </c>
      <c r="F77" s="2" t="str">
        <f>=HYPERLINK("http://img.alicdn.com/bao/uploaded/i3/O1CN01cNCYDy2IyeHh9WwC0_!!4611686018427386427-53-fleamarket.heic_790x10000Q90.jpg_.webp", "img.alicdn.com/bao/uploaded/i3/O1CN01cNCYDy2IyeHh9WwC0_!!4611686018427386427-53-fleamarket.heic_790x10000Q90.jpg_.webp")</f>
        <v>img.alicdn.com/bao/uploaded/i3/O1CN01cNCYDy2IyeHh9WwC0_!!4611686018427386427-53-fleamarket.heic_790x10000Q90.jpg_.webp</v>
      </c>
      <c r="G77"/>
      <c r="H77" s="2" t="str">
        <f>=HYPERLINK("https://www.goofish.com/item?spm=a21ybx.search.searchFeedList.2.678761adKwsksx&amp;id=974492090835&amp;categoryId=202036301", "https://www.goofish.com/item?spm=a21ybx.search.searchFeedList.2.678761adKwsksx&amp;id=974492090835&amp;categoryId=202036301")</f>
        <v>https://www.goofish.com/item?spm=a21ybx.search.searchFeedList.2.678761adKwsksx&amp;id=974492090835&amp;categoryId=202036301</v>
      </c>
      <c r="I77"/>
      <c r="J77"/>
      <c r="K77"/>
      <c r="L77"/>
    </row>
    <row r="78" ht="25.5" customHeight="1">
      <c r="A78" t="inlineStr">
        <is>
          <t>1</t>
        </is>
      </c>
      <c r="B78">
        <v>134</v>
      </c>
      <c r="C78" t="inlineStr">
        <is>
          <t>以下是发货内容：
以下为订单内容，请注意查收：
复制到浏览器打开：
基础版：
https://j6bhp2yux8.fei去掉我shu.cn/docx/RbNgdXi6pomOvZxbZsycPxhpn83
进阶版：
https://j6bhp2yux8.feish去掉我u.cn/docx/NRo5dIjOWoinGixZD6XcX4IBnce
写作版：
https://j6bhp2yux8.fei去掉我shu.cn/docx/WyvVdc2GioHip0xznDucQTJMnJd
记得再来哦！！</t>
        </is>
      </c>
      <c r="D78" t="inlineStr">
        <is>
          <t>是</t>
        </is>
      </c>
      <c r="E78" t="inlineStr">
        <is>
          <t>【自动发货】ai提示词prompt指令大全/提示工程/AI对话指令/写作
【自动发货】ai提示词prompt指令大全/提示工程/AI对话指令/写作
①资料详情看下图(展示部分），都是精心整理的，分类清晰，内容丰富，拿来即用；
②你买的不只是一份资料，更是一种省时省力的快速做事方法，帮你节省时间和精力！
③需要的朋友点下方的“我想要”，不用问在不在，直接下单就行，拍下发度网盘链接。
</t>
        </is>
      </c>
      <c r="F78" s="2" t="str">
        <f>=HYPERLINK("http://img.alicdn.com/bao/uploaded/i2/O1CN01wzk09a1q4wrOXHPki_!!4611686018427382115-0-fleamarket.jpg_790x10000Q90.jpg_.webp", "img.alicdn.com/bao/uploaded/i2/O1CN01wzk09a1q4wrOXHPki_!!4611686018427382115-0-fleamarket.jpg_790x10000Q90.jpg_.webp")</f>
        <v>img.alicdn.com/bao/uploaded/i2/O1CN01wzk09a1q4wrOXHPki_!!4611686018427382115-0-fleamarket.jpg_790x10000Q90.jpg_.webp</v>
      </c>
      <c r="G78"/>
      <c r="H78" s="2" t="str">
        <f>=HYPERLINK("https://www.goofish.com/item?spm=a21ybx.search.searchFeedList.2.678761adKwsksx&amp;id=952568666857&amp;categoryId=201459411", "https://www.goofish.com/item?spm=a21ybx.search.searchFeedList.2.678761adKwsksx&amp;id=952568666857&amp;categoryId=201459411")</f>
        <v>https://www.goofish.com/item?spm=a21ybx.search.searchFeedList.2.678761adKwsksx&amp;id=952568666857&amp;categoryId=201459411</v>
      </c>
      <c r="I78"/>
      <c r="J78"/>
      <c r="K78"/>
      <c r="L78"/>
    </row>
    <row r="79" ht="25.5" customHeight="1">
      <c r="A79" t="inlineStr">
        <is>
          <t>Deepseek 即</t>
        </is>
      </c>
      <c r="B79">
        <v>135</v>
      </c>
      <c r="C79" t="inlineStr">
        <is>
          <t>我用夸克网盘给你分享了「9」，点击链接或复制整段内容，打开「夸克APP」即可获取。
伏脂磟教悦甜叽洞座
/~d0b43A4X73~:/
链接：https://pan.quark.cn/s/4966ee9bc7e7</t>
        </is>
      </c>
      <c r="D79" t="inlineStr">
        <is>
          <t>是</t>
        </is>
      </c>
      <c r="E79" t="inlineStr">
        <is>
          <t>Deepseek 即梦 可灵ai提示词 ai关键词 多种提示词文生视频图生视频
2025版本，国产大模型工具 内有几十多种生成提示词，多种形式的提示词，详图片介绍，还在艮薪中
简单易懂，打破信息差
不用高价，做原创其实很简单
各种类型关键词都有，少数没自己组合搭配，后续还会免费更新 ai提示词万能模板已更新，只需根据模板填写自己的想法便能生成喜欢的作品 里面还包括教程
【售后说明】因资料性质特殊易复制，一旦售出不退不换，请理解。
有兴趣的朋友请点“我想要”直接下单吧～
</t>
        </is>
      </c>
      <c r="F79" s="2" t="str">
        <f>=HYPERLINK("http://img.alicdn.com/bao/uploaded/i2/O1CN01HHv9f52L70iD1Iyp6_!!4611686018427384620-0-fleamarket.jpg_790x10000Q90.jpg_.webp", "img.alicdn.com/bao/uploaded/i2/O1CN01HHv9f52L70iD1Iyp6_!!4611686018427384620-0-fleamarket.jpg_790x10000Q90.jpg_.webp")</f>
        <v>img.alicdn.com/bao/uploaded/i2/O1CN01HHv9f52L70iD1Iyp6_!!4611686018427384620-0-fleamarket.jpg_790x10000Q90.jpg_.webp</v>
      </c>
      <c r="G79"/>
      <c r="H79" s="2" t="str">
        <f>=HYPERLINK("https://www.goofish.com/item?spm=a21ybx.search.searchFeedList.18.678761adKwsksx&amp;id=910141470242&amp;categoryId=202148345", "https://www.goofish.com/item?spm=a21ybx.search.searchFeedList.18.678761adKwsksx&amp;id=910141470242&amp;categoryId=202148345")</f>
        <v>https://www.goofish.com/item?spm=a21ybx.search.searchFeedList.18.678761adKwsksx&amp;id=910141470242&amp;categoryId=202148345</v>
      </c>
      <c r="I79"/>
      <c r="J79"/>
      <c r="K79"/>
      <c r="L79"/>
    </row>
    <row r="80" ht="25.5" customHeight="1">
      <c r="A80" t="inlineStr">
        <is>
          <t>CLAUDE｜CUR</t>
        </is>
      </c>
      <c r="B80">
        <v>136</v>
      </c>
      <c r="C80" t="inlineStr">
        <is>
          <t>【超级会员V1】通过百度网盘分享的文件：claude_c…
链接:https://pan.baidu.com/s/13midN3Po3A5WQ60RcowKBA 
提取码:d24a
复制这段内容打开「百度网盘APP 即可获取」</t>
        </is>
      </c>
      <c r="D80" t="inlineStr">
        <is>
          <t>是</t>
        </is>
      </c>
      <c r="E80" t="inlineStr">
        <is>
          <t>CLAUDE｜CURSOR｜TRAE通用智能体项目开发提示词合集
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智能体类别
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文档
docs-architect：基于现有代码库创建全面技术文档
mermaid-expert：创建流程图、时序图、ERD和架构的Mermaid图表
reference-builder：创建详尽的技术参考与API文档
tutorial-engineer：根据代码生成分步教程和教育内容
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【温馨说明】
所有提示词已经打包好，关于内容的疑问建议先查看描述，减少重复咨询，效率更高哦~
【重要提醒】
看清楚商品描述再下单，卖的是提示词，新手小白如果不懂或者不会设置建议不要下单，本店仅售卖教学资料，不提供一对一指导服务，购买后需自行学习操作，介意慎拍~
【发货说明】
资料为电子版，拍下后24小时内通过度盘自动发送链接，请务必及时保存；虚拟商品一经拍下不支持退货，拍前请确认自身需求~
</t>
        </is>
      </c>
      <c r="F80" s="2" t="str">
        <f>=HYPERLINK("http://img.alicdn.com/bao/uploaded/i2/O1CN015eOnCP1pov1USSCnv_!!4611686018427385776-0-fleamarket.jpg_790x10000Q90.jpg_.webp", "img.alicdn.com/bao/uploaded/i2/O1CN015eOnCP1pov1USSCnv_!!4611686018427385776-0-fleamarket.jpg_790x10000Q90.jpg_.webp")</f>
        <v>img.alicdn.com/bao/uploaded/i2/O1CN015eOnCP1pov1USSCnv_!!4611686018427385776-0-fleamarket.jpg_790x10000Q90.jpg_.webp</v>
      </c>
      <c r="G80"/>
      <c r="H80" s="2" t="str">
        <f>=HYPERLINK("https://www.goofish.com/item?spm=a21ybx.search.searchFeedList.5.678761adKwsksx&amp;id=988673573244&amp;categoryId=202034003", "https://www.goofish.com/item?spm=a21ybx.search.searchFeedList.5.678761adKwsksx&amp;id=988673573244&amp;categoryId=202034003")</f>
        <v>https://www.goofish.com/item?spm=a21ybx.search.searchFeedList.5.678761adKwsksx&amp;id=988673573244&amp;categoryId=202034003</v>
      </c>
      <c r="I80"/>
      <c r="J80"/>
      <c r="K80"/>
      <c r="L80"/>
    </row>
    <row r="81" ht="25.5" customHeight="1">
      <c r="A81" t="inlineStr">
        <is>
          <t>【自动发货】300个</t>
        </is>
      </c>
      <c r="B81">
        <v>137</v>
      </c>
      <c r="C81" t="inlineStr">
        <is>
          <t>宝子稍等片刻，资源正在路上</t>
        </is>
      </c>
      <c r="D81" t="inlineStr">
        <is>
          <t>是</t>
        </is>
      </c>
      <c r="E81" t="inlineStr">
        <is>
          <t>【自动发货】300个去AI味提示词，让你写出高质量小说！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t>
        </is>
      </c>
      <c r="F81" s="2" t="str">
        <f>=HYPERLINK("http://img.alicdn.com/bao/uploaded/i1/O1CN01kE0L291ph8HstMAQI_!!4611686018427386351-0-fleamarket.jpg_790x10000Q90.jpg_.webp", "img.alicdn.com/bao/uploaded/i1/O1CN01kE0L291ph8HstMAQI_!!4611686018427386351-0-fleamarket.jpg_790x10000Q90.jpg_.webp")</f>
        <v>img.alicdn.com/bao/uploaded/i1/O1CN01kE0L291ph8HstMAQI_!!4611686018427386351-0-fleamarket.jpg_790x10000Q90.jpg_.webp</v>
      </c>
      <c r="G81"/>
      <c r="H81" s="2" t="str">
        <f>=HYPERLINK("https://www.goofish.com/item?spm=a21ybx.search.searchFeedList.17.678761adKwsksx&amp;id=985366486723&amp;categoryId=201459411", "https://www.goofish.com/item?spm=a21ybx.search.searchFeedList.17.678761adKwsksx&amp;id=985366486723&amp;categoryId=201459411")</f>
        <v>https://www.goofish.com/item?spm=a21ybx.search.searchFeedList.17.678761adKwsksx&amp;id=985366486723&amp;categoryId=201459411</v>
      </c>
      <c r="I81"/>
      <c r="J81"/>
      <c r="K81"/>
      <c r="L81"/>
    </row>
    <row r="82" ht="25.5" customHeight="1">
      <c r="A82" t="inlineStr">
        <is>
          <t>秒发！Midjour</t>
        </is>
      </c>
      <c r="B82">
        <v>138</v>
      </c>
      <c r="C82" t="inlineStr">
        <is>
          <t>【超级会员V1】通过百度网盘分享的文件：120000+A…
链接:https://pan.baidu.com/s/10LXOi-VD0JiCnAyNg1rpSw 
提取码:6w5m
复制这段内容打开「百度网盘APP 即可获取」</t>
        </is>
      </c>
      <c r="D82" t="inlineStr">
        <is>
          <t>是</t>
        </is>
      </c>
      <c r="E82" t="inlineStr">
        <is>
          <t>秒发！Midjourney咒语AI提示词ai生图咒语MJ热门词AI绘画
问：这个是作图工具吗？
答：亲，这个只是绘图关键词和zhi令，并不是工具哦
问：这个是什么链接?
答：亲，这个链接是Midjourney案例型完整出图咒语包哦~里面有3000+张图片、530+套案例型完整出图咒语、以及免费分享的Tag关键词表格哦~
问：文件包中的图片可以商用吗?
答：亲，由于国内关于Al生成图片尚未有明确条文和法律定义，Al生成图片其背后使用的素材版权归属尚不明确，暂时不支持商业使用，建议同学们以学习交流的目的使用哦~
问：文件包如何使用?
答：亲，文件包中的图片您可以自行下载使用，关键词/咒语使用方法可以看下文件包中的教程哦~有其他问题欢迎来撩~
问：是完整咒语吗?
答：是的哦亲~都是完整的案例型出图咒语哈，同时包含中文和英文以及图片设定，修改性强，主体可以直接修改后使用哦~
问：发货问题?
答：亲，我们使用自动发货功能，在您付款后系统会自动发送网盘链接，您直接点开取货即可哦~发货后不支持以任何理由、任何形式的发起仅退款申请哦!请考虑清楚以后再下单~谢谢亲的理解~
关注或2人小刀拍下获取完整电子版资料，24小时网盘自动发货，注意，电子资料不退不换。
学姐资源均源自公开合法渠道，仅供阅读交流，无商业用途；版权归原作者或出版方所有；费用仅为搜集整理及存储成本，不承担版权责任；若版权方认为侵权，请即告知，将迅速删除，不涉赔偿，尊重版权。</t>
        </is>
      </c>
      <c r="F82" s="2" t="str">
        <f>=HYPERLINK("http://img.alicdn.com/bao/uploaded/i3/O1CN011ll6u82IOSzRC6x5r_!!4611686018427380076-53-fleamarket.heic_790x10000Q90.jpg_.webp", "img.alicdn.com/bao/uploaded/i3/O1CN011ll6u82IOSzRC6x5r_!!4611686018427380076-53-fleamarket.heic_790x10000Q90.jpg_.webp")</f>
        <v>img.alicdn.com/bao/uploaded/i3/O1CN011ll6u82IOSzRC6x5r_!!4611686018427380076-53-fleamarket.heic_790x10000Q90.jpg_.webp</v>
      </c>
      <c r="G82"/>
      <c r="H82" s="2" t="str">
        <f>=HYPERLINK("https://www.goofish.com/item?spm=a21ybx.search.searchFeedList.25.678761adKwsksx&amp;id=966074854107&amp;categoryId=201454708", "https://www.goofish.com/item?spm=a21ybx.search.searchFeedList.25.678761adKwsksx&amp;id=966074854107&amp;categoryId=201454708")</f>
        <v>https://www.goofish.com/item?spm=a21ybx.search.searchFeedList.25.678761adKwsksx&amp;id=966074854107&amp;categoryId=201454708</v>
      </c>
      <c r="I82"/>
      <c r="J82"/>
      <c r="K82"/>
      <c r="L82"/>
    </row>
    <row r="83" ht="25.5" customHeight="1">
      <c r="A83" t="inlineStr">
        <is>
          <t>可灵1.6跳舞提示词</t>
        </is>
      </c>
      <c r="B83">
        <v>139</v>
      </c>
      <c r="C83" t="inlineStr">
        <is>
          <t>宝子稍等片刻，资源正在路上</t>
        </is>
      </c>
      <c r="D83" t="inlineStr">
        <is>
          <t>是</t>
        </is>
      </c>
      <c r="E83" t="inlineStr">
        <is>
          <t>可灵1.6跳舞提示词35套
都是进行实际操作过的，百分百真实。
AI火爆视频创作必备！精品跳舞提示词，赶紧入手，让你的创作用词更精准！
感兴趣的话直接拍24小时自动发货。</t>
        </is>
      </c>
      <c r="F83" s="2" t="str">
        <f>=HYPERLINK("http://img.alicdn.com/bao/uploaded/i1/O1CN01WztnhG1VDYKwbMtrb_!!4611686018427386795-0-fleamarket.jpg_790x10000Q90.jpg_.webp", "img.alicdn.com/bao/uploaded/i1/O1CN01WztnhG1VDYKwbMtrb_!!4611686018427386795-0-fleamarket.jpg_790x10000Q90.jpg_.webp")</f>
        <v>img.alicdn.com/bao/uploaded/i1/O1CN01WztnhG1VDYKwbMtrb_!!4611686018427386795-0-fleamarket.jpg_790x10000Q90.jpg_.webp</v>
      </c>
      <c r="G83"/>
      <c r="H83" s="2" t="str">
        <f>=HYPERLINK("https://www.goofish.com/item?spm=a21ybx.search.searchFeedList.9.678761adKwsksx&amp;id=898810530390&amp;categoryId=201459210", "https://www.goofish.com/item?spm=a21ybx.search.searchFeedList.9.678761adKwsksx&amp;id=898810530390&amp;categoryId=201459210")</f>
        <v>https://www.goofish.com/item?spm=a21ybx.search.searchFeedList.9.678761adKwsksx&amp;id=898810530390&amp;categoryId=201459210</v>
      </c>
      <c r="I83"/>
      <c r="J83"/>
      <c r="K83"/>
      <c r="L83"/>
    </row>
    <row r="84" ht="25.5" customHeight="1">
      <c r="A84" t="inlineStr">
        <is>
          <t>【自动发货】2100</t>
        </is>
      </c>
      <c r="B84">
        <v>140</v>
      </c>
      <c r="C84" t="inlineStr">
        <is>
          <t>宝子稍等片刻，资源正在路上</t>
        </is>
      </c>
      <c r="D84" t="inlineStr">
        <is>
          <t>是</t>
        </is>
      </c>
      <c r="E84" t="inlineStr">
        <is>
          <t>【自动发货】2100+提示词模版|170+细分行业门类|小白秒变大神！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t>
        </is>
      </c>
      <c r="F84" s="2" t="str">
        <f>=HYPERLINK("http://img.alicdn.com/bao/uploaded/i3/O1CN01dlbAJe1Vk4TYcAUau_!!4611686018427386834-0-fleamarket.jpg_790x10000Q90.jpg_.webp", "img.alicdn.com/bao/uploaded/i3/O1CN01dlbAJe1Vk4TYcAUau_!!4611686018427386834-0-fleamarket.jpg_790x10000Q90.jpg_.webp")</f>
        <v>img.alicdn.com/bao/uploaded/i3/O1CN01dlbAJe1Vk4TYcAUau_!!4611686018427386834-0-fleamarket.jpg_790x10000Q90.jpg_.webp</v>
      </c>
      <c r="G84"/>
      <c r="H84" s="2" t="str">
        <f>=HYPERLINK("https://www.goofish.com/item?spm=a21ybx.search.searchFeedList.18.678761adKwsksx&amp;id=921985936906&amp;categoryId=202036301", "https://www.goofish.com/item?spm=a21ybx.search.searchFeedList.18.678761adKwsksx&amp;id=921985936906&amp;categoryId=202036301")</f>
        <v>https://www.goofish.com/item?spm=a21ybx.search.searchFeedList.18.678761adKwsksx&amp;id=921985936906&amp;categoryId=202036301</v>
      </c>
      <c r="I84"/>
      <c r="J84"/>
      <c r="K84"/>
      <c r="L84"/>
    </row>
    <row r="85" ht="25.5" customHeight="1">
      <c r="A85" t="inlineStr">
        <is>
          <t>只给你一个模板，其他</t>
        </is>
      </c>
      <c r="B85">
        <v>141</v>
      </c>
      <c r="C85" t="inlineStr">
        <is>
          <t>【超级会员V1】通过百度网盘分享的文件：SUNO社区指南…
链接:https://pan.baidu.com/s/1UtnwrUFXC1-tHF9CuMljaw 
提取码:jfm7
复制这段内容打开「百度网盘APP 即可获取」</t>
        </is>
      </c>
      <c r="D85" t="inlineStr">
        <is>
          <t>是</t>
        </is>
      </c>
      <c r="E85" t="inlineStr">
        <is>
          <t>只给你一个模板，其他都用自己的灵感来搭配提示词创作！
服务内容：
帮助您从0-精通使用suno制作自己专属的ai音乐
服务内容：
🎵 音乐人的秘密武器，终于公开了！
《Suno 提示词综合指南》正式发布｜网上那些自称一键生成提示词的智能体只是程序员的预先设定，并不能代表您的想法。只有用自己的灵感去搭配创作才会获得更好的生成体验。
打开 Suno，输入一句“lofi jazz with rain”，结果出来的旋律像电梯音乐？
不是你不会写提示词，是你没掌握真正的语法。
我们花了一年半，拆解了 5000+ 首 Suno 热榜神曲，逆向工程它们的提示词结构，同时创作和对比了上万首ai歌曲，
最终整理出这份——
📁 《Suno 提示词综合指南 v1.0》
这不是“提示词合集”，这是 Suno 的“作曲语法书”
✅ 各大音乐风格（Lo-fi、City Pop、Neo Soul、Dark Trap、Epic Orchestral…）
✅ 情绪+乐器+结构+音色等多维提示词列表
✅ 高级技巧：如何用“负向提示”避免雷区，如何用“风格融合”制造爆款
✅ 隐藏参数：Suno 官方没文档的“暗语”，我们帮你试出来了
🎧 音乐制作人：快速出demo，不再为“写提示词”卡壳
📀 内容创作者：BGM不再撞车，视频节奏精准卡点
🎮 游戏/播客/广告从业者：低成本定制爆款音乐，优化直播间听觉感受。
🧪 AI 音乐爱好者：快捷制作心仪的歌曲
写在最后: 这是一份为音乐爱好者和音乐人定制的提示词大全，几乎接近零成本。如果您喜欢，可以直接拍下宝贝并给卖家留言，卖家会直接发给您文档的下载链接。
</t>
        </is>
      </c>
      <c r="F85" s="2" t="str">
        <f>=HYPERLINK("http://img.alicdn.com/bao/uploaded/i3/O1CN01qAP7gs2DIRijTMlUu_!!4611686018427381018-0-fleamarket.jpg_790x10000Q90.jpg_.webp", "img.alicdn.com/bao/uploaded/i3/O1CN01qAP7gs2DIRijTMlUu_!!4611686018427381018-0-fleamarket.jpg_790x10000Q90.jpg_.webp")</f>
        <v>img.alicdn.com/bao/uploaded/i3/O1CN01qAP7gs2DIRijTMlUu_!!4611686018427381018-0-fleamarket.jpg_790x10000Q90.jpg_.webp</v>
      </c>
      <c r="G85"/>
      <c r="H85" s="2" t="str">
        <f>=HYPERLINK("https://www.goofish.com/item?spm=a21ybx.search.searchFeedList.13.678761adKwsksx&amp;id=988751334982&amp;categoryId=201451106", "https://www.goofish.com/item?spm=a21ybx.search.searchFeedList.13.678761adKwsksx&amp;id=988751334982&amp;categoryId=201451106")</f>
        <v>https://www.goofish.com/item?spm=a21ybx.search.searchFeedList.13.678761adKwsksx&amp;id=988751334982&amp;categoryId=201451106</v>
      </c>
      <c r="I85"/>
      <c r="J85"/>
      <c r="K85"/>
      <c r="L85"/>
    </row>
    <row r="86" ht="25.5" customHeight="1">
      <c r="A86" t="inlineStr">
        <is>
          <t>【爆款文案选题神器】</t>
        </is>
      </c>
      <c r="B86">
        <v>142</v>
      </c>
      <c r="C86" t="inlineStr">
        <is>
          <t>宝子稍等片刻，资源正在路上</t>
        </is>
      </c>
      <c r="D86" t="inlineStr">
        <is>
          <t>是</t>
        </is>
      </c>
      <c r="E86" t="inlineStr">
        <is>
          <t>【爆款文案选题神器】薛辉8大智能体提示词×飞书多维表格｜输入
行业3秒生成爆款选题
啥是它？
就像请了个24小时在线的文案大神！把薛辉8大智能体塞进飞书表格，你只需要：
选一下你的行业（比如穿搭/美食/育儿）
点一下选题类型
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网盘自动发货，有需要可以直接拍，虚拟产品不支持退款！
990379337637
</t>
        </is>
      </c>
      <c r="F86" s="2" t="str">
        <f>=HYPERLINK("http://img.alicdn.com/bao/uploaded/i1/O1CN01YHpp5l1v5vp4Bji5q_!!4611686018427385162-0-fleamarket.jpg_790x10000Q90.jpg_.webp", "img.alicdn.com/bao/uploaded/i1/O1CN01YHpp5l1v5vp4Bji5q_!!4611686018427385162-0-fleamarket.jpg_790x10000Q90.jpg_.webp")</f>
        <v>img.alicdn.com/bao/uploaded/i1/O1CN01YHpp5l1v5vp4Bji5q_!!4611686018427385162-0-fleamarket.jpg_790x10000Q90.jpg_.webp</v>
      </c>
      <c r="G86"/>
      <c r="H86" s="2" t="str">
        <f>=HYPERLINK("https://www.goofish.com/item?spm=a21ybx.search.searchFeedList.8.678761adKwsksx&amp;id=998250630523&amp;categoryId=202036301", "https://www.goofish.com/item?spm=a21ybx.search.searchFeedList.8.678761adKwsksx&amp;id=998250630523&amp;categoryId=202036301")</f>
        <v>https://www.goofish.com/item?spm=a21ybx.search.searchFeedList.8.678761adKwsksx&amp;id=998250630523&amp;categoryId=202036301</v>
      </c>
      <c r="I86"/>
      <c r="J86"/>
      <c r="K86"/>
      <c r="L86"/>
    </row>
    <row r="87" ht="25.5" customHeight="1">
      <c r="A87" t="inlineStr">
        <is>
          <t>Al提示词大全Al提</t>
        </is>
      </c>
      <c r="B87">
        <v>143</v>
      </c>
      <c r="C87" t="inlineStr">
        <is>
          <t>宝子稍等片刻，资源正在路上</t>
        </is>
      </c>
      <c r="D87" t="inlineStr">
        <is>
          <t>是</t>
        </is>
      </c>
      <c r="E87" t="inlineStr">
        <is>
          <t>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
</t>
        </is>
      </c>
      <c r="F87" s="2" t="str">
        <f>=HYPERLINK("http://img.alicdn.com/bao/uploaded/i1/O1CN01BNEihF26fcQFVS92G_!!4611686018427382825-53-fleamarket.heic_790x10000Q90.jpg_.webp", "img.alicdn.com/bao/uploaded/i1/O1CN01BNEihF26fcQFVS92G_!!4611686018427382825-53-fleamarket.heic_790x10000Q90.jpg_.webp")</f>
        <v>img.alicdn.com/bao/uploaded/i1/O1CN01BNEihF26fcQFVS92G_!!4611686018427382825-53-fleamarket.heic_790x10000Q90.jpg_.webp</v>
      </c>
      <c r="G87"/>
      <c r="H87" s="2" t="str">
        <f>=HYPERLINK("https://www.goofish.com/item?spm=a21ybx.search.searchFeedList.13.678761adKwsksx&amp;id=951786701861&amp;categoryId=202152829", "https://www.goofish.com/item?spm=a21ybx.search.searchFeedList.13.678761adKwsksx&amp;id=951786701861&amp;categoryId=202152829")</f>
        <v>https://www.goofish.com/item?spm=a21ybx.search.searchFeedList.13.678761adKwsksx&amp;id=951786701861&amp;categoryId=202152829</v>
      </c>
      <c r="I87"/>
      <c r="J87"/>
      <c r="K87"/>
      <c r="L87"/>
    </row>
    <row r="88" ht="25.5" customHeight="1">
      <c r="A88" t="inlineStr">
        <is>
          <t>Al提示词大全Al提2</t>
        </is>
      </c>
      <c r="B88">
        <v>150</v>
      </c>
      <c r="C88" t="inlineStr">
        <is>
          <t>宝子稍等片刻，资源正在路上</t>
        </is>
      </c>
      <c r="D88" t="inlineStr">
        <is>
          <t>是</t>
        </is>
      </c>
      <c r="E88" t="inlineStr">
        <is>
          <t>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t>
        </is>
      </c>
      <c r="F88" s="2" t="str">
        <f>=HYPERLINK("http://img.alicdn.com/bao/uploaded/i1/O1CN01BNEihF26fcQFVS92G_!!4611686018427382825-53-fleamarket.heic_790x10000Q90.jpg_.webp", "img.alicdn.com/bao/uploaded/i1/O1CN01BNEihF26fcQFVS92G_!!4611686018427382825-53-fleamarket.heic_790x10000Q90.jpg_.webp")</f>
        <v>img.alicdn.com/bao/uploaded/i1/O1CN01BNEihF26fcQFVS92G_!!4611686018427382825-53-fleamarket.heic_790x10000Q90.jpg_.webp</v>
      </c>
      <c r="G88"/>
      <c r="H88" s="2" t="str">
        <f>=HYPERLINK("https://www.goofish.com/item?spm=a21ybx.search.searchFeedList.13.678761adKwsksx&amp;id=951786701861&amp;categoryId=202152829", "https://www.goofish.com/item?spm=a21ybx.search.searchFeedList.13.678761adKwsksx&amp;id=951786701861&amp;categoryId=202152829")</f>
        <v>https://www.goofish.com/item?spm=a21ybx.search.searchFeedList.13.678761adKwsksx&amp;id=951786701861&amp;categoryId=202152829</v>
      </c>
      <c r="I88"/>
      <c r="J88"/>
      <c r="K88"/>
      <c r="L88"/>
    </row>
    <row r="89" ht="25.5" customHeight="1">
      <c r="A89" t="inlineStr">
        <is>
          <t>成语故事ppt模板成</t>
        </is>
      </c>
      <c r="B89">
        <v>151</v>
      </c>
      <c r="C89" t="inlineStr">
        <is>
          <t>宝子稍等片刻，资源正在路上</t>
        </is>
      </c>
      <c r="D89" t="inlineStr">
        <is>
          <t>是</t>
        </is>
      </c>
      <c r="E89" t="inlineStr">
        <is>
          <t>成语故事ppt模板成品课件幼儿园小学生儿童讲解素材寓言教师说课
——★24小时自动秒发百度网盘 ★——
——★24小时自动秒发百度网盘 ★——
——★24小时自动秒发百度网盘 ★——
1600套成语故事PPT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89" s="2" t="str">
        <f>=HYPERLINK("http://img.alicdn.com/bao/uploaded/i3/O1CN01yNvfQK1dZ5xAyfH2V_!!4611686018427387605-0-fleamarket.jpg_790x10000Q90.jpg_.webp", "img.alicdn.com/bao/uploaded/i3/O1CN01yNvfQK1dZ5xAyfH2V_!!4611686018427387605-0-fleamarket.jpg_790x10000Q90.jpg_.webp")</f>
        <v>img.alicdn.com/bao/uploaded/i3/O1CN01yNvfQK1dZ5xAyfH2V_!!4611686018427387605-0-fleamarket.jpg_790x10000Q90.jpg_.webp</v>
      </c>
      <c r="G89"/>
      <c r="H89" s="2" t="str">
        <f>=HYPERLINK("https://www.goofish.com/item?spm=a21ybx.personal.feeds.306.12e16ac2PYxLX9&amp;id=993217612606&amp;categoryId=50023914", "https://www.goofish.com/item?spm=a21ybx.personal.feeds.306.12e16ac2PYxLX9&amp;id=993217612606&amp;categoryId=50023914")</f>
        <v>https://www.goofish.com/item?spm=a21ybx.personal.feeds.306.12e16ac2PYxLX9&amp;id=993217612606&amp;categoryId=50023914</v>
      </c>
      <c r="I89"/>
      <c r="J89"/>
      <c r="K89"/>
      <c r="L89"/>
    </row>
    <row r="90" ht="25.5" customHeight="1">
      <c r="A90" t="inlineStr">
        <is>
          <t>公司企业活动宣传产品</t>
        </is>
      </c>
      <c r="B90">
        <v>152</v>
      </c>
      <c r="C90" t="inlineStr">
        <is>
          <t>宝子稍等片刻，资源正在路上</t>
        </is>
      </c>
      <c r="D90" t="inlineStr">
        <is>
          <t>是</t>
        </is>
      </c>
      <c r="E90" t="inlineStr">
        <is>
          <t>公司企业活动宣传产品手册AI设计DM传单海报CDR三折页模板PSD素材
——★24小时自动秒发百度网盘 ★——
15秒发送云盘链接下载 包含9999款 大小:54GB PSD/CDR/AI格式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t>
        </is>
      </c>
      <c r="F90" s="2" t="str">
        <f>=HYPERLINK("http://img.alicdn.com/bao/uploaded/i2/O1CN01ehxFDt1dZ5w8SlvsQ_!!4611686018427387605-0-fleamarket.jpg_790x10000Q90.jpg_.webp", "img.alicdn.com/bao/uploaded/i2/O1CN01ehxFDt1dZ5w8SlvsQ_!!4611686018427387605-0-fleamarket.jpg_790x10000Q90.jpg_.webp")</f>
        <v>img.alicdn.com/bao/uploaded/i2/O1CN01ehxFDt1dZ5w8SlvsQ_!!4611686018427387605-0-fleamarket.jpg_790x10000Q90.jpg_.webp</v>
      </c>
      <c r="G90"/>
      <c r="H90" s="2" t="str">
        <f>=HYPERLINK("https://www.goofish.com/item?spm=a21ybx.personal.feeds.274.12e16ac2PYxLX9&amp;id=971809642996&amp;categoryId=50023914", "https://www.goofish.com/item?spm=a21ybx.personal.feeds.274.12e16ac2PYxLX9&amp;id=971809642996&amp;categoryId=50023914")</f>
        <v>https://www.goofish.com/item?spm=a21ybx.personal.feeds.274.12e16ac2PYxLX9&amp;id=971809642996&amp;categoryId=50023914</v>
      </c>
      <c r="I90"/>
      <c r="J90"/>
      <c r="K90"/>
      <c r="L90"/>
    </row>
    <row r="91" ht="25.5" customHeight="1">
      <c r="A91" t="inlineStr">
        <is>
          <t>时间轴ppt模板公司</t>
        </is>
      </c>
      <c r="B91">
        <v>153</v>
      </c>
      <c r="C91" t="inlineStr">
        <is>
          <t>宝子稍等片刻，资源正在路上</t>
        </is>
      </c>
      <c r="D91" t="inlineStr">
        <is>
          <t>是</t>
        </is>
      </c>
      <c r="E91" t="inlineStr">
        <is>
          <t>时间轴ppt模板公司发展历程大事件历史时间线工作汇报告项目进程
——★24小时自动秒发百度网盘 ★——
——★24小时自动秒发百度网盘 ★——
——★24小时自动秒发百度网盘 ★——
310套时间轴PPT 多风格 可编辑
发展历程 项目进度 历史演变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1" s="2" t="str">
        <f>=HYPERLINK("http://img.alicdn.com/bao/uploaded/i3/O1CN0184PsNy1dZ5x0Ppl4V_!!4611686018427387605-0-fleamarket.jpg_790x10000Q90.jpg_.webp", "img.alicdn.com/bao/uploaded/i3/O1CN0184PsNy1dZ5x0Ppl4V_!!4611686018427387605-0-fleamarket.jpg_790x10000Q90.jpg_.webp")</f>
        <v>img.alicdn.com/bao/uploaded/i3/O1CN0184PsNy1dZ5x0Ppl4V_!!4611686018427387605-0-fleamarket.jpg_790x10000Q90.jpg_.webp</v>
      </c>
      <c r="G91"/>
      <c r="H91" s="2" t="str">
        <f>=HYPERLINK("https://www.goofish.com/item?spm=a21ybx.personal.feeds.406.12e16ac2PYxLX9&amp;id=989027302177&amp;categoryId=50023914", "https://www.goofish.com/item?spm=a21ybx.personal.feeds.406.12e16ac2PYxLX9&amp;id=989027302177&amp;categoryId=50023914")</f>
        <v>https://www.goofish.com/item?spm=a21ybx.personal.feeds.406.12e16ac2PYxLX9&amp;id=989027302177&amp;categoryId=50023914</v>
      </c>
      <c r="I91"/>
      <c r="J91"/>
      <c r="K91"/>
      <c r="L91"/>
    </row>
    <row r="92" ht="25.5" customHeight="1">
      <c r="A92" t="inlineStr">
        <is>
          <t>全国高校教师教学创新</t>
        </is>
      </c>
      <c r="B92">
        <v>154</v>
      </c>
      <c r="C92" t="inlineStr">
        <is>
          <t>【超级会员V1】通过百度网盘分享的文件：高校教育教学申报…
链接:https://pan.baidu.com/s/1ulbRb39BykYwa9NUPwsLoA 
提取码:i9wc
复制这段内容打开「百度网盘APP 即可获取」</t>
        </is>
      </c>
      <c r="D92" t="inlineStr">
        <is>
          <t>是</t>
        </is>
      </c>
      <c r="E92" t="inlineStr">
        <is>
          <t>全国高校教师教学创新大赛ppt课堂实录视频设计汇报告获奖申报书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2" s="2" t="str">
        <f>=HYPERLINK("http://img.alicdn.com/bao/uploaded/i3/O1CN01Eg20Pf1dZ5wyD08LR_!!4611686018427387605-0-fleamarket.jpg_790x10000Q90.jpg_.webp", "img.alicdn.com/bao/uploaded/i3/O1CN01Eg20Pf1dZ5wyD08LR_!!4611686018427387605-0-fleamarket.jpg_790x10000Q90.jpg_.webp")</f>
        <v>img.alicdn.com/bao/uploaded/i3/O1CN01Eg20Pf1dZ5wyD08LR_!!4611686018427387605-0-fleamarket.jpg_790x10000Q90.jpg_.webp</v>
      </c>
      <c r="G92"/>
      <c r="H92" s="2" t="str">
        <f>=HYPERLINK("https://www.goofish.com/item?spm=a21ybx.personal.feeds.424.12e16ac2PYxLX9&amp;id=989099081586&amp;categoryId=50023914", "https://www.goofish.com/item?spm=a21ybx.personal.feeds.424.12e16ac2PYxLX9&amp;id=989099081586&amp;categoryId=50023914")</f>
        <v>https://www.goofish.com/item?spm=a21ybx.personal.feeds.424.12e16ac2PYxLX9&amp;id=989099081586&amp;categoryId=50023914</v>
      </c>
      <c r="I92"/>
      <c r="J92"/>
      <c r="K92"/>
      <c r="L92"/>
    </row>
    <row r="93" ht="25.5" customHeight="1">
      <c r="A93" t="inlineStr">
        <is>
          <t>年级小学生数学手抄报</t>
        </is>
      </c>
      <c r="B93">
        <v>155</v>
      </c>
      <c r="C93" t="inlineStr">
        <is>
          <t>【超级会员V2】通过百度网盘分享的文件：S002-数学手…
链接:https://pan.baidu.com/s/1SgTFCucE69mVGMbgUbz3Tw 
提取码:t3i7
复制这段内容打开「百度网盘APP 即可获取」</t>
        </is>
      </c>
      <c r="D93" t="inlineStr">
        <is>
          <t>是</t>
        </is>
      </c>
      <c r="E93" t="inlineStr">
        <is>
          <t>年级小学生数学手抄报模板电子版趣味数学与生活数学乐园小报A3A4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93" s="2" t="str">
        <f>=HYPERLINK("http://img.alicdn.com/bao/uploaded/i1/O1CN01jXCnOl1dZ5wqn9gw0_!!4611686018427387605-2-fleamarket.png_790x10000.jpg_.webp", "img.alicdn.com/bao/uploaded/i1/O1CN01jXCnOl1dZ5wqn9gw0_!!4611686018427387605-2-fleamarket.png_790x10000.jpg_.webp")</f>
        <v>img.alicdn.com/bao/uploaded/i1/O1CN01jXCnOl1dZ5wqn9gw0_!!4611686018427387605-2-fleamarket.png_790x10000.jpg_.webp</v>
      </c>
      <c r="G93"/>
      <c r="H93" s="2" t="str">
        <f>=HYPERLINK("https://www.goofish.com/item?spm=a21ybx.personal.feeds.471.12e16ac2PYxLX9&amp;id=985682259333&amp;categoryId=50023914", "https://www.goofish.com/item?spm=a21ybx.personal.feeds.471.12e16ac2PYxLX9&amp;id=985682259333&amp;categoryId=50023914")</f>
        <v>https://www.goofish.com/item?spm=a21ybx.personal.feeds.471.12e16ac2PYxLX9&amp;id=985682259333&amp;categoryId=50023914</v>
      </c>
      <c r="I93"/>
      <c r="J93"/>
      <c r="K93"/>
      <c r="L93"/>
    </row>
    <row r="94" ht="25.5" customHeight="1">
      <c r="A94" t="inlineStr">
        <is>
          <t>大学老师副教授正高级</t>
        </is>
      </c>
      <c r="B94">
        <v>156</v>
      </c>
      <c r="C94" t="inlineStr">
        <is>
          <t>宝子稍等片刻，资源正在路上</t>
        </is>
      </c>
      <c r="D94" t="inlineStr">
        <is>
          <t>是</t>
        </is>
      </c>
      <c r="E94" t="inlineStr">
        <is>
          <t>大学老师副教授正高级科研究员职称申报学术汇报答辩PPT模板评审
——★24小时自动秒发百度网盘 ★——
——★24小时自动秒发百度网盘 ★——
——★24小时自动秒发百度网盘 ★——
4套职称申报PPT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4" s="2" t="str">
        <f>=HYPERLINK("http://img.alicdn.com/bao/uploaded/i3/O1CN01vdK4t11dZ5wzAaHgV_!!4611686018427387605-0-fleamarket.jpg_790x10000Q90.jpg_.webp", "img.alicdn.com/bao/uploaded/i3/O1CN01vdK4t11dZ5wzAaHgV_!!4611686018427387605-0-fleamarket.jpg_790x10000Q90.jpg_.webp")</f>
        <v>img.alicdn.com/bao/uploaded/i3/O1CN01vdK4t11dZ5wzAaHgV_!!4611686018427387605-0-fleamarket.jpg_790x10000Q90.jpg_.webp</v>
      </c>
      <c r="G94"/>
      <c r="H94" s="2" t="str">
        <f>=HYPERLINK("https://www.goofish.com/item?spm=a21ybx.personal.feeds.405.12e16ac2PYxLX9&amp;id=988463271302&amp;categoryId=50023914", "https://www.goofish.com/item?spm=a21ybx.personal.feeds.405.12e16ac2PYxLX9&amp;id=988463271302&amp;categoryId=50023914")</f>
        <v>https://www.goofish.com/item?spm=a21ybx.personal.feeds.405.12e16ac2PYxLX9&amp;id=988463271302&amp;categoryId=50023914</v>
      </c>
      <c r="I94"/>
      <c r="J94"/>
      <c r="K94"/>
      <c r="L94"/>
    </row>
    <row r="95" ht="25.5" customHeight="1">
      <c r="A95" t="inlineStr">
        <is>
          <t>PPT模板简约高级商</t>
        </is>
      </c>
      <c r="B95">
        <v>157</v>
      </c>
      <c r="C95" t="inlineStr">
        <is>
          <t>宝子稍等片刻，资源正在路上</t>
        </is>
      </c>
      <c r="D95" t="inlineStr">
        <is>
          <t>是</t>
        </is>
      </c>
      <c r="E95" t="inlineStr">
        <is>
          <t>PPT模板简约高级商务精英展示专家讲师团队名人简介排版人物介绍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5" s="2" t="str">
        <f>=HYPERLINK("http://img.alicdn.com/bao/uploaded/i4/O1CN01IQQZNn1dZ5wxiceHc_!!4611686018427387605-0-fleamarket.jpg_790x10000Q90.jpg_.webp", "img.alicdn.com/bao/uploaded/i4/O1CN01IQQZNn1dZ5wxiceHc_!!4611686018427387605-0-fleamarket.jpg_790x10000Q90.jpg_.webp")</f>
        <v>img.alicdn.com/bao/uploaded/i4/O1CN01IQQZNn1dZ5wxiceHc_!!4611686018427387605-0-fleamarket.jpg_790x10000Q90.jpg_.webp</v>
      </c>
      <c r="G95"/>
      <c r="H95" s="2" t="str">
        <f>=HYPERLINK("https://www.goofish.com/item?spm=a21ybx.personal.feeds.413.12e16ac2PYxLX9&amp;id=987990827174&amp;categoryId=50023914", "https://www.goofish.com/item?spm=a21ybx.personal.feeds.413.12e16ac2PYxLX9&amp;id=987990827174&amp;categoryId=50023914")</f>
        <v>https://www.goofish.com/item?spm=a21ybx.personal.feeds.413.12e16ac2PYxLX9&amp;id=987990827174&amp;categoryId=50023914</v>
      </c>
      <c r="I95"/>
      <c r="J95"/>
      <c r="K95"/>
      <c r="L95"/>
    </row>
    <row r="96" ht="25.5" customHeight="1">
      <c r="A96" t="inlineStr">
        <is>
          <t>国庆节爱国红色主题儿</t>
        </is>
      </c>
      <c r="B96">
        <v>158</v>
      </c>
      <c r="C96" t="inlineStr">
        <is>
          <t>宝子稍等片刻，资源正在路上</t>
        </is>
      </c>
      <c r="D96" t="inlineStr">
        <is>
          <t>是</t>
        </is>
      </c>
      <c r="E96" t="inlineStr">
        <is>
          <t>国庆节爱国红色主题儿童画绘画小学生线稿电子版手抄报模板爱祖国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6" s="2" t="str">
        <f>=HYPERLINK("http://img.alicdn.com/bao/uploaded/i4/O1CN01ABxqNG1dZ5wZnwWfw_!!4611686018427387605-0-fleamarket.jpg_790x10000Q90.jpg_.webp", "img.alicdn.com/bao/uploaded/i4/O1CN01ABxqNG1dZ5wZnwWfw_!!4611686018427387605-0-fleamarket.jpg_790x10000Q90.jpg_.webp")</f>
        <v>img.alicdn.com/bao/uploaded/i4/O1CN01ABxqNG1dZ5wZnwWfw_!!4611686018427387605-0-fleamarket.jpg_790x10000Q90.jpg_.webp</v>
      </c>
      <c r="G96"/>
      <c r="H96" s="2" t="str">
        <f>=HYPERLINK("https://www.goofish.com/item?spm=a21ybx.personal.feeds.524.12e16ac2PYxLX9&amp;id=980224626695&amp;categoryId=50023914", "https://www.goofish.com/item?spm=a21ybx.personal.feeds.524.12e16ac2PYxLX9&amp;id=980224626695&amp;categoryId=50023914")</f>
        <v>https://www.goofish.com/item?spm=a21ybx.personal.feeds.524.12e16ac2PYxLX9&amp;id=980224626695&amp;categoryId=50023914</v>
      </c>
      <c r="I96"/>
      <c r="J96"/>
      <c r="K96"/>
      <c r="L96"/>
    </row>
    <row r="97" ht="25.5" customHeight="1">
      <c r="A97" t="inlineStr">
        <is>
          <t>听音乐猜歌名游戏PP</t>
        </is>
      </c>
      <c r="B97">
        <v>159</v>
      </c>
      <c r="C97" t="inlineStr">
        <is>
          <t>宝子稍等片刻，资源正在路上</t>
        </is>
      </c>
      <c r="D97" t="inlineStr">
        <is>
          <t>是</t>
        </is>
      </c>
      <c r="E97" t="inlineStr">
        <is>
          <t>听音乐猜歌名游戏PPT学校企业早会晨会年会团建主持演讲互动游戏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7" s="2" t="str">
        <f>=HYPERLINK("http://img.alicdn.com/bao/uploaded/i4/O1CN01424ckr1dZ5wu6geOq_!!4611686018427387605-0-fleamarket.jpg_790x10000Q90.jpg_.webp", "img.alicdn.com/bao/uploaded/i4/O1CN01424ckr1dZ5wu6geOq_!!4611686018427387605-0-fleamarket.jpg_790x10000Q90.jpg_.webp")</f>
        <v>img.alicdn.com/bao/uploaded/i4/O1CN01424ckr1dZ5wu6geOq_!!4611686018427387605-0-fleamarket.jpg_790x10000Q90.jpg_.webp</v>
      </c>
      <c r="G97"/>
      <c r="H97" s="2" t="str">
        <f>=HYPERLINK("https://www.goofish.com/item?spm=a21ybx.personal.feeds.450.12e16ac2PYxLX9&amp;id=987356914309&amp;categoryId=50023914", "https://www.goofish.com/item?spm=a21ybx.personal.feeds.450.12e16ac2PYxLX9&amp;id=987356914309&amp;categoryId=50023914")</f>
        <v>https://www.goofish.com/item?spm=a21ybx.personal.feeds.450.12e16ac2PYxLX9&amp;id=987356914309&amp;categoryId=50023914</v>
      </c>
      <c r="I97"/>
      <c r="J97"/>
      <c r="K97"/>
      <c r="L97"/>
    </row>
    <row r="98" ht="25.5" customHeight="1">
      <c r="A98" t="inlineStr">
        <is>
          <t>企业公司产品宣传品牌</t>
        </is>
      </c>
      <c r="B98">
        <v>160</v>
      </c>
      <c r="C98" t="inlineStr">
        <is>
          <t>宝子稍等片刻，资源正在路上</t>
        </is>
      </c>
      <c r="D98" t="inlineStr">
        <is>
          <t>是</t>
        </is>
      </c>
      <c r="E98" t="inlineStr">
        <is>
          <t>企业公司产品宣传品牌vi手册模板AI全套作品CDR设计PSD样机ID素材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8" s="2" t="str">
        <f>=HYPERLINK("http://img.alicdn.com/bao/uploaded/i2/O1CN01nZSSmD1dZ5xHS0oz0_!!4611686018427387605-0-fleamarket.jpg_790x10000Q90.jpg_.webp", "img.alicdn.com/bao/uploaded/i2/O1CN01nZSSmD1dZ5xHS0oz0_!!4611686018427387605-0-fleamarket.jpg_790x10000Q90.jpg_.webp")</f>
        <v>img.alicdn.com/bao/uploaded/i2/O1CN01nZSSmD1dZ5xHS0oz0_!!4611686018427387605-0-fleamarket.jpg_790x10000Q90.jpg_.webp</v>
      </c>
      <c r="G98"/>
      <c r="H98" s="2" t="str">
        <f>=HYPERLINK("https://www.goofish.com/item?spm=a21ybx.personal.feeds.171.12e16ac2PYxLX9&amp;id=993553130615&amp;categoryId=50023914", "https://www.goofish.com/item?spm=a21ybx.personal.feeds.171.12e16ac2PYxLX9&amp;id=993553130615&amp;categoryId=50023914")</f>
        <v>https://www.goofish.com/item?spm=a21ybx.personal.feeds.171.12e16ac2PYxLX9&amp;id=993553130615&amp;categoryId=50023914</v>
      </c>
      <c r="I98"/>
      <c r="J98"/>
      <c r="K98"/>
      <c r="L98"/>
    </row>
    <row r="99" ht="25.5" customHeight="1">
      <c r="A99" t="inlineStr">
        <is>
          <t>企业岗位竞聘ppt模</t>
        </is>
      </c>
      <c r="B99">
        <v>161</v>
      </c>
      <c r="C99" t="inlineStr">
        <is>
          <t>宝子稍等片刻，资源正在路上</t>
        </is>
      </c>
      <c r="D99" t="inlineStr">
        <is>
          <t>是</t>
        </is>
      </c>
      <c r="E99" t="inlineStr">
        <is>
          <t>企业岗位竞聘ppt模板简约商务大气个人述职简历自我介绍演讲动态
——★24小时自动秒发百度网盘 ★——
47款岗位竞聘PPT，拍下全发！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t>
        </is>
      </c>
      <c r="F99" s="2" t="str">
        <f>=HYPERLINK("http://img.alicdn.com/bao/uploaded/i2/O1CN01OMkDh61dZ5wB78Jfj_!!4611686018427387605-0-fleamarket.jpg_790x10000Q90.jpg_.webp", "img.alicdn.com/bao/uploaded/i2/O1CN01OMkDh61dZ5wB78Jfj_!!4611686018427387605-0-fleamarket.jpg_790x10000Q90.jpg_.webp")</f>
        <v>img.alicdn.com/bao/uploaded/i2/O1CN01OMkDh61dZ5wB78Jfj_!!4611686018427387605-0-fleamarket.jpg_790x10000Q90.jpg_.webp</v>
      </c>
      <c r="G99"/>
      <c r="H99" s="2" t="str">
        <f>=HYPERLINK("https://www.goofish.com/item?spm=a21ybx.personal.feeds.282.12e16ac2PYxLX9&amp;id=969744759110&amp;categoryId=50023914", "https://www.goofish.com/item?spm=a21ybx.personal.feeds.282.12e16ac2PYxLX9&amp;id=969744759110&amp;categoryId=50023914")</f>
        <v>https://www.goofish.com/item?spm=a21ybx.personal.feeds.282.12e16ac2PYxLX9&amp;id=969744759110&amp;categoryId=50023914</v>
      </c>
      <c r="I99"/>
      <c r="J99"/>
      <c r="K99"/>
      <c r="L99"/>
    </row>
    <row r="100" ht="25.5" customHeight="1">
      <c r="A100" t="inlineStr">
        <is>
          <t>PPT模板校园大学辩</t>
        </is>
      </c>
      <c r="B100">
        <v>162</v>
      </c>
      <c r="C100" t="inlineStr">
        <is>
          <t>宝子稍等片刻，资源正在路上</t>
        </is>
      </c>
      <c r="D100" t="inlineStr">
        <is>
          <t>是</t>
        </is>
      </c>
      <c r="E100" t="inlineStr">
        <is>
          <t>PPT模板校园大学辩论赛职场巅峰对决主题比赛辩手倒计时成品课件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0" s="2" t="str">
        <f>=HYPERLINK("http://img.alicdn.com/bao/uploaded/i2/O1CN01A1nB6M1dZ5x2lOCNw_!!4611686018427387605-0-fleamarket.jpg_790x10000Q90.jpg_.webp", "img.alicdn.com/bao/uploaded/i2/O1CN01A1nB6M1dZ5x2lOCNw_!!4611686018427387605-0-fleamarket.jpg_790x10000Q90.jpg_.webp")</f>
        <v>img.alicdn.com/bao/uploaded/i2/O1CN01A1nB6M1dZ5x2lOCNw_!!4611686018427387605-0-fleamarket.jpg_790x10000Q90.jpg_.webp</v>
      </c>
      <c r="G100"/>
      <c r="H100" s="2" t="str">
        <f>=HYPERLINK("https://www.goofish.com/item?spm=a21ybx.personal.feeds.367.12e16ac2PYxLX9&amp;id=989831478508&amp;categoryId=50023914", "https://www.goofish.com/item?spm=a21ybx.personal.feeds.367.12e16ac2PYxLX9&amp;id=989831478508&amp;categoryId=50023914")</f>
        <v>https://www.goofish.com/item?spm=a21ybx.personal.feeds.367.12e16ac2PYxLX9&amp;id=989831478508&amp;categoryId=50023914</v>
      </c>
      <c r="I100"/>
      <c r="J100"/>
      <c r="K100"/>
      <c r="L100"/>
    </row>
    <row r="101" ht="25.5" customHeight="1">
      <c r="A101" t="inlineStr">
        <is>
          <t>全国教学PPT能力大</t>
        </is>
      </c>
      <c r="B101">
        <v>163</v>
      </c>
      <c r="C101" t="inlineStr">
        <is>
          <t>宝子稍等片刻，资源正在路上</t>
        </is>
      </c>
      <c r="D101" t="inlineStr">
        <is>
          <t>是</t>
        </is>
      </c>
      <c r="E101" t="inlineStr">
        <is>
          <t>全国教学PPT能力大赛实施报告模板十二图教师国金技能讲课课件
——★24小时自动秒发百度网盘 ★——
——★24小时自动秒发百度网盘 ★——
——★24小时自动秒发百度网盘 ★——
完整12图+精选实施PPT+讲课
40套实施报告+327套讲课PPT模板
大赛配图案例库 国赛精选案例模板
40套 国赛获奖PPT模板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1" s="2" t="str">
        <f>=HYPERLINK("http://img.alicdn.com/bao/uploaded/i1/O1CN01YecB551dZ5xN9hN1c_!!4611686018427387605-0-fleamarket.jpg_790x10000Q90.jpg_.webp", "img.alicdn.com/bao/uploaded/i1/O1CN01YecB551dZ5xN9hN1c_!!4611686018427387605-0-fleamarket.jpg_790x10000Q90.jpg_.webp")</f>
        <v>img.alicdn.com/bao/uploaded/i1/O1CN01YecB551dZ5xN9hN1c_!!4611686018427387605-0-fleamarket.jpg_790x10000Q90.jpg_.webp</v>
      </c>
      <c r="G101"/>
      <c r="H101" s="2" t="str">
        <f>=HYPERLINK("https://www.goofish.com/item?spm=a21ybx.personal.feeds.82.12e16ac2PYxLX9&amp;id=994980775877&amp;categoryId=50023914", "https://www.goofish.com/item?spm=a21ybx.personal.feeds.82.12e16ac2PYxLX9&amp;id=994980775877&amp;categoryId=50023914")</f>
        <v>https://www.goofish.com/item?spm=a21ybx.personal.feeds.82.12e16ac2PYxLX9&amp;id=994980775877&amp;categoryId=50023914</v>
      </c>
      <c r="I101"/>
      <c r="J101"/>
      <c r="K101"/>
      <c r="L101"/>
    </row>
    <row r="102" ht="25.5" customHeight="1">
      <c r="A102" t="inlineStr">
        <is>
          <t>ppt模板工作汇报高</t>
        </is>
      </c>
      <c r="B102">
        <v>164</v>
      </c>
      <c r="C102" t="inlineStr">
        <is>
          <t>宝子稍等片刻，资源正在路上</t>
        </is>
      </c>
      <c r="D102" t="inlineStr">
        <is>
          <t>是</t>
        </is>
      </c>
      <c r="E102" t="inlineStr">
        <is>
          <t>ppt模板工作汇报高级红色商务个人项目述职报告季度年终总结复盘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102" s="2" t="str">
        <f>=HYPERLINK("http://img.alicdn.com/bao/uploaded/i2/O1CN01J1o19L1dZ5wpSgARi_!!4611686018427387605-0-fleamarket.jpg_790x10000Q90.jpg_.webp", "img.alicdn.com/bao/uploaded/i2/O1CN01J1o19L1dZ5wpSgARi_!!4611686018427387605-0-fleamarket.jpg_790x10000Q90.jpg_.webp")</f>
        <v>img.alicdn.com/bao/uploaded/i2/O1CN01J1o19L1dZ5wpSgARi_!!4611686018427387605-0-fleamarket.jpg_790x10000Q90.jpg_.webp</v>
      </c>
      <c r="G102"/>
      <c r="H102" s="2" t="str">
        <f>=HYPERLINK("https://www.goofish.com/item?spm=a21ybx.personal.feeds.476.12e16ac2PYxLX9&amp;id=986224278767&amp;categoryId=50023914", "https://www.goofish.com/item?spm=a21ybx.personal.feeds.476.12e16ac2PYxLX9&amp;id=986224278767&amp;categoryId=50023914")</f>
        <v>https://www.goofish.com/item?spm=a21ybx.personal.feeds.476.12e16ac2PYxLX9&amp;id=986224278767&amp;categoryId=50023914</v>
      </c>
      <c r="I102"/>
      <c r="J102"/>
      <c r="K102"/>
      <c r="L102"/>
    </row>
    <row r="103" ht="25.5" customHeight="1">
      <c r="A103" t="inlineStr">
        <is>
          <t>卡通可爱小学生幼儿园</t>
        </is>
      </c>
      <c r="B103">
        <v>165</v>
      </c>
      <c r="C103" t="inlineStr">
        <is>
          <t>宝子稍等片刻，资源正在路上</t>
        </is>
      </c>
      <c r="D103" t="inlineStr">
        <is>
          <t>是</t>
        </is>
      </c>
      <c r="E103" t="inlineStr">
        <is>
          <t>卡通可爱小学生幼儿园情绪管理心理健康教育主题班会动态ppt模板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3" s="2" t="str">
        <f>=HYPERLINK("http://img.alicdn.com/bao/uploaded/i3/O1CN01Tf9s1R1dZ5wkQ9iZB_!!4611686018427387605-0-fleamarket.jpg_790x10000Q90.jpg_.webp", "img.alicdn.com/bao/uploaded/i3/O1CN01Tf9s1R1dZ5wkQ9iZB_!!4611686018427387605-0-fleamarket.jpg_790x10000Q90.jpg_.webp")</f>
        <v>img.alicdn.com/bao/uploaded/i3/O1CN01Tf9s1R1dZ5wkQ9iZB_!!4611686018427387605-0-fleamarket.jpg_790x10000Q90.jpg_.webp</v>
      </c>
      <c r="G103"/>
      <c r="H103" s="2" t="str">
        <f>=HYPERLINK("https://www.goofish.com/item?spm=a21ybx.personal.feeds.519.12e16ac2PYxLX9&amp;id=984358905461&amp;categoryId=50023914", "https://www.goofish.com/item?spm=a21ybx.personal.feeds.519.12e16ac2PYxLX9&amp;id=984358905461&amp;categoryId=50023914")</f>
        <v>https://www.goofish.com/item?spm=a21ybx.personal.feeds.519.12e16ac2PYxLX9&amp;id=984358905461&amp;categoryId=50023914</v>
      </c>
      <c r="I103"/>
      <c r="J103"/>
      <c r="K103"/>
      <c r="L103"/>
    </row>
    <row r="104" ht="25.5" customHeight="1">
      <c r="A104" t="inlineStr">
        <is>
          <t>中小学期中期末考试表</t>
        </is>
      </c>
      <c r="B104">
        <v>166</v>
      </c>
      <c r="C104" t="inlineStr">
        <is>
          <t>宝子稍等片刻，资源正在路上</t>
        </is>
      </c>
      <c r="D104" t="inlineStr">
        <is>
          <t>是</t>
        </is>
      </c>
      <c r="E104" t="inlineStr">
        <is>
          <t>中小学期中期末考试表彰大会学校班级颁奖PPT模板课件素材可修改
——★24小时自动秒发百度网盘 ★——
——★24小时自动秒发百度网盘 ★——
——★24小时自动秒发百度网盘 ★——
55套期中期末表彰
PPT模板+赠发言稿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4" s="2" t="str">
        <f>=HYPERLINK("http://img.alicdn.com/bao/uploaded/i1/O1CN01qSBRA01dZ5xKmsXp0_!!4611686018427387605-0-fleamarket.jpg_790x10000Q90.jpg_.webp", "img.alicdn.com/bao/uploaded/i1/O1CN01qSBRA01dZ5xKmsXp0_!!4611686018427387605-0-fleamarket.jpg_790x10000Q90.jpg_.webp")</f>
        <v>img.alicdn.com/bao/uploaded/i1/O1CN01qSBRA01dZ5xKmsXp0_!!4611686018427387605-0-fleamarket.jpg_790x10000Q90.jpg_.webp</v>
      </c>
      <c r="G104"/>
      <c r="H104" s="2" t="str">
        <f>=HYPERLINK("https://www.goofish.com/item?spm=a21ybx.personal.feeds.146.12e16ac2PYxLX9&amp;id=994107443561&amp;categoryId=50023914", "https://www.goofish.com/item?spm=a21ybx.personal.feeds.146.12e16ac2PYxLX9&amp;id=994107443561&amp;categoryId=50023914")</f>
        <v>https://www.goofish.com/item?spm=a21ybx.personal.feeds.146.12e16ac2PYxLX9&amp;id=994107443561&amp;categoryId=50023914</v>
      </c>
      <c r="I104"/>
      <c r="J104"/>
      <c r="K104"/>
      <c r="L104"/>
    </row>
    <row r="105" ht="25.5" customHeight="1">
      <c r="A105" t="inlineStr">
        <is>
          <t>高校教育教学成果奖项</t>
        </is>
      </c>
      <c r="B105">
        <v>167</v>
      </c>
      <c r="C105" t="inlineStr">
        <is>
          <t>宝子稍等片刻，资源正在路上</t>
        </is>
      </c>
      <c r="D105" t="inlineStr">
        <is>
          <t>是</t>
        </is>
      </c>
      <c r="E105" t="inlineStr">
        <is>
          <t>高校教育教学成果奖项改革教改课题申报书思政课程案例立项申请书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5" s="2" t="str">
        <f>=HYPERLINK("http://img.alicdn.com/bao/uploaded/i1/O1CN01f6arXb1dZ5wxmGhqe_!!4611686018427387605-0-fleamarket.jpg_790x10000Q90.jpg_.webp", "img.alicdn.com/bao/uploaded/i1/O1CN01f6arXb1dZ5wxmGhqe_!!4611686018427387605-0-fleamarket.jpg_790x10000Q90.jpg_.webp")</f>
        <v>img.alicdn.com/bao/uploaded/i1/O1CN01f6arXb1dZ5wxmGhqe_!!4611686018427387605-0-fleamarket.jpg_790x10000Q90.jpg_.webp</v>
      </c>
      <c r="G105"/>
      <c r="H105" s="2" t="str">
        <f>=HYPERLINK("https://www.goofish.com/item?spm=a21ybx.personal.feeds.426.12e16ac2PYxLX9&amp;id=989101033032&amp;categoryId=50023914", "https://www.goofish.com/item?spm=a21ybx.personal.feeds.426.12e16ac2PYxLX9&amp;id=989101033032&amp;categoryId=50023914")</f>
        <v>https://www.goofish.com/item?spm=a21ybx.personal.feeds.426.12e16ac2PYxLX9&amp;id=989101033032&amp;categoryId=50023914</v>
      </c>
      <c r="I105"/>
      <c r="J105"/>
      <c r="K105"/>
      <c r="L105"/>
    </row>
    <row r="106" ht="25.5" customHeight="1">
      <c r="A106" t="inlineStr">
        <is>
          <t>预防拒绝校园暴力欺凌</t>
        </is>
      </c>
      <c r="B106">
        <v>168</v>
      </c>
      <c r="C106" t="inlineStr">
        <is>
          <t>宝子稍等片刻，资源正在路上</t>
        </is>
      </c>
      <c r="D106" t="inlineStr">
        <is>
          <t>是</t>
        </is>
      </c>
      <c r="E106" t="inlineStr">
        <is>
          <t>预防拒绝校园暴力欺凌ppt模板课件成品中小学安全教育主题班会平
——★24小时自动秒发百度网盘 ★——
——★24小时自动秒发百度网盘 ★——
——★24小时自动秒发百度网盘 ★——
拒绝校园暴力PPT模板
成品PPT模板，每套模板均含文字内容
成品PPT，无需您修改，可上课直接使用!
含:什么是校园暴力，如何防范校园暴力等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6" s="2" t="str">
        <f>=HYPERLINK("http://img.alicdn.com/bao/uploaded/i4/O1CN01ytCfAV1dZ5wkvtnMF_!!4611686018427387605-0-fleamarket.jpg_790x10000Q90.jpg_.webp", "img.alicdn.com/bao/uploaded/i4/O1CN01ytCfAV1dZ5wkvtnMF_!!4611686018427387605-0-fleamarket.jpg_790x10000Q90.jpg_.webp")</f>
        <v>img.alicdn.com/bao/uploaded/i4/O1CN01ytCfAV1dZ5wkvtnMF_!!4611686018427387605-0-fleamarket.jpg_790x10000Q90.jpg_.webp</v>
      </c>
      <c r="G106"/>
      <c r="H106" s="2" t="str">
        <f>=HYPERLINK("https://www.goofish.com/item?spm=a21ybx.personal.feeds.501.12e16ac2PYxLX9&amp;id=985525496873&amp;categoryId=50023914", "https://www.goofish.com/item?spm=a21ybx.personal.feeds.501.12e16ac2PYxLX9&amp;id=985525496873&amp;categoryId=50023914")</f>
        <v>https://www.goofish.com/item?spm=a21ybx.personal.feeds.501.12e16ac2PYxLX9&amp;id=985525496873&amp;categoryId=50023914</v>
      </c>
      <c r="I106"/>
      <c r="J106"/>
      <c r="K106"/>
      <c r="L106"/>
    </row>
    <row r="107" ht="25.5" customHeight="1">
      <c r="A107" t="inlineStr">
        <is>
          <t>思维导图ppt模板可</t>
        </is>
      </c>
      <c r="B107">
        <v>169</v>
      </c>
      <c r="C107" t="inlineStr">
        <is>
          <t>宝子稍等片刻，资源正在路上</t>
        </is>
      </c>
      <c r="D107" t="inlineStr">
        <is>
          <t>是</t>
        </is>
      </c>
      <c r="E107" t="inlineStr">
        <is>
          <t>思维导图ppt模板可编辑word流程逻辑数据图表鱼骨树状逻辑时间轴
——★24小时自动秒发百度网盘 ★——
——★24小时自动秒发百度网盘 ★——
——★24小时自动秒发百度网盘 ★——
4000款思维导图模板 PPT+Word+Xmind 可编辑 源文件
结构图 流程图 气泡图 鱼骨图 逻辑图 组织图 时间轴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7" s="2" t="str">
        <f>=HYPERLINK("http://img.alicdn.com/bao/uploaded/i1/O1CN01aedjLd1dZ5xLsjsZx_!!4611686018427387605-0-fleamarket.jpg_790x10000Q90.jpg_.webp", "img.alicdn.com/bao/uploaded/i1/O1CN01aedjLd1dZ5xLsjsZx_!!4611686018427387605-0-fleamarket.jpg_790x10000Q90.jpg_.webp")</f>
        <v>img.alicdn.com/bao/uploaded/i1/O1CN01aedjLd1dZ5xLsjsZx_!!4611686018427387605-0-fleamarket.jpg_790x10000Q90.jpg_.webp</v>
      </c>
      <c r="G107"/>
      <c r="H107" s="2" t="str">
        <f>=HYPERLINK("https://www.goofish.com/item?spm=a21ybx.personal.feeds.127.12e16ac2PYxLX9&amp;id=994960374702&amp;categoryId=50023914", "https://www.goofish.com/item?spm=a21ybx.personal.feeds.127.12e16ac2PYxLX9&amp;id=994960374702&amp;categoryId=50023914")</f>
        <v>https://www.goofish.com/item?spm=a21ybx.personal.feeds.127.12e16ac2PYxLX9&amp;id=994960374702&amp;categoryId=50023914</v>
      </c>
      <c r="I107"/>
      <c r="J107"/>
      <c r="K107"/>
      <c r="L107"/>
    </row>
    <row r="108" ht="25.5" customHeight="1">
      <c r="A108" t="inlineStr">
        <is>
          <t>中国风典雅大气简约古</t>
        </is>
      </c>
      <c r="B108">
        <v>170</v>
      </c>
      <c r="C108" t="inlineStr">
        <is>
          <t>宝子稍等片刻，资源正在路上</t>
        </is>
      </c>
      <c r="D108" t="inlineStr">
        <is>
          <t>是</t>
        </is>
      </c>
      <c r="E108" t="inlineStr">
        <is>
          <t>中国风典雅大气简约古风国潮水墨教学教育说课件通用动态ppt模板
——★24小时自动秒发百度网盘 ★——
——★24小时自动秒发百度网盘 ★——
——★24小时自动秒发百度网盘 ★——
10款中国古风PPt
大小:798MB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8" s="2" t="str">
        <f>=HYPERLINK("http://img.alicdn.com/bao/uploaded/i3/O1CN01yCvXfY1dZ5wznTLhN_!!4611686018427387605-0-fleamarket.jpg_790x10000Q90.jpg_.webp", "img.alicdn.com/bao/uploaded/i3/O1CN01yCvXfY1dZ5wznTLhN_!!4611686018427387605-0-fleamarket.jpg_790x10000Q90.jpg_.webp")</f>
        <v>img.alicdn.com/bao/uploaded/i3/O1CN01yCvXfY1dZ5wznTLhN_!!4611686018427387605-0-fleamarket.jpg_790x10000Q90.jpg_.webp</v>
      </c>
      <c r="G108"/>
      <c r="H108" s="2" t="str">
        <f>=HYPERLINK("https://www.goofish.com/item?spm=a21ybx.personal.feeds.397.12e16ac2PYxLX9&amp;id=989991817946&amp;categoryId=50023914", "https://www.goofish.com/item?spm=a21ybx.personal.feeds.397.12e16ac2PYxLX9&amp;id=989991817946&amp;categoryId=50023914")</f>
        <v>https://www.goofish.com/item?spm=a21ybx.personal.feeds.397.12e16ac2PYxLX9&amp;id=989991817946&amp;categoryId=50023914</v>
      </c>
      <c r="I108"/>
      <c r="J108"/>
      <c r="K108"/>
      <c r="L108"/>
    </row>
    <row r="109" ht="25.5" customHeight="1">
      <c r="A109" t="inlineStr">
        <is>
          <t>草图大师模型SU园林</t>
        </is>
      </c>
      <c r="B109">
        <v>171</v>
      </c>
      <c r="C109" t="inlineStr">
        <is>
          <t>【超级会员V1】通过百度网盘分享的文件：草图大师园林景观…
链接:https://pan.baidu.com/s/1XRXq69z1u3DnWVee8LLrUA 
提取码:acx4
复制这段内容打开「百度网盘APP 即可获取」</t>
        </is>
      </c>
      <c r="D109" t="inlineStr">
        <is>
          <t>是</t>
        </is>
      </c>
      <c r="E109" t="inlineStr">
        <is>
          <t>草图大师模型SU园林景观植物花草树木灌木Sketchup凉亭2D组件单体
——★24小时自动秒发百度网盘 ★——
——★24小时自动秒发百度网盘 ★——
——★24小时自动秒发百度网盘 ★——
2025新款模型2D/3D植物/景观墙/喷泉/盆栽/石头/凉亭/灯具/人物等
SU园林 8000套 园林景观40大分类 草图景观单体模型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9" s="2" t="str">
        <f>=HYPERLINK("http://img.alicdn.com/bao/uploaded/i4/O1CN01Z3fGC41dZ5xKbLfqc_!!4611686018427387605-0-fleamarket.jpg_790x10000Q90.jpg_.webp", "img.alicdn.com/bao/uploaded/i4/O1CN01Z3fGC41dZ5xKbLfqc_!!4611686018427387605-0-fleamarket.jpg_790x10000Q90.jpg_.webp")</f>
        <v>img.alicdn.com/bao/uploaded/i4/O1CN01Z3fGC41dZ5xKbLfqc_!!4611686018427387605-0-fleamarket.jpg_790x10000Q90.jpg_.webp</v>
      </c>
      <c r="G109"/>
      <c r="H109" s="2" t="str">
        <f>=HYPERLINK("https://www.goofish.com/item?spm=a21ybx.personal.feeds.151.12e16ac2PYxLX9&amp;id=994379570043&amp;categoryId=50023914", "https://www.goofish.com/item?spm=a21ybx.personal.feeds.151.12e16ac2PYxLX9&amp;id=994379570043&amp;categoryId=50023914")</f>
        <v>https://www.goofish.com/item?spm=a21ybx.personal.feeds.151.12e16ac2PYxLX9&amp;id=994379570043&amp;categoryId=50023914</v>
      </c>
      <c r="I109"/>
      <c r="J109"/>
      <c r="K109"/>
      <c r="L109"/>
    </row>
    <row r="110" ht="25.5" customHeight="1">
      <c r="A110" t="inlineStr">
        <is>
          <t>中国民间神话故事pp</t>
        </is>
      </c>
      <c r="B110">
        <v>172</v>
      </c>
      <c r="C110" t="inlineStr">
        <is>
          <t>宝子稍等片刻，资源正在路上</t>
        </is>
      </c>
      <c r="D110" t="inlineStr">
        <is>
          <t>是</t>
        </is>
      </c>
      <c r="E110" t="inlineStr">
        <is>
          <t>中国民间神话故事ppt模板绘本古代神话传说女娲补天后羿课件演讲
——★24小时自动秒发百度网盘 ★——
——★24小时自动秒发百度网盘 ★——
——★24小时自动秒发百度网盘 ★——
神话故事/民间故事/演讲等
成品PPT模板，故事均含文字和插画
成品PPT，您可直接演讲使用!PPT文字可修改
我们家是高清版!电视/大屏幕/投影仪均可使用!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10" s="2" t="str">
        <f>=HYPERLINK("http://img.alicdn.com/bao/uploaded/i3/O1CN01umSjMF1dZ5wkMBkjT_!!4611686018427387605-0-fleamarket.jpg_790x10000Q90.jpg_.webp", "img.alicdn.com/bao/uploaded/i3/O1CN01umSjMF1dZ5wkMBkjT_!!4611686018427387605-0-fleamarket.jpg_790x10000Q90.jpg_.webp")</f>
        <v>img.alicdn.com/bao/uploaded/i3/O1CN01umSjMF1dZ5wkMBkjT_!!4611686018427387605-0-fleamarket.jpg_790x10000Q90.jpg_.webp</v>
      </c>
      <c r="G110"/>
      <c r="H110" s="2" t="str">
        <f>=HYPERLINK("https://www.goofish.com/item?spm=a21ybx.personal.feeds.503.12e16ac2PYxLX9&amp;id=985524880575&amp;categoryId=50023914", "https://www.goofish.com/item?spm=a21ybx.personal.feeds.503.12e16ac2PYxLX9&amp;id=985524880575&amp;categoryId=50023914")</f>
        <v>https://www.goofish.com/item?spm=a21ybx.personal.feeds.503.12e16ac2PYxLX9&amp;id=985524880575&amp;categoryId=50023914</v>
      </c>
      <c r="I110"/>
      <c r="J110"/>
      <c r="K110"/>
      <c r="L110"/>
    </row>
    <row r="111" ht="25.5" customHeight="1">
      <c r="A111" t="inlineStr">
        <is>
          <t>我爱你中国 红歌祖国</t>
        </is>
      </c>
      <c r="B111">
        <v>173</v>
      </c>
      <c r="C111" t="inlineStr">
        <is>
          <t>宝子稍等片刻，资源正在路上</t>
        </is>
      </c>
      <c r="D111" t="inlineStr">
        <is>
          <t>是</t>
        </is>
      </c>
      <c r="E111" t="inlineStr">
        <is>
          <t>我爱你中国 红歌祖国朗诵歌曲爱国庆伴奏演出led舞台背景视频素材
——★24小时自动秒发百度网盘 ★——
——★24小时自动秒发百度网盘 ★——
——★24小时自动秒发百度网盘 ★——
视频尺寸:1920X1080
时长有:3分钟 4分钟 5分钟等
原唱+伴奏+无声+歌词+MP3
有字幕+无字幕
这个视频品质非常高!现场大屏播放效果高清!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11" s="2" t="str">
        <f>=HYPERLINK("http://img.alicdn.com/bao/uploaded/i3/O1CN01tT1of61dZ5wkTpKIx_!!4611686018427387605-0-fleamarket.jpg_790x10000Q90.jpg_.webp", "img.alicdn.com/bao/uploaded/i3/O1CN01tT1of61dZ5wkTpKIx_!!4611686018427387605-0-fleamarket.jpg_790x10000Q90.jpg_.webp")</f>
        <v>img.alicdn.com/bao/uploaded/i3/O1CN01tT1of61dZ5wkTpKIx_!!4611686018427387605-0-fleamarket.jpg_790x10000Q90.jpg_.webp</v>
      </c>
      <c r="G111"/>
      <c r="H111" s="2" t="str">
        <f>=HYPERLINK("https://www.goofish.com/item?spm=a21ybx.personal.feeds.505.12e16ac2PYxLX9&amp;id=983568003573&amp;categoryId=50023914", "https://www.goofish.com/item?spm=a21ybx.personal.feeds.505.12e16ac2PYxLX9&amp;id=983568003573&amp;categoryId=50023914")</f>
        <v>https://www.goofish.com/item?spm=a21ybx.personal.feeds.505.12e16ac2PYxLX9&amp;id=983568003573&amp;categoryId=50023914</v>
      </c>
      <c r="I111"/>
      <c r="J111"/>
      <c r="K111"/>
      <c r="L111"/>
    </row>
    <row r="112" ht="25.5" customHeight="1">
      <c r="A112" t="inlineStr">
        <is>
          <t>2026马年红色简约</t>
        </is>
      </c>
      <c r="B112">
        <v>174</v>
      </c>
      <c r="C112" t="inlineStr">
        <is>
          <t>宝子稍等片刻，资源正在路上</t>
        </is>
      </c>
      <c r="D112" t="inlineStr">
        <is>
          <t>是</t>
        </is>
      </c>
      <c r="E112" t="inlineStr">
        <is>
          <t>2026马年红色简约商务高级感年终工作总结汇报暨新年计划ppt模板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12" s="2" t="str">
        <f>=HYPERLINK("http://img.alicdn.com/bao/uploaded/i1/O1CN01k8qEDF1dZ5wxw7oSG_!!4611686018427387605-0-fleamarket.jpg_790x10000Q90.jpg_.webp", "img.alicdn.com/bao/uploaded/i1/O1CN01k8qEDF1dZ5wxw7oSG_!!4611686018427387605-0-fleamarket.jpg_790x10000Q90.jpg_.webp")</f>
        <v>img.alicdn.com/bao/uploaded/i1/O1CN01k8qEDF1dZ5wxw7oSG_!!4611686018427387605-0-fleamarket.jpg_790x10000Q90.jpg_.webp</v>
      </c>
      <c r="G112"/>
      <c r="H112" s="2" t="str">
        <f>=HYPERLINK("https://www.goofish.com/item?spm=a21ybx.personal.feeds.416.12e16ac2PYxLX9&amp;id=989296193820&amp;categoryId=50023914", "https://www.goofish.com/item?spm=a21ybx.personal.feeds.416.12e16ac2PYxLX9&amp;id=989296193820&amp;categoryId=50023914")</f>
        <v>https://www.goofish.com/item?spm=a21ybx.personal.feeds.416.12e16ac2PYxLX9&amp;id=989296193820&amp;categoryId=50023914</v>
      </c>
      <c r="I112"/>
      <c r="J112"/>
      <c r="K112"/>
      <c r="L112"/>
    </row>
    <row r="113" ht="25.5" customHeight="1">
      <c r="A113" t="inlineStr">
        <is>
          <t>全国大学生职业生涯规</t>
        </is>
      </c>
      <c r="B113">
        <v>175</v>
      </c>
      <c r="C113" t="inlineStr">
        <is>
          <t>宝子稍等片刻，资源正在路上</t>
        </is>
      </c>
      <c r="D113" t="inlineStr">
        <is>
          <t>是</t>
        </is>
      </c>
      <c r="E113" t="inlineStr">
        <is>
          <t>全国大学生职业生涯规划大赛职规赛就业计划书高级感红色ppt模板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13" s="2" t="str">
        <f>=HYPERLINK("http://img.alicdn.com/bao/uploaded/i2/O1CN01eqinHG1dZ5xBHBCCj_!!4611686018427387605-0-fleamarket.jpg_790x10000Q90.jpg_.webp", "img.alicdn.com/bao/uploaded/i2/O1CN01eqinHG1dZ5xBHBCCj_!!4611686018427387605-0-fleamarket.jpg_790x10000Q90.jpg_.webp")</f>
        <v>img.alicdn.com/bao/uploaded/i2/O1CN01eqinHG1dZ5xBHBCCj_!!4611686018427387605-0-fleamarket.jpg_790x10000Q90.jpg_.webp</v>
      </c>
      <c r="G113"/>
      <c r="H113" s="2" t="str">
        <f>=HYPERLINK("https://www.goofish.com/item?spm=a21ybx.personal.feeds.302.12e16ac2PYxLX9&amp;id=992027734857&amp;categoryId=50023914", "https://www.goofish.com/item?spm=a21ybx.personal.feeds.302.12e16ac2PYxLX9&amp;id=992027734857&amp;categoryId=50023914")</f>
        <v>https://www.goofish.com/item?spm=a21ybx.personal.feeds.302.12e16ac2PYxLX9&amp;id=992027734857&amp;categoryId=50023914</v>
      </c>
      <c r="I113"/>
      <c r="J113"/>
      <c r="K113"/>
      <c r="L113"/>
    </row>
    <row r="114" ht="25.5" customHeight="1">
      <c r="A114" t="inlineStr">
        <is>
          <t>2025七上语文人教版全套资料473个文件</t>
        </is>
      </c>
      <c r="B114">
        <v>176</v>
      </c>
      <c r="C114" t="inlineStr">
        <is>
          <t>宝子稍等片刻，资源正在路上</t>
        </is>
      </c>
      <c r="D114" t="inlineStr">
        <is>
          <t>是</t>
        </is>
      </c>
      <c r="E114" t="inlineStr">
        <is>
          <t>✅ 包含473个文件，覆盖预习、复习、知识积累、考试冲刺全场景，助力孩子抢占学习先机✅ 涵盖必背内容、基础字词句、每课一练、早背晚默、重点归纳、单元检测、古诗文训练、名著专题等多类资料✅ 拍下百度网盘自动发货，标价即为卖价，无需等待，快速获取资料虚拟商品，拍下后无法退换，资料仅限学习使用。</t>
        </is>
      </c>
      <c r="F114" s="2" t="str">
        <f>=HYPERLINK("https://s.coze.cn/t/KV-hLagusOA/", "https://s.coze.cn/t/KV-hLagusOA/")</f>
        <v>https://s.coze.cn/t/KV-hLagusOA/</v>
      </c>
      <c r="G114"/>
      <c r="H114" s="2" t="str">
        <f>=HYPERLINK("https://www.goofish.com/item?spm=a21ybx.search.searchFeedList.5.1b377e61Ma7Ms3&amp;id=948726934630&amp;categoryId=202036301", "https://www.goofish.com/item?spm=a21ybx.search.searchFeedList.5.1b377e61Ma7Ms3&amp;id=948726934630&amp;categoryId=202036301")</f>
        <v>https://www.goofish.com/item?spm=a21ybx.search.searchFeedList.5.1b377e61Ma7Ms3&amp;id=948726934630&amp;categoryId=202036301</v>
      </c>
      <c r="I114"/>
      <c r="J114"/>
      <c r="K114"/>
      <c r="L114"/>
    </row>
    <row r="115" ht="25.5" customHeight="1">
      <c r="A115" t="inlineStr">
        <is>
          <t>新人教A版高中数学全套课件教案</t>
        </is>
      </c>
      <c r="B115">
        <v>177</v>
      </c>
      <c r="C115" t="inlineStr">
        <is>
          <t>宝子稍等片刻，资源正在路上</t>
        </is>
      </c>
      <c r="D115" t="inlineStr">
        <is>
          <t>是</t>
        </is>
      </c>
      <c r="E115" t="inlineStr">
        <is>
          <t>✅ 特聘100名一线特级教师整理编撰，包含必修一二三和选修一二三全套电子版资料，更懂课堂教学✅ 优质PPT课件、精品教案，紧跟教学前沿，符合新课改，教学设计规范标准，轻松应对备课与检查✅ 适用于老师备课、学生自学、家长辅导，满足多种学习教学场景✅ 百度网盘发货，支持在线播放，标价为整理辛苦费注意事项：电子资料非实物，一经售出不退不换。资料来源于网络公开渠道，仅供学习交流使用，不用于商业用途，如涉及侵权，请及时联系删除。</t>
        </is>
      </c>
      <c r="F115" s="2" t="str">
        <f>=HYPERLINK("https://s.coze.cn/t/Tpk-8uFD06I/", "https://s.coze.cn/t/Tpk-8uFD06I/")</f>
        <v>https://s.coze.cn/t/Tpk-8uFD06I/</v>
      </c>
      <c r="G115"/>
      <c r="H115" s="2" t="str">
        <f>=HYPERLINK("https://www.goofish.com/item?spm=a21ybx.search.searchFeedList.26.1b377e61Ma7Ms3&amp;id=977151259449&amp;categoryId=202036301", "https://www.goofish.com/item?spm=a21ybx.search.searchFeedList.26.1b377e61Ma7Ms3&amp;id=977151259449&amp;categoryId=202036301")</f>
        <v>https://www.goofish.com/item?spm=a21ybx.search.searchFeedList.26.1b377e61Ma7Ms3&amp;id=977151259449&amp;categoryId=202036301</v>
      </c>
      <c r="I115"/>
      <c r="J115"/>
      <c r="K115"/>
      <c r="L115"/>
    </row>
    <row r="116" ht="25.5" customHeight="1">
      <c r="A116" t="inlineStr">
        <is>
          <t>2025新中特PDF及课后答案复习资料</t>
        </is>
      </c>
      <c r="B116">
        <v>178</v>
      </c>
      <c r="C116" t="inlineStr">
        <is>
          <t>【超级会员V1】通过百度网盘分享的文件：1-新中特
链接:https://pan.baidu.com/s/1xkhBUWjWSmcgL7JfZkDL1w 
提取码:x8iz
复制这段内容打开「百度网盘APP 即可获取」</t>
        </is>
      </c>
      <c r="D116" t="inlineStr">
        <is>
          <t>是</t>
        </is>
      </c>
      <c r="E116" t="inlineStr">
        <is>
          <t>✅ 包含2024和2021新中特复习资料，涵盖知识点总结、题库答案、课后习题答案、考试重难点等，覆盖研究生政治考试复习需求✅ 一手资料，完整无广告，避免其他店铺二次加工的干扰✅ 适用于研究生、本科生、博士生及相关课程学习者，满足不同学习场景✅ 拍下秒发货，百度网盘和夸克网盘双渠道发送，7*24小时自动发送，无需等待虚拟商品，拍下后无法退换，资料仅限学习使用。</t>
        </is>
      </c>
      <c r="F116" s="2" t="str">
        <f>=HYPERLINK("https://s.coze.cn/t/N4Vwqra8orI/", "https://s.coze.cn/t/N4Vwqra8orI/")</f>
        <v>https://s.coze.cn/t/N4Vwqra8orI/</v>
      </c>
      <c r="G116"/>
      <c r="H116" s="2" t="str">
        <f>=HYPERLINK("https://www.goofish.com/item?spm=a21ybx.search.searchFeedList.10.1b377e61Ma7Ms3&amp;id=993356819001&amp;categoryId=202036301", "https://www.goofish.com/item?spm=a21ybx.search.searchFeedList.10.1b377e61Ma7Ms3&amp;id=993356819001&amp;categoryId=202036301")</f>
        <v>https://www.goofish.com/item?spm=a21ybx.search.searchFeedList.10.1b377e61Ma7Ms3&amp;id=993356819001&amp;categoryId=202036301</v>
      </c>
      <c r="I116"/>
      <c r="J116"/>
      <c r="K116"/>
      <c r="L116"/>
    </row>
    <row r="117" ht="25.5" customHeight="1">
      <c r="A117" t="inlineStr">
        <is>
          <t>2025版毛概期末题库，24h秒发</t>
        </is>
      </c>
      <c r="B117">
        <v>179</v>
      </c>
      <c r="C117" t="inlineStr">
        <is>
          <t>宝子稍等片刻，资源正在路上</t>
        </is>
      </c>
      <c r="D117" t="inlineStr">
        <is>
          <t>是</t>
        </is>
      </c>
      <c r="E117" t="inlineStr">
        <is>
          <t>✅ 大学老师提供的最新版毛概题库，包含八章全部内容，有选择题、大题、简答题，附带课后习题答案和复习笔记✅ 24小时自动发货，无需等待，助力期末高效复习虚拟商品，拍下后无法退换，资料仅限学习使用。</t>
        </is>
      </c>
      <c r="F117" s="2" t="str">
        <f>=HYPERLINK("https://s.coze.cn/t/u_Bp4BZlnl0/", "https://s.coze.cn/t/u_Bp4BZlnl0/")</f>
        <v>https://s.coze.cn/t/u_Bp4BZlnl0/</v>
      </c>
      <c r="G117"/>
      <c r="H117" s="2" t="str">
        <f>=HYPERLINK("https://www.goofish.com/item?spm=a21ybx.search.searchFeedList.29.1b377e61Ma7Ms3&amp;id=937046458029&amp;categoryId=202036301", "https://www.goofish.com/item?spm=a21ybx.search.searchFeedList.29.1b377e61Ma7Ms3&amp;id=937046458029&amp;categoryId=202036301")</f>
        <v>https://www.goofish.com/item?spm=a21ybx.search.searchFeedList.29.1b377e61Ma7Ms3&amp;id=937046458029&amp;categoryId=202036301</v>
      </c>
      <c r="I117"/>
      <c r="J117"/>
      <c r="K117"/>
      <c r="L117"/>
    </row>
    <row r="118" ht="25.5" customHeight="1">
      <c r="A118" t="inlineStr">
        <is>
          <t>25届国网财会类考试资料，含题库讲义</t>
        </is>
      </c>
      <c r="B118">
        <v>180</v>
      </c>
      <c r="C118" t="inlineStr">
        <is>
          <t>宝子稍等片刻，资源正在路上</t>
        </is>
      </c>
      <c r="D118" t="inlineStr">
        <is>
          <t>是</t>
        </is>
      </c>
      <c r="E118" t="inlineStr">
        <is>
          <t>✅ 涵盖财务管理、会计类等财会专业，刚更新25届题库、讲义和模拟卷，资料最新最全✅ 独家筛选分类多家机构核心资料，包含网课视频、讲义、题库、真题模拟题和笔记，节省复习时间✅ 25届大纲和解析版企业文化（附快速记忆方法），时政更新至25年1月，含押题题库和重点题库拍前必看：图里的资料都有，需要就拍。虚拟商品，拍下后无法退换，资料仅限学习使用。</t>
        </is>
      </c>
      <c r="F118" s="2" t="str">
        <f>=HYPERLINK("https://s.coze.cn/t/b9mOUjJKOtc/", "https://s.coze.cn/t/b9mOUjJKOtc/")</f>
        <v>https://s.coze.cn/t/b9mOUjJKOtc/</v>
      </c>
      <c r="G118"/>
      <c r="H118" s="2" t="str">
        <f>=HYPERLINK("https://www.goofish.com/item?spm=a21ybx.search.searchFeedList.5.1b377e61Ma7Ms3&amp;id=903850991084&amp;categoryId=202036301", "https://www.goofish.com/item?spm=a21ybx.search.searchFeedList.5.1b377e61Ma7Ms3&amp;id=903850991084&amp;categoryId=202036301")</f>
        <v>https://www.goofish.com/item?spm=a21ybx.search.searchFeedList.5.1b377e61Ma7Ms3&amp;id=903850991084&amp;categoryId=202036301</v>
      </c>
      <c r="I118"/>
      <c r="J118"/>
      <c r="K118"/>
      <c r="L118"/>
    </row>
    <row r="119" ht="25.5" customHeight="1">
      <c r="A119" t="inlineStr">
        <is>
          <t>自考15040新思想概论，资料超全</t>
        </is>
      </c>
      <c r="B119">
        <v>181</v>
      </c>
      <c r="C119" t="inlineStr">
        <is>
          <t>1.
【超级会员V2】通过百度网盘分享的文件：【15040】新…
链接:https://pan.baidu.com/s/1d-kMawzSuUpS9ovnn9r_dA 
提取码:174w
复制这段内容打开「百度网盘APP 即可获取」
2.
【超级会员V2】通过百度网盘分享的文件：15040（新版…
链接:https://pan.baidu.com/s/1YrUnpEXvFbJ-kGYb9ScH9Q 
提取码:uwx7
复制这段内容打开「百度网盘APP 即可获取」</t>
        </is>
      </c>
      <c r="D119" t="inlineStr">
        <is>
          <t>是</t>
        </is>
      </c>
      <c r="E119" t="inlineStr">
        <is>
          <t>✅ 包含2504精讲视频、2504串讲、最新历年真题、讲义、复习资料，全方位覆盖自考备考需求✅ 高清版资料，可网盘在线观看，格式排版清晰，支持直接打印✅ 拍下速发度盘，自动发本科目全部资料，还赠送复习资料✅ 电子版资料，一经售出不退不换，如有遗漏或链接失效可私信解决祝所有考生顺利通关，拿下本科证！</t>
        </is>
      </c>
      <c r="F119" s="2" t="str">
        <f>=HYPERLINK("https://s.coze.cn/t/z2jY7K8vacY/", "https://s.coze.cn/t/z2jY7K8vacY/")</f>
        <v>https://s.coze.cn/t/z2jY7K8vacY/</v>
      </c>
      <c r="G119"/>
      <c r="H119" s="2" t="str">
        <f>=HYPERLINK("https://www.goofish.com/item?spm=a21ybx.search.searchFeedList.28.1b377e61Ma7Ms3&amp;id=939071072800&amp;categoryId=202036301", "https://www.goofish.com/item?spm=a21ybx.search.searchFeedList.28.1b377e61Ma7Ms3&amp;id=939071072800&amp;categoryId=202036301")</f>
        <v>https://www.goofish.com/item?spm=a21ybx.search.searchFeedList.28.1b377e61Ma7Ms3&amp;id=939071072800&amp;categoryId=202036301</v>
      </c>
      <c r="I119"/>
      <c r="J119"/>
      <c r="K119"/>
      <c r="L119"/>
    </row>
    <row r="120" ht="25.5" customHeight="1">
      <c r="A120" t="inlineStr">
        <is>
          <t>25新版小学知识大盘点语数英三科</t>
        </is>
      </c>
      <c r="B120">
        <v>182</v>
      </c>
      <c r="C120" t="inlineStr">
        <is>
          <t>宝子稍等片刻，资源正在路上</t>
        </is>
      </c>
      <c r="D120" t="inlineStr">
        <is>
          <t>是</t>
        </is>
      </c>
      <c r="E120" t="inlineStr">
        <is>
          <t>✅ 小学1-6年级知识点全面盘点梳理，不分年级、版本，全国通用，适合预习、复习使用✅ 高清pdf扫描版本，可自行打印，扫码看视频讲解、听音频，2025最新版✅ 三科打包1元，语文含小学知识大盘点＋高频必刷题，数学含小学知识大盘点＋思维导图，英语含小学知识大盘点＋高频必刷题✅ 发百度网盘，链接永久有效，可随时查看转存下载免责申明:本店所有资料版权归原作者和出版社所有，标价仅为自己收集整理的辛苦费，不代表原实物价格。如有侵权，立删。</t>
        </is>
      </c>
      <c r="F120" s="2" t="str">
        <f>=HYPERLINK("https://s.coze.cn/t/1gYfsb-tiPA/", "https://s.coze.cn/t/1gYfsb-tiPA/")</f>
        <v>https://s.coze.cn/t/1gYfsb-tiPA/</v>
      </c>
      <c r="G120"/>
      <c r="H120" s="2" t="str">
        <f>=HYPERLINK("https://www.goofish.com/item?spm=a21ybx.search.searchFeedList.8.1b377e61Ma7Ms3&amp;id=946001438110&amp;categoryId=202036301", "https://www.goofish.com/item?spm=a21ybx.search.searchFeedList.8.1b377e61Ma7Ms3&amp;id=946001438110&amp;categoryId=202036301")</f>
        <v>https://www.goofish.com/item?spm=a21ybx.search.searchFeedList.8.1b377e61Ma7Ms3&amp;id=946001438110&amp;categoryId=202036301</v>
      </c>
      <c r="I120"/>
      <c r="J120"/>
      <c r="K120"/>
      <c r="L120"/>
    </row>
    <row r="121" ht="25.5" customHeight="1">
      <c r="A121" t="inlineStr">
        <is>
          <t>26初级护师历年真题，2010-2025年全含</t>
        </is>
      </c>
      <c r="B121">
        <v>183</v>
      </c>
      <c r="C121" t="inlineStr">
        <is>
          <t>【超级会员V1】通过百度网盘分享的文件：2026新初级护…
链接:https://pan.baidu.com/s/1HdM7kHpBkWy44tlXsTRxTg 
提取码:75gn
复制这段内容打开「百度网盘APP 即可获取」</t>
        </is>
      </c>
      <c r="D121" t="inlineStr">
        <is>
          <t>是</t>
        </is>
      </c>
      <c r="E121" t="inlineStr">
        <is>
          <t>✅ 包含2010-2025年初级护师真题及答案解析，2025年真题已更新，题目与答案分开，方便下载打印做题✅ 资料丰富，有彩色考点笔记、口诀速记、计算公式、模拟文档题，还赠送高频考题✅ 拍下秒发百度网盘，可下载可打印，助力26年初级护师备考整理不易，发出不退换，希望理解，记得给个好评。</t>
        </is>
      </c>
      <c r="F121" s="2" t="str">
        <f>=HYPERLINK("https://s.coze.cn/t/d_szbpW8vzg/", "https://s.coze.cn/t/d_szbpW8vzg/")</f>
        <v>https://s.coze.cn/t/d_szbpW8vzg/</v>
      </c>
      <c r="G121"/>
      <c r="H121" s="2" t="str">
        <f>=HYPERLINK("https://www.goofish.com/item?spm=a21ybx.search.searchFeedList.27.1b377e61Ma7Ms3&amp;id=857227411020&amp;categoryId=202036301", "https://www.goofish.com/item?spm=a21ybx.search.searchFeedList.27.1b377e61Ma7Ms3&amp;id=857227411020&amp;categoryId=202036301")</f>
        <v>https://www.goofish.com/item?spm=a21ybx.search.searchFeedList.27.1b377e61Ma7Ms3&amp;id=857227411020&amp;categoryId=202036301</v>
      </c>
      <c r="I121"/>
      <c r="J121"/>
      <c r="K121"/>
      <c r="L121"/>
    </row>
    <row r="122" ht="25.5" customHeight="1">
      <c r="A122" t="inlineStr">
        <is>
          <t>思想课期末冲刺包，大一到大三全覆盖</t>
        </is>
      </c>
      <c r="B122">
        <v>184</v>
      </c>
      <c r="C122" t="inlineStr">
        <is>
          <t>宝子稍等片刻，资源正在路上</t>
        </is>
      </c>
      <c r="D122" t="inlineStr">
        <is>
          <t>是</t>
        </is>
      </c>
      <c r="E122" t="inlineStr">
        <is>
          <t>✅ 2023版思想课重点笔记，期末重点一目了然，助力期末高效复习✅ 每个章节课后习题答案全收录，巩固知识点，查漏补缺✅ 题库及答案汇总、知识点总结+思维导图，让复习更有针对性✅ 适用于考研政治笔试、考研马理论复试、期末课后习题复习标价直接拍，虚拟商品，拍下后不退不换。</t>
        </is>
      </c>
      <c r="F122" s="2" t="str">
        <f>=HYPERLINK("https://s.coze.cn/t/7cpaTYE2BDU/", "https://s.coze.cn/t/7cpaTYE2BDU/")</f>
        <v>https://s.coze.cn/t/7cpaTYE2BDU/</v>
      </c>
      <c r="G122"/>
      <c r="H122" s="2" t="str">
        <f>=HYPERLINK("https://www.goofish.com/item?spm=a21ybx.search.searchFeedList.17.1b377e61Ma7Ms3&amp;id=975519024031&amp;categoryId=202036301", "https://www.goofish.com/item?spm=a21ybx.search.searchFeedList.17.1b377e61Ma7Ms3&amp;id=975519024031&amp;categoryId=202036301")</f>
        <v>https://www.goofish.com/item?spm=a21ybx.search.searchFeedList.17.1b377e61Ma7Ms3&amp;id=975519024031&amp;categoryId=202036301</v>
      </c>
      <c r="I122"/>
      <c r="J122"/>
      <c r="K122"/>
      <c r="L122"/>
    </row>
    <row r="123" ht="25.5" customHeight="1">
      <c r="A123" t="inlineStr">
        <is>
          <t>沪科版初中数学七到九年级讲义</t>
        </is>
      </c>
      <c r="B123">
        <v>185</v>
      </c>
      <c r="C123" t="inlineStr">
        <is>
          <t>【超级会员V1】通过百度网盘分享的文件：沪科版初中数学
链接:https://pan.baidu.com/s/1_jt_lRXlLOxK91pwHqz-RA 
提取码:661p
复制这段内容打开「百度网盘APP 即可获取」</t>
        </is>
      </c>
      <c r="D123" t="inlineStr">
        <is>
          <t>是</t>
        </is>
      </c>
      <c r="E123" t="inlineStr">
        <is>
          <t>✅ 讲义按课本章节整理，每章分基础版和提高版，均含知识点讲解与配套巩固练习✅ 适合在校老师课堂专题讲解、课外辅导一对一或班课直接使用✅ 一册1元，全套5元，送中考总复习，系统自动发货新教材新题，版权所有，有完整创作时间线，禁止翻卖，资料翻卖会追究。认准正版，根据新教材更新资料。</t>
        </is>
      </c>
      <c r="F123" s="2" t="str">
        <f>=HYPERLINK("https://s.coze.cn/t/UgEPzNN3fr8/", "https://s.coze.cn/t/UgEPzNN3fr8/")</f>
        <v>https://s.coze.cn/t/UgEPzNN3fr8/</v>
      </c>
      <c r="G123"/>
      <c r="H123" s="2" t="str">
        <f>=HYPERLINK("https://www.goofish.com/item?spm=a21ybx.search.searchFeedList.4.1b377e61Ma7Ms3&amp;id=807129218718&amp;categoryId=202036301", "https://www.goofish.com/item?spm=a21ybx.search.searchFeedList.4.1b377e61Ma7Ms3&amp;id=807129218718&amp;categoryId=202036301")</f>
        <v>https://www.goofish.com/item?spm=a21ybx.search.searchFeedList.4.1b377e61Ma7Ms3&amp;id=807129218718&amp;categoryId=202036301</v>
      </c>
      <c r="I123"/>
      <c r="J123"/>
      <c r="K123"/>
      <c r="L123"/>
    </row>
    <row r="124" ht="25.5" customHeight="1">
      <c r="A124" t="inlineStr">
        <is>
          <t>2023版马原PDF，本科考研政治必备</t>
        </is>
      </c>
      <c r="B124">
        <v>187</v>
      </c>
      <c r="C124" t="inlineStr">
        <is>
          <t>【超级会员V1】通过百度网盘分享的文件：23版马原电子版…
链接:https://pan.baidu.com/s/12ZxFIN1ah7_-jzviEeNSgg 
提取码:v23q
复制这段内容打开「百度网盘APP 即可获取</t>
        </is>
      </c>
      <c r="D124" t="inlineStr">
        <is>
          <t>是</t>
        </is>
      </c>
      <c r="E124" t="inlineStr">
        <is>
          <t>✅ 高等教育出版社正版教材PDF电子版，是本科学习与考研政治复习的必备资料✅ 拍下秒发百度网盘链接，获取速度超快，助力高效备考✅ 其他相关资料可随时咨询，全方位满足学习需求虚拟商品，拍下后不退不换，资料仅限学习使用。</t>
        </is>
      </c>
      <c r="F124" s="2" t="str">
        <f>=HYPERLINK("https://s.coze.cn/t/9zQ6oYAAubk/", "https://s.coze.cn/t/9zQ6oYAAubk/")</f>
        <v>https://s.coze.cn/t/9zQ6oYAAubk/</v>
      </c>
      <c r="G124"/>
      <c r="H124" s="2" t="str">
        <f>=HYPERLINK("https://www.goofish.com/item?spm=a21ybx.search.searchFeedList.7.1b377e61Ma7Ms3&amp;id=999178498819&amp;categoryId=201460510", "https://www.goofish.com/item?spm=a21ybx.search.searchFeedList.7.1b377e61Ma7Ms3&amp;id=999178498819&amp;categoryId=201460510")</f>
        <v>https://www.goofish.com/item?spm=a21ybx.search.searchFeedList.7.1b377e61Ma7Ms3&amp;id=999178498819&amp;categoryId=201460510</v>
      </c>
      <c r="I124"/>
      <c r="J124"/>
      <c r="K124"/>
      <c r="L124"/>
    </row>
    <row r="125" ht="25.5" customHeight="1">
      <c r="A125" t="inlineStr">
        <is>
          <t>2025高中名校试卷真题库，9科全含</t>
        </is>
      </c>
      <c r="B125">
        <v>189</v>
      </c>
      <c r="C125" t="inlineStr">
        <is>
          <t>宝子稍等片刻，资源正在路上</t>
        </is>
      </c>
      <c r="D125" t="inlineStr">
        <is>
          <t>是</t>
        </is>
      </c>
      <c r="E125" t="inlineStr">
        <is>
          <t>✅ 高一、高二资料覆盖2024.7-2025.7，已整理至25年5月，包更新至对应时间；高三资料覆盖2024.6-2025.6，已整理至25年5月，包更新至25年6月✅ 高考9科按月整理，收录各地区名校试卷，配详细答案解析，掌握最新考试动态✅ 标价为三个年级打包价，每个年级几千套试卷，适合教学工作者研究试题和学生刷题✅ 24小时自动发渡盘，电子资料永久保存，可自行打印，方便学习使用试卷海量，不排除个别无答案，介意勿拍。价格为资料整理费用，如有侵权，联系客服删除。</t>
        </is>
      </c>
      <c r="F125" s="2" t="str">
        <f>=HYPERLINK("https://s.coze.cn/t/Td95X_zW8QM/", "https://s.coze.cn/t/Td95X_zW8QM/")</f>
        <v>https://s.coze.cn/t/Td95X_zW8QM/</v>
      </c>
      <c r="G125"/>
      <c r="H125" s="2" t="str">
        <f>=HYPERLINK("https://www.goofish.com/item?spm=a21ybx.search.searchFeedList.14.1b377e61Ma7Ms3&amp;id=945296404459&amp;categoryId=202036301", "https://www.goofish.com/item?spm=a21ybx.search.searchFeedList.14.1b377e61Ma7Ms3&amp;id=945296404459&amp;categoryId=202036301")</f>
        <v>https://www.goofish.com/item?spm=a21ybx.search.searchFeedList.14.1b377e61Ma7Ms3&amp;id=945296404459&amp;categoryId=202036301</v>
      </c>
      <c r="I125"/>
      <c r="J125"/>
      <c r="K125"/>
      <c r="L125"/>
    </row>
    <row r="126" ht="25.5" customHeight="1">
      <c r="A126" t="inlineStr">
        <is>
          <t>小学英语语法练习题，58页电子版</t>
        </is>
      </c>
      <c r="B126">
        <v>190</v>
      </c>
      <c r="C126" t="inlineStr">
        <is>
          <t>宝子稍等片刻，资源正在路上</t>
        </is>
      </c>
      <c r="D126" t="inlineStr">
        <is>
          <t>是</t>
        </is>
      </c>
      <c r="E126" t="inlineStr">
        <is>
          <t>✅ 58页电子版练习资料，PDF可直接打印，含语法知识点和专项练习，讲解全面易懂，是巩固语法的优质选择✅ 全国教材通用，适配人教版、外研版、牛津版等多种教材✅ 拍下24小时自动发百度网盘链接，链接永不失效，可随时查看使用虚拟商品，因素材可复制性，一经发货概不退款，不接受退换。</t>
        </is>
      </c>
      <c r="F126" s="2" t="str">
        <f>=HYPERLINK("https://s.coze.cn/t/GyIU2gxyntY/", "https://s.coze.cn/t/GyIU2gxyntY/")</f>
        <v>https://s.coze.cn/t/GyIU2gxyntY/</v>
      </c>
      <c r="G126"/>
      <c r="H126" s="2" t="str">
        <f>=HYPERLINK("https://www.goofish.com/item?spm=a21ybx.search.searchFeedList.3.1b377e61Ma7Ms3&amp;id=941464310692&amp;categoryId=202036301", "https://www.goofish.com/item?spm=a21ybx.search.searchFeedList.3.1b377e61Ma7Ms3&amp;id=941464310692&amp;categoryId=202036301")</f>
        <v>https://www.goofish.com/item?spm=a21ybx.search.searchFeedList.3.1b377e61Ma7Ms3&amp;id=941464310692&amp;categoryId=202036301</v>
      </c>
      <c r="I126"/>
      <c r="J126"/>
      <c r="K126"/>
      <c r="L126"/>
    </row>
    <row r="127" ht="25.5" customHeight="1">
      <c r="A127" t="inlineStr">
        <is>
          <t>计算机408考研资料合集，持续更新</t>
        </is>
      </c>
      <c r="B127">
        <v>191</v>
      </c>
      <c r="C127" t="inlineStr">
        <is>
          <t>宝子稍等片刻，资源正在路上</t>
        </is>
      </c>
      <c r="D127" t="inlineStr">
        <is>
          <t>是</t>
        </is>
      </c>
      <c r="E127" t="inlineStr">
        <is>
          <t>✅ 包含408八套卷答案解析、26竟成模拟题及解析、26零壹模拟卷、灰灰考研八套26年模拟题等优质资料✅ 百度网盘发货，完整电子版资料按年份分类整理，方便查找使用✅ 拍下稍等即可获取链接，后续资料会持续更新，助力考研备考虚拟商品，拍下后不退不换，资料仅限学习使用。</t>
        </is>
      </c>
      <c r="F127" s="2" t="str">
        <f>=HYPERLINK("https://s.coze.cn/t/2F5GkX50lIY/", "https://s.coze.cn/t/2F5GkX50lIY/")</f>
        <v>https://s.coze.cn/t/2F5GkX50lIY/</v>
      </c>
      <c r="G127"/>
      <c r="H127" s="2" t="str">
        <f>=HYPERLINK("https://www.goofish.com/item?spm=a21ybx.search.searchFeedList.23.1b377e61Ma7Ms3&amp;id=991304162422&amp;categoryId=202036301", "https://www.goofish.com/item?spm=a21ybx.search.searchFeedList.23.1b377e61Ma7Ms3&amp;id=991304162422&amp;categoryId=202036301")</f>
        <v>https://www.goofish.com/item?spm=a21ybx.search.searchFeedList.23.1b377e61Ma7Ms3&amp;id=991304162422&amp;categoryId=202036301</v>
      </c>
      <c r="I127"/>
      <c r="J127"/>
      <c r="K127"/>
      <c r="L127"/>
    </row>
    <row r="128" ht="25.5" customHeight="1">
      <c r="A128" t="inlineStr">
        <is>
          <t>高中匠心地理课件全套，人教版</t>
        </is>
      </c>
      <c r="B128">
        <v>192</v>
      </c>
      <c r="C128" t="inlineStr">
        <is>
          <t>【超级会员V1】通过百度网盘分享的文件：Q118
链接:https://pan.baidu.com/s/1Vf3Xn_2VBvPjENiqD6DHwg 
提取码:47d4
复制这段内容打开「百度网盘APP 即可获取」</t>
        </is>
      </c>
      <c r="D128" t="inlineStr">
        <is>
          <t>是</t>
        </is>
      </c>
      <c r="E128" t="inlineStr">
        <is>
          <t>✅ 包含匠心必修一、二课件，选择性必修一、二、三课件，区域地理课件（中国和世界地理）以及高三复习课件一轮二轮✅ 赠送匠心微专题课件，标价即为打包价，一站式获取优质地理教学资料✅ 适用于高中地理教学备课，助力老师打造精彩课堂特殊商品，不退不换，感兴趣可直接下单。</t>
        </is>
      </c>
      <c r="F128" s="2" t="str">
        <f>=HYPERLINK("https://s.coze.cn/t/oZYPR3nF7kc/", "https://s.coze.cn/t/oZYPR3nF7kc/")</f>
        <v>https://s.coze.cn/t/oZYPR3nF7kc/</v>
      </c>
      <c r="G128"/>
      <c r="H128" s="2" t="str">
        <f>=HYPERLINK("https://www.goofish.com/item?spm=a21ybx.search.searchFeedList.14.1b377e61Ma7Ms3&amp;id=974278541118&amp;categoryId=202036301", "https://www.goofish.com/item?spm=a21ybx.search.searchFeedList.14.1b377e61Ma7Ms3&amp;id=974278541118&amp;categoryId=202036301")</f>
        <v>https://www.goofish.com/item?spm=a21ybx.search.searchFeedList.14.1b377e61Ma7Ms3&amp;id=974278541118&amp;categoryId=202036301</v>
      </c>
      <c r="I128"/>
      <c r="J128"/>
      <c r="K128"/>
      <c r="L128"/>
    </row>
    <row r="129" ht="25.5" customHeight="1">
      <c r="A129" t="inlineStr">
        <is>
          <t>曼昆宏观经济学第十十一版全套资料</t>
        </is>
      </c>
      <c r="B129">
        <v>193</v>
      </c>
      <c r="C129" t="inlineStr">
        <is>
          <t>宝子稍等片刻，资源正在路上</t>
        </is>
      </c>
      <c r="D129" t="inlineStr">
        <is>
          <t>是</t>
        </is>
      </c>
      <c r="E129" t="inlineStr">
        <is>
          <t>✅ 包含宏观经济学第十版、第十一版曼昆pdf笔记、教材、练习题以及课后习题答案，助力期末考试重点复习✅ 标价即拍价，价格市面最低，性价比超高虚拟商品，拍下后不退不换，资料仅限学习使用。</t>
        </is>
      </c>
      <c r="F129" s="2" t="str">
        <f>=HYPERLINK("https://s.coze.cn/t/zQESkpCL80o/", "https://s.coze.cn/t/zQESkpCL80o/")</f>
        <v>https://s.coze.cn/t/zQESkpCL80o/</v>
      </c>
      <c r="G129"/>
      <c r="H129" s="2" t="str">
        <f>=HYPERLINK("https://www.goofish.com/item?spm=a21ybx.search.searchFeedList.23.1b377e61Ma7Ms3&amp;id=953373572384&amp;categoryId=202036301", "https://www.goofish.com/item?spm=a21ybx.search.searchFeedList.23.1b377e61Ma7Ms3&amp;id=953373572384&amp;categoryId=202036301")</f>
        <v>https://www.goofish.com/item?spm=a21ybx.search.searchFeedList.23.1b377e61Ma7Ms3&amp;id=953373572384&amp;categoryId=202036301</v>
      </c>
      <c r="I129"/>
      <c r="J129"/>
      <c r="K129"/>
      <c r="L129"/>
    </row>
    <row r="130" ht="25.5" customHeight="1">
      <c r="A130" t="inlineStr">
        <is>
          <t>2026新高考数学题型全解Word版</t>
        </is>
      </c>
      <c r="B130">
        <v>194</v>
      </c>
      <c r="C130" t="inlineStr">
        <is>
          <t>宝子稍等片刻，资源正在路上</t>
        </is>
      </c>
      <c r="D130" t="inlineStr">
        <is>
          <t>是</t>
        </is>
      </c>
      <c r="E130" t="inlineStr">
        <is>
          <t>✅ 讲义覆盖高考所有题型，例题和练习题多选自历年新高考真题及各省市优质模拟题，助学生熟悉高考命题风格与难度，适应高考节奏✅ 对真题详细分类解析，梳理数学知识，帮助学生构建完整知识体系，明确复习方向✅ 提供学生版和教师版原版Word，可编辑可打印，适用于高考数学一轮复习高中数学必备资料，助力高考数学复习。</t>
        </is>
      </c>
      <c r="F130" s="2" t="str">
        <f>=HYPERLINK("https://s.coze.cn/t/QXDoL5W8zCw/", "https://s.coze.cn/t/QXDoL5W8zCw/")</f>
        <v>https://s.coze.cn/t/QXDoL5W8zCw/</v>
      </c>
      <c r="G130"/>
      <c r="H130" s="2" t="str">
        <f>=HYPERLINK("https://www.goofish.com/item?spm=a21ybx.search.searchFeedList.4.1b377e61Ma7Ms3&amp;id=947259655001&amp;categoryId=202036301", "https://www.goofish.com/item?spm=a21ybx.search.searchFeedList.4.1b377e61Ma7Ms3&amp;id=947259655001&amp;categoryId=202036301")</f>
        <v>https://www.goofish.com/item?spm=a21ybx.search.searchFeedList.4.1b377e61Ma7Ms3&amp;id=947259655001&amp;categoryId=202036301</v>
      </c>
      <c r="I130"/>
      <c r="J130"/>
      <c r="K130"/>
      <c r="L130"/>
    </row>
    <row r="131" ht="25.5" customHeight="1">
      <c r="A131" t="inlineStr">
        <is>
          <t>2025新人教版高中政治必背知识点7册</t>
        </is>
      </c>
      <c r="B131">
        <v>196</v>
      </c>
      <c r="C131" t="inlineStr">
        <is>
          <t>宝子稍等片刻，资源正在路上</t>
        </is>
      </c>
      <c r="D131" t="inlineStr">
        <is>
          <t>是</t>
        </is>
      </c>
      <c r="E131" t="inlineStr">
        <is>
          <t>✅ 高中全年级必修+选修7册知识点梳理，含填空版和背诵版，每单元两份Word文档（挖空版+答案版）✅ 专为新人教版设计，适配高考总复习一轮、二轮备考，快速记忆核心考点✅ 点击“直接刀成”5秒内发百度网盘，电子版资料即拍即得✅ 注意：仅限新人教版课本使用，其他版本勿拍，虚拟商品不退换</t>
        </is>
      </c>
      <c r="F131" s="2" t="str">
        <f>=HYPERLINK("https://s.coze.cn/t/uHV9WF_cGG4/", "https://s.coze.cn/t/uHV9WF_cGG4/")</f>
        <v>https://s.coze.cn/t/uHV9WF_cGG4/</v>
      </c>
      <c r="G131"/>
      <c r="H131" s="2" t="str">
        <f>=HYPERLINK("https://www.goofish.com/item?spm=a21ybx.search.searchFeedList.13.1b377e61Ma7Ms3&amp;id=953038530018&amp;categoryId=202036301", "https://www.goofish.com/item?spm=a21ybx.search.searchFeedList.13.1b377e61Ma7Ms3&amp;id=953038530018&amp;categoryId=202036301")</f>
        <v>https://www.goofish.com/item?spm=a21ybx.search.searchFeedList.13.1b377e61Ma7Ms3&amp;id=953038530018&amp;categoryId=202036301</v>
      </c>
      <c r="I131"/>
      <c r="J131"/>
      <c r="K131"/>
      <c r="L131"/>
    </row>
    <row r="132" ht="25.5" customHeight="1">
      <c r="A132" t="inlineStr">
        <is>
          <t>26+25武忠祥选填技巧课 高效提分</t>
        </is>
      </c>
      <c r="B132">
        <v>197</v>
      </c>
      <c r="C132" t="inlineStr">
        <is>
          <t>宝子稍等片刻，资源正在路上</t>
        </is>
      </c>
      <c r="D132" t="inlineStr">
        <is>
          <t>是</t>
        </is>
      </c>
      <c r="E132" t="inlineStr">
        <is>
          <t>✅ 涵盖26选填技巧课（实时更新）与25完整版选填技巧课，搭配视频板书，满足不同复习节奏需求✅ 包含25武忠祥《解题密码 选填题》练习题详解，攻克选填难题✅ 视频为mp4格式，无需额外播放器，百度网盘、夸克网盘自动发货，便捷获取✅ 武忠祥名师授课，课程质量高，助力考生提升选填答题能力注意：26课程更新较慢，复习进度快的同学可选择25版课程</t>
        </is>
      </c>
      <c r="F132" s="2" t="str">
        <f>=HYPERLINK("https://s.coze.cn/t/M0casKewyfQ/", "https://s.coze.cn/t/M0casKewyfQ/")</f>
        <v>https://s.coze.cn/t/M0casKewyfQ/</v>
      </c>
      <c r="G132"/>
      <c r="H132" s="2" t="str">
        <f>=HYPERLINK("https://www.goofish.com/item?spm=a21ybx.search.searchFeedList.20.1b377e61Ma7Ms3&amp;id=989632758919&amp;categoryId=202036301", "https://www.goofish.com/item?spm=a21ybx.search.searchFeedList.20.1b377e61Ma7Ms3&amp;id=989632758919&amp;categoryId=202036301")</f>
        <v>https://www.goofish.com/item?spm=a21ybx.search.searchFeedList.20.1b377e61Ma7Ms3&amp;id=989632758919&amp;categoryId=202036301</v>
      </c>
      <c r="I132"/>
      <c r="J132"/>
      <c r="K132"/>
      <c r="L132"/>
    </row>
    <row r="133" ht="25.5" customHeight="1">
      <c r="A133" t="inlineStr">
        <is>
          <t>小学英语语法知识点汇总 超全超实用</t>
        </is>
      </c>
      <c r="B133">
        <v>198</v>
      </c>
      <c r="C133" t="inlineStr">
        <is>
          <t>宝子稍等片刻，资源正在路上</t>
        </is>
      </c>
      <c r="D133" t="inlineStr">
        <is>
          <t>是</t>
        </is>
      </c>
      <c r="E133" t="inlineStr">
        <is>
          <t>✅ 4套小学语法知识点，覆盖方位介词、be动词等核心考点
✅ 超可爱画风贴合孩子审美，高清打印，实用学习资源
✅ 拍下自动网盘发货，助力孩子英语语法学习
✅ 本品为电子档，可打印，非纸质，特殊商品不退不换</t>
        </is>
      </c>
      <c r="F133" s="2" t="str">
        <f>=HYPERLINK("https://s.coze.cn/t/jLJfmo7oA8M/", "https://s.coze.cn/t/jLJfmo7oA8M/")</f>
        <v>https://s.coze.cn/t/jLJfmo7oA8M/</v>
      </c>
      <c r="G133"/>
      <c r="H133" s="2" t="str">
        <f>=HYPERLINK("https://www.goofish.com/item?spm=a21ybx.search.searchFeedList.28.8a9c7781EUE2gV&amp;id=840975571095&amp;categoryId=202036301", "https://www.goofish.com/item?spm=a21ybx.search.searchFeedList.28.8a9c7781EUE2gV&amp;id=840975571095&amp;categoryId=202036301")</f>
        <v>https://www.goofish.com/item?spm=a21ybx.search.searchFeedList.28.8a9c7781EUE2gV&amp;id=840975571095&amp;categoryId=202036301</v>
      </c>
      <c r="I133">
        <v>840975571095</v>
      </c>
      <c r="J133"/>
      <c r="K133"/>
      <c r="L133"/>
    </row>
    <row r="134" ht="25.5" customHeight="1">
      <c r="A134" t="inlineStr">
        <is>
          <t>初中数学核心知识点2 七-九年级</t>
        </is>
      </c>
      <c r="B134">
        <v>199</v>
      </c>
      <c r="C134" t="inlineStr">
        <is>
          <t>宝子稍等片刻，资源正在路上</t>
        </is>
      </c>
      <c r="D134" t="inlineStr">
        <is>
          <t>是</t>
        </is>
      </c>
      <c r="E134" t="inlineStr">
        <is>
          <t>✅ 7 - 9年级数学上下册完整知识点，助力全面复习
✅ 彩色高清手写字体，分单元呈现，清晰易读
✅ 知识点、复习要点详细，共七年级上36页、七年级下46页、八年级上41页、八年级下36页、九年级上43页、九年级下29页
✅ 拍下自动免拼秒发货，为电子版，需自行打印
✅ 特殊商品不退不换</t>
        </is>
      </c>
      <c r="F134" s="2" t="str">
        <f>=HYPERLINK("https://s.coze.cn/t/KkZaNBvc1Ls/", "https://s.coze.cn/t/KkZaNBvc1Ls/")</f>
        <v>https://s.coze.cn/t/KkZaNBvc1Ls/</v>
      </c>
      <c r="G134"/>
      <c r="H134" s="2" t="str">
        <f>=HYPERLINK("https://www.goofish.com/item?spm=a21ybx.search.searchFeedList.17.8a9c7781EUE2gV&amp;id=972355523680&amp;categoryId=202036301", "https://www.goofish.com/item?spm=a21ybx.search.searchFeedList.17.8a9c7781EUE2gV&amp;id=972355523680&amp;categoryId=202036301")</f>
        <v>https://www.goofish.com/item?spm=a21ybx.search.searchFeedList.17.8a9c7781EUE2gV&amp;id=972355523680&amp;categoryId=202036301</v>
      </c>
      <c r="I134">
        <v>972355523680</v>
      </c>
      <c r="J134"/>
      <c r="K134"/>
      <c r="L134"/>
    </row>
    <row r="135" ht="25.5" customHeight="1">
      <c r="A135" t="inlineStr">
        <is>
          <t>25新版初中历史知识点总结 人教版</t>
        </is>
      </c>
      <c r="B135">
        <v>200</v>
      </c>
      <c r="C135" t="inlineStr">
        <is>
          <t>宝子稍等片刻，资源正在路上</t>
        </is>
      </c>
      <c r="D135" t="inlineStr">
        <is>
          <t>是</t>
        </is>
      </c>
      <c r="E135" t="inlineStr">
        <is>
          <t>✅ 2025年春季新版初中历史7 - 9年级全册知识点，按单元整理，排版清晰
✅ 高清无水印，附带电子教材，与新版教材同步
✅ 帮助孩子建立完整知识体系，助力初中历史学习
✅ 拍下自动发出，为电子版，需自行打印
✅ 特殊商品不退不换</t>
        </is>
      </c>
      <c r="F135" s="2" t="str">
        <f>=HYPERLINK("https://s.coze.cn/t/0Pt4d8_1knY/", "https://s.coze.cn/t/0Pt4d8_1knY/")</f>
        <v>https://s.coze.cn/t/0Pt4d8_1knY/</v>
      </c>
      <c r="G135"/>
      <c r="H135" s="2" t="str">
        <f>=HYPERLINK("https://www.goofish.com/item?spm=a21ybx.search.searchFeedList.6.8a9c7781EUE2gV&amp;id=964547040083&amp;categoryId=202036301", "https://www.goofish.com/item?spm=a21ybx.search.searchFeedList.6.8a9c7781EUE2gV&amp;id=964547040083&amp;categoryId=202036301")</f>
        <v>https://www.goofish.com/item?spm=a21ybx.search.searchFeedList.6.8a9c7781EUE2gV&amp;id=964547040083&amp;categoryId=202036301</v>
      </c>
      <c r="I135">
        <v>964547040083</v>
      </c>
      <c r="J135"/>
      <c r="K135"/>
      <c r="L135"/>
    </row>
    <row r="136" ht="25.5" customHeight="1">
      <c r="A136" t="inlineStr">
        <is>
          <t>马工程管理学背诵笔记 考研通用</t>
        </is>
      </c>
      <c r="B136">
        <v>201</v>
      </c>
      <c r="C136" t="inlineStr">
        <is>
          <t>宝子稍等片刻，资源正在路上</t>
        </is>
      </c>
      <c r="D136" t="inlineStr">
        <is>
          <t>是</t>
        </is>
      </c>
      <c r="E136" t="inlineStr">
        <is>
          <t>✅ 涵盖知识点归纳、思维导图、名词解释等多维度内容，助力考研、期末考试、专升本
✅ 自动发货，下单秒发，无需等待
✅ 发货方式为百度网盘，获取便捷
✅ 特殊商品不退不换</t>
        </is>
      </c>
      <c r="F136" s="2" t="str">
        <f>=HYPERLINK("https://s.coze.cn/t/bi0MQejNwj8/", "https://s.coze.cn/t/bi0MQejNwj8/")</f>
        <v>https://s.coze.cn/t/bi0MQejNwj8/</v>
      </c>
      <c r="G136"/>
      <c r="H136" s="2" t="str">
        <f>=HYPERLINK("https://www.goofish.com/item?spm=a21ybx.search.searchFeedList.28.8a9c7781EUE2gV&amp;id=897597778346&amp;categoryId=202036301", "https://www.goofish.com/item?spm=a21ybx.search.searchFeedList.28.8a9c7781EUE2gV&amp;id=897597778346&amp;categoryId=202036301")</f>
        <v>https://www.goofish.com/item?spm=a21ybx.search.searchFeedList.28.8a9c7781EUE2gV&amp;id=897597778346&amp;categoryId=202036301</v>
      </c>
      <c r="I136">
        <v>897597778346</v>
      </c>
      <c r="J136"/>
      <c r="K136"/>
      <c r="L136"/>
    </row>
    <row r="137" ht="25.5" customHeight="1">
      <c r="A137" t="inlineStr">
        <is>
          <t>陈振明公共管理学 笔记题库1元</t>
        </is>
      </c>
      <c r="B137">
        <v>202</v>
      </c>
      <c r="C137" t="inlineStr">
        <is>
          <t>宝子稍等片刻，资源正在路上</t>
        </is>
      </c>
      <c r="D137" t="inlineStr">
        <is>
          <t>是</t>
        </is>
      </c>
      <c r="E137" t="inlineStr">
        <is>
          <t>✅ 包含陈振明公共管理学笔记、知识点总结及配套题库，助力学习
✅ 仅需1元，不满意随时退，物超所值
✅ 24小时自动发货，迅雷网盘电子版，无实物
✅ 店主不定时在线，直接下单即可</t>
        </is>
      </c>
      <c r="F137" s="2" t="str">
        <f>=HYPERLINK("https://s.coze.cn/t/ENZRs-E0opI/", "https://s.coze.cn/t/ENZRs-E0opI/")</f>
        <v>https://s.coze.cn/t/ENZRs-E0opI/</v>
      </c>
      <c r="G137"/>
      <c r="H137" s="2" t="str">
        <f>=HYPERLINK("https://www.goofish.com/item?spm=a21ybx.search.searchFeedList.6.8a9c7781EUE2gV&amp;id=803480465473&amp;categoryId=202036301", "https://www.goofish.com/item?spm=a21ybx.search.searchFeedList.6.8a9c7781EUE2gV&amp;id=803480465473&amp;categoryId=202036301")</f>
        <v>https://www.goofish.com/item?spm=a21ybx.search.searchFeedList.6.8a9c7781EUE2gV&amp;id=803480465473&amp;categoryId=202036301</v>
      </c>
      <c r="I137">
        <v>803480465473</v>
      </c>
      <c r="J137"/>
      <c r="K137"/>
      <c r="L137"/>
    </row>
    <row r="138" ht="25.5" customHeight="1">
      <c r="A138" t="inlineStr">
        <is>
          <t>思想课期末冲刺包 大一到大三全覆盖</t>
        </is>
      </c>
      <c r="B138">
        <v>203</v>
      </c>
      <c r="C138" t="inlineStr">
        <is>
          <t>宝子稍等片刻，资源正在路上</t>
        </is>
      </c>
      <c r="D138" t="inlineStr">
        <is>
          <t>是</t>
        </is>
      </c>
      <c r="E138" t="inlineStr">
        <is>
          <t>✅ 包含重点复习笔记、课后习题答案、题库及答案汇总、知识点总结和思维导图
✅ 适用于考研政治笔试、考研马理论复试、期末课后习题复习
✅ 标价直接拍，助力高效复习
✅ 特殊商品不退不换</t>
        </is>
      </c>
      <c r="F138" s="2" t="str">
        <f>=HYPERLINK("https://s.coze.cn/t/1gdNFvAMtZA/", "https://s.coze.cn/t/1gdNFvAMtZA/")</f>
        <v>https://s.coze.cn/t/1gdNFvAMtZA/</v>
      </c>
      <c r="G138"/>
      <c r="H138" s="2" t="str">
        <f>=HYPERLINK("https://www.goofish.com/item?spm=a21ybx.search.searchFeedList.15.8a9c7781EUE2gV&amp;id=975519024031&amp;categoryId=202036301", "https://www.goofish.com/item?spm=a21ybx.search.searchFeedList.15.8a9c7781EUE2gV&amp;id=975519024031&amp;categoryId=202036301")</f>
        <v>https://www.goofish.com/item?spm=a21ybx.search.searchFeedList.15.8a9c7781EUE2gV&amp;id=975519024031&amp;categoryId=202036301</v>
      </c>
      <c r="I138">
        <v>975519024031</v>
      </c>
      <c r="J138"/>
      <c r="K138"/>
      <c r="L138"/>
    </row>
    <row r="139" ht="25.5" customHeight="1">
      <c r="A139" t="inlineStr">
        <is>
          <t>Powerup启蒙英语知识清单 彩图电子档</t>
        </is>
      </c>
      <c r="B139">
        <v>204</v>
      </c>
      <c r="C139" t="inlineStr">
        <is>
          <t>宝子稍等片刻，资源正在路上</t>
        </is>
      </c>
      <c r="D139" t="inlineStr">
        <is>
          <t>是</t>
        </is>
      </c>
      <c r="E139" t="inlineStr">
        <is>
          <t>✅ 整合词汇、句型、知识点，听力阅读文本图文编排，美观实用
✅ 全册近百页，涵盖预备级0 - 9单元，适合入门小朋友
✅ 付款自动发货，百度网盘电子档
✅ 拍下发货后不退不换，本材料仅交流使用，如有侵权联系客服删除</t>
        </is>
      </c>
      <c r="F139" s="2" t="str">
        <f>=HYPERLINK("https://s.coze.cn/t/zwRS-KvfQUU/", "https://s.coze.cn/t/zwRS-KvfQUU/")</f>
        <v>https://s.coze.cn/t/zwRS-KvfQUU/</v>
      </c>
      <c r="G139"/>
      <c r="H139" s="2" t="str">
        <f>=HYPERLINK("https://www.goofish.com/item?spm=a21ybx.search.searchFeedList.17.8a9c7781EUE2gV&amp;id=913176572609&amp;categoryId=202036301", "https://www.goofish.com/item?spm=a21ybx.search.searchFeedList.17.8a9c7781EUE2gV&amp;id=913176572609&amp;categoryId=202036301")</f>
        <v>https://www.goofish.com/item?spm=a21ybx.search.searchFeedList.17.8a9c7781EUE2gV&amp;id=913176572609&amp;categoryId=202036301</v>
      </c>
      <c r="I139">
        <v>913176572609</v>
      </c>
      <c r="J139"/>
      <c r="K139"/>
      <c r="L139"/>
    </row>
    <row r="140" ht="25.5" customHeight="1">
      <c r="A140" t="inlineStr">
        <is>
          <t>二十届四中全会必刷100题 知识点电子版</t>
        </is>
      </c>
      <c r="B140">
        <v>205</v>
      </c>
      <c r="C140" t="inlineStr">
        <is>
          <t>宝子稍等片刻，资源正在路上</t>
        </is>
      </c>
      <c r="D140" t="inlineStr">
        <is>
          <t>是</t>
        </is>
      </c>
      <c r="E140" t="inlineStr">
        <is>
          <t>✅ 包含全会公报全文及重点标注、必刷100题题本、答案解析、必考知识点总结
✅ 内容全面系统，知识点梳理清晰，适合考研、公务员考试使用
✅ 拍下秒发百度网盘链接，0.1秒发货
✅ 虚拟资料，一经售出不退不换。文件来自公开网络资源，仅供学习交流，版权归原作者所有</t>
        </is>
      </c>
      <c r="F140" s="2" t="str">
        <f>=HYPERLINK("https://s.coze.cn/t/vscrO4cjvBE/", "https://s.coze.cn/t/vscrO4cjvBE/")</f>
        <v>https://s.coze.cn/t/vscrO4cjvBE/</v>
      </c>
      <c r="G140"/>
      <c r="H140" s="2" t="str">
        <f>=HYPERLINK("https://www.goofish.com/item?spm=a21ybx.search.searchFeedList.3.8a9c7781EUE2gV&amp;id=990063242795&amp;categoryId=202036301", "https://www.goofish.com/item?spm=a21ybx.search.searchFeedList.3.8a9c7781EUE2gV&amp;id=990063242795&amp;categoryId=202036301")</f>
        <v>https://www.goofish.com/item?spm=a21ybx.search.searchFeedList.3.8a9c7781EUE2gV&amp;id=990063242795&amp;categoryId=202036301</v>
      </c>
      <c r="I140">
        <v>990063242795</v>
      </c>
      <c r="J140"/>
      <c r="K140"/>
      <c r="L140"/>
    </row>
    <row r="141" ht="25.5" customHeight="1">
      <c r="A141" t="inlineStr">
        <is>
          <t>25新版初中生物知识点1 人教版</t>
        </is>
      </c>
      <c r="B141">
        <v>206</v>
      </c>
      <c r="C141" t="inlineStr">
        <is>
          <t>【超级会员V1】通过百度网盘分享的文件：【A75】【25…
链接:https://pan.baidu.com/s/1yvKdPRNtzXC0agcZQ-JImA 
提取码:2g39
复制这段内容打开「百度网盘APP 即可获取」</t>
        </is>
      </c>
      <c r="D141" t="inlineStr">
        <is>
          <t>是</t>
        </is>
      </c>
      <c r="E141" t="inlineStr">
        <is>
          <t>✅ 2025年春季新版初中生物人教版七、八年级上下册知识点，按单元整理，排版清晰
✅ 高清无水印，附带电子教材，与新版教材同步
✅ 帮助孩子建立完整知识体系，助力初中生物学习
✅ 拍下自动发出，为电子版，需自行打印
✅ 标价即售价，24小时自动发货，发网盘链接，发出后不退</t>
        </is>
      </c>
      <c r="F141" s="2" t="str">
        <f>=HYPERLINK("https://s.coze.cn/t/N08ETV1110Y/", "https://s.coze.cn/t/N08ETV1110Y/")</f>
        <v>https://s.coze.cn/t/N08ETV1110Y/</v>
      </c>
      <c r="G141"/>
      <c r="H141" s="2" t="str">
        <f>=HYPERLINK("https://www.goofish.com/item?spm=a21ybx.search.searchFeedList.11.8a9c7781EUE2gV&amp;id=958862186537&amp;categoryId=202036301", "https://www.goofish.com/item?spm=a21ybx.search.searchFeedList.11.8a9c7781EUE2gV&amp;id=958862186537&amp;categoryId=202036301")</f>
        <v>https://www.goofish.com/item?spm=a21ybx.search.searchFeedList.11.8a9c7781EUE2gV&amp;id=958862186537&amp;categoryId=202036301</v>
      </c>
      <c r="I141">
        <v>958862186537</v>
      </c>
      <c r="J141"/>
      <c r="K141"/>
      <c r="L141"/>
    </row>
    <row r="142" ht="25.5" customHeight="1">
      <c r="A142" t="inlineStr">
        <is>
          <t>医学基础知识笔记 事业单位E类知识点</t>
        </is>
      </c>
      <c r="B142">
        <v>207</v>
      </c>
      <c r="C142" t="inlineStr">
        <is>
          <t>宝子稍等片刻，资源正在路上</t>
        </is>
      </c>
      <c r="D142" t="inlineStr">
        <is>
          <t>是</t>
        </is>
      </c>
      <c r="E142" t="inlineStr">
        <is>
          <t>✅ 涵盖解剖学、生理学、病理学、药理学等知识，几百页重点文档，表格归纳，彩色标记重点
✅ 24年最新医学基础知识笔记，知识点和题穿插，适用于e类联考、医疗编等各种医疗招聘考试
✅ 百度夸克网盘秒发，电子版pdf版，拍下不退换
✅ 今日新加考前必备60页有水印，职测三测笔记</t>
        </is>
      </c>
      <c r="F142" s="2" t="str">
        <f>=HYPERLINK("https://s.coze.cn/t/XWfEokoINRQ/", "https://s.coze.cn/t/XWfEokoINRQ/")</f>
        <v>https://s.coze.cn/t/XWfEokoINRQ/</v>
      </c>
      <c r="G142"/>
      <c r="H142" s="2" t="str">
        <f>=HYPERLINK("https://www.goofish.com/item?spm=a21ybx.search.searchFeedList.29.8a9c7781EUE2gV&amp;id=900391285231&amp;categoryId=202036301", "https://www.goofish.com/item?spm=a21ybx.search.searchFeedList.29.8a9c7781EUE2gV&amp;id=900391285231&amp;categoryId=202036301")</f>
        <v>https://www.goofish.com/item?spm=a21ybx.search.searchFeedList.29.8a9c7781EUE2gV&amp;id=900391285231&amp;categoryId=202036301</v>
      </c>
      <c r="I142">
        <v>900391285231</v>
      </c>
      <c r="J142"/>
      <c r="K142"/>
      <c r="L142"/>
    </row>
    <row r="143" ht="25.5" customHeight="1">
      <c r="A143" t="inlineStr">
        <is>
          <t>河南专升本 邵玉普生理病理解剖学网课</t>
        </is>
      </c>
      <c r="B143">
        <v>208</v>
      </c>
      <c r="C143" t="inlineStr">
        <is>
          <t>宝子稍等片刻，资源正在路上</t>
        </is>
      </c>
      <c r="D143" t="inlineStr">
        <is>
          <t>是</t>
        </is>
      </c>
      <c r="E143" t="inlineStr">
        <is>
          <t>✅ 包含基础精讲151课时、强化课、题海站、考前冲刺，还有历年真题、各大平台试卷和知识点总结
✅ 内容全面有保障，适合26、27年备考河南专升本的小伙伴
✅ 拍下即可获取，早学早准备
✅ 有问题可联系客服，虚拟资料拍下不退换</t>
        </is>
      </c>
      <c r="F143" s="2" t="str">
        <f>=HYPERLINK("https://s.coze.cn/t/WDsvrYyttQk/", "https://s.coze.cn/t/WDsvrYyttQk/")</f>
        <v>https://s.coze.cn/t/WDsvrYyttQk/</v>
      </c>
      <c r="G143"/>
      <c r="H143" s="2" t="str">
        <f>=HYPERLINK("https://www.goofish.com/item?spm=a21ybx.search.searchFeedList.20.8a9c7781EUE2gV&amp;id=820629307824&amp;categoryId=202036301", "https://www.goofish.com/item?spm=a21ybx.search.searchFeedList.20.8a9c7781EUE2gV&amp;id=820629307824&amp;categoryId=202036301")</f>
        <v>https://www.goofish.com/item?spm=a21ybx.search.searchFeedList.20.8a9c7781EUE2gV&amp;id=820629307824&amp;categoryId=202036301</v>
      </c>
      <c r="I143">
        <v>820629307824</v>
      </c>
      <c r="J143"/>
      <c r="K143"/>
      <c r="L143"/>
    </row>
    <row r="144" ht="25.5" customHeight="1">
      <c r="A144" t="inlineStr">
        <is>
          <t>初中化学九年级知识点2 新人教版</t>
        </is>
      </c>
      <c r="B144">
        <v>209</v>
      </c>
      <c r="C144" t="inlineStr">
        <is>
          <t>宝子稍等片刻，资源正在路上</t>
        </is>
      </c>
      <c r="D144" t="inlineStr">
        <is>
          <t>是</t>
        </is>
      </c>
      <c r="E144" t="inlineStr">
        <is>
          <t>✅ 彩色标注要点汇总笔记，知识清晰直观，易于理解和记忆
✅ 包含学生版和教师版，全面覆盖上下册各单元知识清单
✅ 百度和夸克网盘24小时自动发货，格式为word(docx)和pdf
✅ 关注享粉丝价，不定时0元送资料，售后不退，素材收集于网络，仅供学习交流</t>
        </is>
      </c>
      <c r="F144" s="2" t="str">
        <f>=HYPERLINK("https://s.coze.cn/t/56VXQZzAIHE/", "https://s.coze.cn/t/56VXQZzAIHE/")</f>
        <v>https://s.coze.cn/t/56VXQZzAIHE/</v>
      </c>
      <c r="G144"/>
      <c r="H144" s="2" t="str">
        <f>=HYPERLINK("https://www.goofish.com/item?spm=a21ybx.search.searchFeedList.10.8a9c7781EUE2gV&amp;id=916675673685&amp;categoryId=202036301", "https://www.goofish.com/item?spm=a21ybx.search.searchFeedList.10.8a9c7781EUE2gV&amp;id=916675673685&amp;categoryId=202036301")</f>
        <v>https://www.goofish.com/item?spm=a21ybx.search.searchFeedList.10.8a9c7781EUE2gV&amp;id=916675673685&amp;categoryId=202036301</v>
      </c>
      <c r="I144">
        <v>916675673685</v>
      </c>
      <c r="J144"/>
      <c r="K144"/>
      <c r="L144"/>
    </row>
    <row r="145" ht="25.5" customHeight="1">
      <c r="A145" t="inlineStr">
        <is>
          <t>数据结构复习资料 重点笔记+试题卷</t>
        </is>
      </c>
      <c r="B145">
        <v>210</v>
      </c>
      <c r="C145" t="inlineStr">
        <is>
          <t>宝子稍等片刻，资源正在路上</t>
        </is>
      </c>
      <c r="D145" t="inlineStr">
        <is>
          <t>是</t>
        </is>
      </c>
      <c r="E145" t="inlineStr">
        <is>
          <t>✅ 包含重点笔记、知识点总结、名词解释、试题卷，内容全面，别人家没有我家全
✅ 适用于考研、专升本、期末考试，助力高效复习
✅ 标价就是实价，直接拍，马上涨价，想要赶紧
✅ 虚拟资料，拍下不退换，素材收集于网络，仅供学习交流</t>
        </is>
      </c>
      <c r="F145" s="2" t="str">
        <f>=HYPERLINK("https://s.coze.cn/t/ie37Abf_fmU/", "https://s.coze.cn/t/ie37Abf_fmU/")</f>
        <v>https://s.coze.cn/t/ie37Abf_fmU/</v>
      </c>
      <c r="G145"/>
      <c r="H145" s="2" t="str">
        <f>=HYPERLINK("https://www.goofish.com/item?spm=a21ybx.search.searchFeedList.25.8a9c7781EUE2gV&amp;id=790712824124&amp;categoryId=202036301", "https://www.goofish.com/item?spm=a21ybx.search.searchFeedList.25.8a9c7781EUE2gV&amp;id=790712824124&amp;categoryId=202036301")</f>
        <v>https://www.goofish.com/item?spm=a21ybx.search.searchFeedList.25.8a9c7781EUE2gV&amp;id=790712824124&amp;categoryId=202036301</v>
      </c>
      <c r="I145">
        <v>790712824124</v>
      </c>
      <c r="J145"/>
      <c r="K145"/>
      <c r="L145"/>
    </row>
    <row r="146" ht="25.5" customHeight="1">
      <c r="A146" t="inlineStr">
        <is>
          <t>中考复习资料 初中全科知识点汇总</t>
        </is>
      </c>
      <c r="B146">
        <v>211</v>
      </c>
      <c r="C146" t="inlineStr">
        <is>
          <t>宝子稍等片刻，资源正在路上</t>
        </is>
      </c>
      <c r="D146" t="inlineStr">
        <is>
          <t>是</t>
        </is>
      </c>
      <c r="E146" t="inlineStr">
        <is>
          <t>✅ 涵盖语文、数学、英语、物理、化学、生物、政治、历史、地理九科知识点及考点归纳
✅ 高清可打印可修改，全国通用版，助力快速掌握考点
✅ 标价即售价，24小时自动发货，发百度网盘链接，发出后不退
✅ 拍“2人小刀”可自动拼单成功，电脑自动发货</t>
        </is>
      </c>
      <c r="F146" s="2" t="str">
        <f>=HYPERLINK("https://s.coze.cn/t/PZngmo59Jh4/", "https://s.coze.cn/t/PZngmo59Jh4/")</f>
        <v>https://s.coze.cn/t/PZngmo59Jh4/</v>
      </c>
      <c r="G146"/>
      <c r="H146" s="2" t="str">
        <f>=HYPERLINK("https://www.goofish.com/item?spm=a21ybx.search.searchFeedList.21.8a9c7781EUE2gV&amp;id=885646937927&amp;categoryId=202036301", "https://www.goofish.com/item?spm=a21ybx.search.searchFeedList.21.8a9c7781EUE2gV&amp;id=885646937927&amp;categoryId=202036301")</f>
        <v>https://www.goofish.com/item?spm=a21ybx.search.searchFeedList.21.8a9c7781EUE2gV&amp;id=885646937927&amp;categoryId=202036301</v>
      </c>
      <c r="I146">
        <v>885646937927</v>
      </c>
      <c r="J146"/>
      <c r="K146"/>
      <c r="L146"/>
    </row>
    <row r="147" ht="25.5" customHeight="1">
      <c r="A147" t="inlineStr">
        <is>
          <t>初中物理知识点大全 中考复习资料</t>
        </is>
      </c>
      <c r="B147">
        <v>212</v>
      </c>
      <c r="C147" t="inlineStr">
        <is>
          <t>宝子稍等片刻，资源正在路上</t>
        </is>
      </c>
      <c r="D147" t="inlineStr">
        <is>
          <t>是</t>
        </is>
      </c>
      <c r="E147" t="inlineStr">
        <is>
          <t>✅ 包含初中物理名师手写笔记，78页26个模板，彩色版重难点突出
✅ 60个题型精炼难点解析（Word版可编辑），攻克压强、浮力、电学等难点
✅ 初中物理公式汇总和知识点梳理，助力中考复习
✅ 百度和夸克双盘齐发，可直接点“2人小刀”自动免拼秒发货，售出不退不换</t>
        </is>
      </c>
      <c r="F147" s="2" t="str">
        <f>=HYPERLINK("https://s.coze.cn/t/nmaLII4hQGw/", "https://s.coze.cn/t/nmaLII4hQGw/")</f>
        <v>https://s.coze.cn/t/nmaLII4hQGw/</v>
      </c>
      <c r="G147"/>
      <c r="H147" s="2" t="str">
        <f>=HYPERLINK("https://www.goofish.com/item?spm=a21ybx.search.searchFeedList.5.8a9c7781EUE2gV&amp;id=959087637204&amp;categoryId=202036301", "https://www.goofish.com/item?spm=a21ybx.search.searchFeedList.5.8a9c7781EUE2gV&amp;id=959087637204&amp;categoryId=202036301")</f>
        <v>https://www.goofish.com/item?spm=a21ybx.search.searchFeedList.5.8a9c7781EUE2gV&amp;id=959087637204&amp;categoryId=202036301</v>
      </c>
      <c r="I147">
        <v>959087637204</v>
      </c>
      <c r="J147"/>
      <c r="K147"/>
      <c r="L147"/>
    </row>
    <row r="148" ht="25.5" customHeight="1">
      <c r="A148" t="inlineStr">
        <is>
          <t>七年级上册小四门知识点总结 2025新版</t>
        </is>
      </c>
      <c r="B148">
        <v>213</v>
      </c>
      <c r="C148" t="inlineStr">
        <is>
          <t>宝子稍等片刻，资源正在路上</t>
        </is>
      </c>
      <c r="D148" t="inlineStr">
        <is>
          <t>是</t>
        </is>
      </c>
      <c r="E148" t="inlineStr">
        <is>
          <t>✅ 包含地理19页、历史26页、生物34页、道法19页，PDF格式电子资料
✅ 最新人教版知识要点和梳理，助力七年级上册小四门学习
✅ 百度和夸克网盘双发，拍下自动秒发，24小时自动发货
✅ 标价即售价，电子资料拍下不退不换，介意勿拍</t>
        </is>
      </c>
      <c r="F148" s="2" t="str">
        <f>=HYPERLINK("https://s.coze.cn/t/A34mDauo8Jk/", "https://s.coze.cn/t/A34mDauo8Jk/")</f>
        <v>https://s.coze.cn/t/A34mDauo8Jk/</v>
      </c>
      <c r="G148"/>
      <c r="H148" s="2" t="str">
        <f>=HYPERLINK("https://www.goofish.com/item?spm=a21ybx.search.searchFeedList.16.8a9c7781EUE2gV&amp;id=982867610076&amp;categoryId=202036301", "https://www.goofish.com/item?spm=a21ybx.search.searchFeedList.16.8a9c7781EUE2gV&amp;id=982867610076&amp;categoryId=202036301")</f>
        <v>https://www.goofish.com/item?spm=a21ybx.search.searchFeedList.16.8a9c7781EUE2gV&amp;id=982867610076&amp;categoryId=202036301</v>
      </c>
      <c r="I148">
        <v>982867610076</v>
      </c>
      <c r="J148"/>
      <c r="K148"/>
      <c r="L148"/>
    </row>
    <row r="149" ht="25.5" customHeight="1">
      <c r="A149" t="inlineStr">
        <is>
          <t>Power Up 1级知识清单 彩色图文</t>
        </is>
      </c>
      <c r="B149">
        <v>215</v>
      </c>
      <c r="C149" t="inlineStr">
        <is>
          <t>宝子稍等片刻，资源正在路上</t>
        </is>
      </c>
      <c r="D149" t="inlineStr">
        <is>
          <t>是</t>
        </is>
      </c>
      <c r="E149" t="inlineStr">
        <is>
          <t>✅ 1 - 9单元全册彩色图文，整合词汇、句型、知识点
✅ 听力阅读文本图文编排，美观实用，助力启蒙英语学习
✅ 电子版，网盘秒发
✅ 虚拟资料，拍下不退不换，素材收集于网络，仅供学习交流</t>
        </is>
      </c>
      <c r="F149" s="2" t="str">
        <f>=HYPERLINK("https://s.coze.cn/t/dg2uIcxbqgM/", "https://s.coze.cn/t/dg2uIcxbqgM/")</f>
        <v>https://s.coze.cn/t/dg2uIcxbqgM/</v>
      </c>
      <c r="G149"/>
      <c r="H149" s="2" t="str">
        <f>=HYPERLINK("https://www.goofish.com/item?spm=a21ybx.search.searchFeedList.29.8a9c7781EUE2gV&amp;id=965534018503&amp;categoryId=202036301", "https://www.goofish.com/item?spm=a21ybx.search.searchFeedList.29.8a9c7781EUE2gV&amp;id=965534018503&amp;categoryId=202036301")</f>
        <v>https://www.goofish.com/item?spm=a21ybx.search.searchFeedList.29.8a9c7781EUE2gV&amp;id=965534018503&amp;categoryId=202036301</v>
      </c>
      <c r="I149">
        <v>965534018503</v>
      </c>
      <c r="J149"/>
      <c r="K149"/>
      <c r="L149"/>
    </row>
    <row r="150" ht="25.5" customHeight="1">
      <c r="A150" t="inlineStr">
        <is>
          <t>陈孝彬教育管理学 笔记题库1元</t>
        </is>
      </c>
      <c r="B150">
        <v>216</v>
      </c>
      <c r="C150" t="inlineStr">
        <is>
          <t>宝子稍等片刻，资源正在路上</t>
        </is>
      </c>
      <c r="D150" t="inlineStr">
        <is>
          <t>是</t>
        </is>
      </c>
      <c r="E150" t="inlineStr">
        <is>
          <t>✅ 包含陈孝彬教育管理学笔记、知识点总结及配套题库，助力学习
✅ 仅需1元，不满意随时退，物超所值
✅ 24小时自动发货，迅雷网盘电子版，无实物
✅ 店主不定时在线，直接拍，拍完不满意直接退，自动退款</t>
        </is>
      </c>
      <c r="F150" s="2" t="str">
        <f>=HYPERLINK("https://s.coze.cn/t/Y9NA3muQ8CY/", "https://s.coze.cn/t/Y9NA3muQ8CY/")</f>
        <v>https://s.coze.cn/t/Y9NA3muQ8CY/</v>
      </c>
      <c r="G150"/>
      <c r="H150" s="2" t="str">
        <f>=HYPERLINK("https://www.goofish.com/item?spm=a21ybx.search.searchFeedList.19.8a9c7781EUE2gV&amp;id=803344754555&amp;categoryId=202036301", "https://www.goofish.com/item?spm=a21ybx.search.searchFeedList.19.8a9c7781EUE2gV&amp;id=803344754555&amp;categoryId=202036301")</f>
        <v>https://www.goofish.com/item?spm=a21ybx.search.searchFeedList.19.8a9c7781EUE2gV&amp;id=803344754555&amp;categoryId=202036301</v>
      </c>
      <c r="I150">
        <v>803344754555</v>
      </c>
      <c r="J150"/>
      <c r="K150"/>
      <c r="L150"/>
    </row>
    <row r="151" ht="25.5" customHeight="1">
      <c r="A151" t="inlineStr">
        <is>
          <t>马克思主义基本原理 2笔记题库</t>
        </is>
      </c>
      <c r="B151">
        <v>217</v>
      </c>
      <c r="C151" t="inlineStr">
        <is>
          <t>宝子稍等片刻，资源正在路上</t>
        </is>
      </c>
      <c r="D151" t="inlineStr">
        <is>
          <t>是</t>
        </is>
      </c>
      <c r="E151" t="inlineStr">
        <is>
          <t>✅ 包含23版马克思主义基本原理笔记、知识点总结及配套题库，助力学习
✅ 仅需1元，不满意随时退，物超所值
✅ 24小时自动发货，迅雷网盘电子版，无实物
✅ 内容不满意直接退款，有帮助可帮忙好评</t>
        </is>
      </c>
      <c r="F151" s="2" t="str">
        <f>=HYPERLINK("https://s.coze.cn/t/u7r3aMG4_I8/", "https://s.coze.cn/t/u7r3aMG4_I8/")</f>
        <v>https://s.coze.cn/t/u7r3aMG4_I8/</v>
      </c>
      <c r="G151"/>
      <c r="H151" s="2" t="str">
        <f>=HYPERLINK("https://www.goofish.com/item?spm=a21ybx.search.searchFeedList.18.8a9c7781EUE2gV&amp;id=800793702147&amp;categoryId=202036301", "https://www.goofish.com/item?spm=a21ybx.search.searchFeedList.18.8a9c7781EUE2gV&amp;id=800793702147&amp;categoryId=202036301")</f>
        <v>https://www.goofish.com/item?spm=a21ybx.search.searchFeedList.18.8a9c7781EUE2gV&amp;id=800793702147&amp;categoryId=202036301</v>
      </c>
      <c r="I151">
        <v>800793702147</v>
      </c>
      <c r="J151"/>
      <c r="K151"/>
      <c r="L151"/>
    </row>
    <row r="152" ht="25.5" customHeight="1">
      <c r="A152" t="inlineStr">
        <is>
          <t>初中全科知识点总结 各版本</t>
        </is>
      </c>
      <c r="B152">
        <v>218</v>
      </c>
      <c r="C152" t="inlineStr">
        <is>
          <t>宝子稍等片刻，资源正在路上</t>
        </is>
      </c>
      <c r="D152" t="inlineStr">
        <is>
          <t>是</t>
        </is>
      </c>
      <c r="E152" t="inlineStr">
        <is>
          <t>✅ 涵盖7 - 9年级上下册9科知识点，人教、北师大等多版本可选
✅ 高清彩色无水印版，可直接打印，助力期末复习
✅ 百度网盘自动发货，可直接点“2人小刀”自动免拼秒发货
✅ 资料可复制，一经售出不退不换，敬请理解</t>
        </is>
      </c>
      <c r="F152" s="2" t="str">
        <f>=HYPERLINK("https://s.coze.cn/t/XUaDiu5TXOM/", "https://s.coze.cn/t/XUaDiu5TXOM/")</f>
        <v>https://s.coze.cn/t/XUaDiu5TXOM/</v>
      </c>
      <c r="G152"/>
      <c r="H152" s="2" t="str">
        <f>=HYPERLINK("https://www.goofish.com/item?spm=a21ybx.search.searchFeedList.5.8a9c7781EUE2gV&amp;id=970589307931&amp;categoryId=202036301", "https://www.goofish.com/item?spm=a21ybx.search.searchFeedList.5.8a9c7781EUE2gV&amp;id=970589307931&amp;categoryId=202036301")</f>
        <v>https://www.goofish.com/item?spm=a21ybx.search.searchFeedList.5.8a9c7781EUE2gV&amp;id=970589307931&amp;categoryId=202036301</v>
      </c>
      <c r="I152">
        <v>970589307931</v>
      </c>
      <c r="J152"/>
      <c r="K152"/>
      <c r="L152"/>
    </row>
    <row r="153" ht="25.5" customHeight="1">
      <c r="A153" t="inlineStr">
        <is>
          <t>四年级数学上知识点总结 人教版</t>
        </is>
      </c>
      <c r="B153">
        <v>219</v>
      </c>
      <c r="C153" t="inlineStr">
        <is>
          <t>【超级会员V1】通过百度网盘分享的文件：4.四年级数学上…
链接:https://pan.baidu.com/s/1Gq8CKw6rtI_syjdZ52TtCw 
提取码:2s47
复制这段内容打开「百度网盘APP 即可获取」</t>
        </is>
      </c>
      <c r="D153" t="inlineStr">
        <is>
          <t>是</t>
        </is>
      </c>
      <c r="E153" t="inlineStr">
        <is>
          <t>✅ 包含14页知识点总结整理和10页四上数学必背公式练习与答案
✅ 老师整理，帮助学生整合知识，形成完整框架，提高学习效率
✅ 拍下自动网盘发货，可打印电子档，非纸质，特殊商品不退不换
✅ 给孩子打印出来读读背背，吃透知识点，轻松学好数学</t>
        </is>
      </c>
      <c r="F153" s="2" t="str">
        <f>=HYPERLINK("https://s.coze.cn/t/e0aWKErQ_0s/", "https://s.coze.cn/t/e0aWKErQ_0s/")</f>
        <v>https://s.coze.cn/t/e0aWKErQ_0s/</v>
      </c>
      <c r="G153"/>
      <c r="H153" s="2" t="str">
        <f>=HYPERLINK("https://www.goofish.com/item?spm=a21ybx.search.searchFeedList.4.8a9c7781EUE2gV&amp;id=844392317181&amp;categoryId=202036301", "https://www.goofish.com/item?spm=a21ybx.search.searchFeedList.4.8a9c7781EUE2gV&amp;id=844392317181&amp;categoryId=202036301")</f>
        <v>https://www.goofish.com/item?spm=a21ybx.search.searchFeedList.4.8a9c7781EUE2gV&amp;id=844392317181&amp;categoryId=202036301</v>
      </c>
      <c r="I153">
        <v>844392317181</v>
      </c>
      <c r="J153"/>
      <c r="K153"/>
      <c r="L153"/>
    </row>
    <row r="154" ht="25.5" customHeight="1">
      <c r="A154" t="inlineStr">
        <is>
          <t>2025年CSP-J初赛知识点训练 配解析</t>
        </is>
      </c>
      <c r="B154">
        <v>220</v>
      </c>
      <c r="C154" t="inlineStr">
        <is>
          <t>宝子稍等片刻，资源正在路上</t>
        </is>
      </c>
      <c r="D154" t="inlineStr">
        <is>
          <t>是</t>
        </is>
      </c>
      <c r="E154" t="inlineStr">
        <is>
          <t>✅ 包含分模块针对性训练及答案解析、初赛知识点总结、18套模拟卷、历年真题、考试大纲等资料
✅ 适合9月份初级入门考试，助力信息学竞赛备考
✅ 百度网盘秒发，拍下即可获取
✅ 虚拟资料，拍下不退不换，素材收集于网络，仅供学习交流</t>
        </is>
      </c>
      <c r="F154" s="2" t="str">
        <f>=HYPERLINK("https://s.coze.cn/t/mgvJTmSdagk/", "https://s.coze.cn/t/mgvJTmSdagk/")</f>
        <v>https://s.coze.cn/t/mgvJTmSdagk/</v>
      </c>
      <c r="G154"/>
      <c r="H154" s="2" t="str">
        <f>=HYPERLINK("https://www.goofish.com/item?spm=a21ybx.search.searchFeedList.21.8a9c7781EUE2gV&amp;id=954570925430&amp;categoryId=202036301", "https://www.goofish.com/item?spm=a21ybx.search.searchFeedList.21.8a9c7781EUE2gV&amp;id=954570925430&amp;categoryId=202036301")</f>
        <v>https://www.goofish.com/item?spm=a21ybx.search.searchFeedList.21.8a9c7781EUE2gV&amp;id=954570925430&amp;categoryId=202036301</v>
      </c>
      <c r="I154">
        <v>954570925430</v>
      </c>
      <c r="J154"/>
      <c r="K154"/>
      <c r="L154"/>
    </row>
    <row r="155" ht="25.5" customHeight="1">
      <c r="A155" t="inlineStr">
        <is>
          <t>八年级历史上册知识点 2025新版人教版</t>
        </is>
      </c>
      <c r="B155">
        <v>221</v>
      </c>
      <c r="C155" t="inlineStr">
        <is>
          <t>宝子稍等片刻，资源正在路上</t>
        </is>
      </c>
      <c r="D155" t="inlineStr">
        <is>
          <t>是</t>
        </is>
      </c>
      <c r="E155" t="inlineStr">
        <is>
          <t>✅ 包含31页背诵和31页默写PDF文档，同步2025新版人教版教材
✅ 帮助学生高效学习，比啃书更轻松
✅ 24小时拍下自动网盘发货，标价就是卖价，拍下不退
✅ 关注我，持续上新更多优质学习资料</t>
        </is>
      </c>
      <c r="F155" s="2" t="str">
        <f>=HYPERLINK("https://s.coze.cn/t/cdHK2eArOTY/", "https://s.coze.cn/t/cdHK2eArOTY/")</f>
        <v>https://s.coze.cn/t/cdHK2eArOTY/</v>
      </c>
      <c r="G155"/>
      <c r="H155" s="2" t="str">
        <f>=HYPERLINK("https://www.goofish.com/item?spm=a21ybx.search.searchFeedList.17.8a9c7781EUE2gV&amp;id=856532985286&amp;categoryId=202036301", "https://www.goofish.com/item?spm=a21ybx.search.searchFeedList.17.8a9c7781EUE2gV&amp;id=856532985286&amp;categoryId=202036301")</f>
        <v>https://www.goofish.com/item?spm=a21ybx.search.searchFeedList.17.8a9c7781EUE2gV&amp;id=856532985286&amp;categoryId=202036301</v>
      </c>
      <c r="I155">
        <v>856532985286</v>
      </c>
      <c r="J155"/>
      <c r="K155"/>
      <c r="L155"/>
    </row>
    <row r="156" ht="25.5" customHeight="1">
      <c r="A156" t="inlineStr">
        <is>
          <t>中小学英语语法专项训练 34天含答案</t>
        </is>
      </c>
      <c r="B156">
        <v>222</v>
      </c>
      <c r="C156" t="inlineStr">
        <is>
          <t>宝子稍等片刻，资源正在路上</t>
        </is>
      </c>
      <c r="D156" t="inlineStr">
        <is>
          <t>是</t>
        </is>
      </c>
      <c r="E156" t="inlineStr">
        <is>
          <t>✅ 共67页，34天含答案，一套搞定小学初中语法
✅ 知识点总结 + 针对性练习，助力飞速进步
✅ 拍下自动网盘发货，可打印电子档，非纸质，特殊商品不退不换
✅ 小学英语语法默写小纸条，小升初必备，初中语法共用</t>
        </is>
      </c>
      <c r="F156" s="2" t="str">
        <f>=HYPERLINK("https://s.coze.cn/t/0grPpTA2jDU/", "https://s.coze.cn/t/0grPpTA2jDU/")</f>
        <v>https://s.coze.cn/t/0grPpTA2jDU/</v>
      </c>
      <c r="G156"/>
      <c r="H156" s="2" t="str">
        <f>=HYPERLINK("https://www.goofish.com/item?spm=a21ybx.search.searchFeedList.25.8a9c7781EUE2gV&amp;id=851606394825&amp;categoryId=202036301", "https://www.goofish.com/item?spm=a21ybx.search.searchFeedList.25.8a9c7781EUE2gV&amp;id=851606394825&amp;categoryId=202036301")</f>
        <v>https://www.goofish.com/item?spm=a21ybx.search.searchFeedList.25.8a9c7781EUE2gV&amp;id=851606394825&amp;categoryId=202036301</v>
      </c>
      <c r="I156">
        <v>851606394825</v>
      </c>
      <c r="J156"/>
      <c r="K156"/>
      <c r="L156"/>
    </row>
    <row r="157" ht="25.5" customHeight="1">
      <c r="A157" t="inlineStr">
        <is>
          <t>教科版小学科学知识点汇总 二至六年级</t>
        </is>
      </c>
      <c r="B157">
        <v>223</v>
      </c>
      <c r="C157" t="inlineStr">
        <is>
          <t>宝子稍等片刻，资源正在路上</t>
        </is>
      </c>
      <c r="D157" t="inlineStr">
        <is>
          <t>是</t>
        </is>
      </c>
      <c r="E157" t="inlineStr">
        <is>
          <t>✅ 涵盖二至六年级科学知识点，精挑细选，助力考点梳理归纳
✅ 24小时自动秒发，百度网盘发货，急用无忧
✅ 电子版资料，拍下不退不换，素材收集于网络，仅供学习交流
✅ 无需询问店主状态，直接拍下即可获取资料</t>
        </is>
      </c>
      <c r="F157" s="2" t="str">
        <f>=HYPERLINK("https://s.coze.cn/t/q9lgPzl95VY/", "https://s.coze.cn/t/q9lgPzl95VY/")</f>
        <v>https://s.coze.cn/t/q9lgPzl95VY/</v>
      </c>
      <c r="G157"/>
      <c r="H157" s="2" t="str">
        <f>=HYPERLINK("https://www.goofish.com/item?spm=a21ybx.search.searchFeedList.19.8a9c7781EUE2gV&amp;id=916670451043&amp;categoryId=202036301", "https://www.goofish.com/item?spm=a21ybx.search.searchFeedList.19.8a9c7781EUE2gV&amp;id=916670451043&amp;categoryId=202036301")</f>
        <v>https://www.goofish.com/item?spm=a21ybx.search.searchFeedList.19.8a9c7781EUE2gV&amp;id=916670451043&amp;categoryId=202036301</v>
      </c>
      <c r="I157">
        <v>916670451043</v>
      </c>
      <c r="J157"/>
      <c r="K157"/>
      <c r="L157"/>
    </row>
    <row r="158" ht="25.5" customHeight="1">
      <c r="A158" t="inlineStr">
        <is>
          <t>九年级化学上册知识点 中考复习</t>
        </is>
      </c>
      <c r="B158">
        <v>224</v>
      </c>
      <c r="C158" t="inlineStr">
        <is>
          <t>宝子稍等片刻，资源正在路上</t>
        </is>
      </c>
      <c r="D158" t="inlineStr">
        <is>
          <t>是</t>
        </is>
      </c>
      <c r="E158" t="inlineStr">
        <is>
          <t>✅ 人教版新版九年级上册化学知识点归纳总结，含背诵和默写共60页，再送初中化学常见记背小知识点梳理10页
✅ 帮助学生整合知识体系，理清思路，提升学习效率，迅速提升成绩
✅ 24小时在线自动发货，标价就是卖价，拍下不退
✅ 可进主页搜索九年级下册化学单元知识检测小纸条</t>
        </is>
      </c>
      <c r="F158" s="2" t="str">
        <f>=HYPERLINK("https://s.coze.cn/t/tds8gZtytqw/", "https://s.coze.cn/t/tds8gZtytqw/")</f>
        <v>https://s.coze.cn/t/tds8gZtytqw/</v>
      </c>
      <c r="G158"/>
      <c r="H158" s="2" t="str">
        <f>=HYPERLINK("https://www.goofish.com/item?spm=a21ybx.search.searchFeedList.10.8a9c7781EUE2gV&amp;id=854093922187&amp;categoryId=202036301", "https://www.goofish.com/item?spm=a21ybx.search.searchFeedList.10.8a9c7781EUE2gV&amp;id=854093922187&amp;categoryId=202036301")</f>
        <v>https://www.goofish.com/item?spm=a21ybx.search.searchFeedList.10.8a9c7781EUE2gV&amp;id=854093922187&amp;categoryId=202036301</v>
      </c>
      <c r="I158">
        <v>854093922187</v>
      </c>
      <c r="J158"/>
      <c r="K158"/>
      <c r="L158"/>
    </row>
    <row r="159" ht="25.5" customHeight="1">
      <c r="A159" t="inlineStr">
        <is>
          <t>大学军事理论 期末复习笔记题库</t>
        </is>
      </c>
      <c r="B159">
        <v>225</v>
      </c>
      <c r="C159" t="inlineStr">
        <is>
          <t>宝子稍等片刻，资源正在路上</t>
        </is>
      </c>
      <c r="D159" t="inlineStr">
        <is>
          <t>是</t>
        </is>
      </c>
      <c r="E159" t="inlineStr">
        <is>
          <t>✅ 包含复习笔记、课后习题、考试题库和考研资料，助力大学军事理论期末考试
✅ 拍下发网盘，电子资料，售出不退
✅ 全面覆盖知识点，帮助学生高效复习，提升考试成绩
✅ 虚拟资料，拍下不退不换，素材收集于网络，仅供学习交流</t>
        </is>
      </c>
      <c r="F159" s="2" t="str">
        <f>=HYPERLINK("https://s.coze.cn/t/idUB9zJ93CE/", "https://s.coze.cn/t/idUB9zJ93CE/")</f>
        <v>https://s.coze.cn/t/idUB9zJ93CE/</v>
      </c>
      <c r="G159"/>
      <c r="H159" s="2" t="str">
        <f>=HYPERLINK("https://www.goofish.com/item?spm=a21ybx.search.searchFeedList.28.8a9c7781EUE2gV&amp;id=864793699058&amp;categoryId=202036301", "https://www.goofish.com/item?spm=a21ybx.search.searchFeedList.28.8a9c7781EUE2gV&amp;id=864793699058&amp;categoryId=202036301")</f>
        <v>https://www.goofish.com/item?spm=a21ybx.search.searchFeedList.28.8a9c7781EUE2gV&amp;id=864793699058&amp;categoryId=202036301</v>
      </c>
      <c r="I159">
        <v>864793699058</v>
      </c>
      <c r="J159"/>
      <c r="K159"/>
      <c r="L159"/>
    </row>
    <row r="160" ht="25.5" customHeight="1">
      <c r="A160" t="inlineStr">
        <is>
          <t>1元陈琦教心第三版笔记题库</t>
        </is>
      </c>
      <c r="B160">
        <v>226</v>
      </c>
      <c r="C160" t="inlineStr">
        <is>
          <t>宝子稍等片刻，资源正在路上</t>
        </is>
      </c>
      <c r="D160" t="inlineStr">
        <is>
          <t>是</t>
        </is>
      </c>
      <c r="E160" t="inlineStr">
        <is>
          <t>✅ 1元获取陈琦当代教育心理学第三版笔记、知识点总结及配套题库PDF电子版，助力学习备考
✅ 统一售价无套路，所有文档一起，所见即所得
✅ 24小时自动发货，迅雷网盘电子版，无实物
✅ 内容不满意直接退款，物超所值
✅ 店主不定时在线，直接下单，不满意自动退款</t>
        </is>
      </c>
      <c r="F160" s="2" t="str">
        <f>=HYPERLINK("https://s.coze.cn/t/SpROQzvysy8/", "https://s.coze.cn/t/SpROQzvysy8/")</f>
        <v>https://s.coze.cn/t/SpROQzvysy8/</v>
      </c>
      <c r="G160"/>
      <c r="H160" s="2" t="str">
        <f>=HYPERLINK("https://www.goofish.com/item?spm=a21ybx.search.searchFeedList.17.8a9c7781EUE2gV&amp;id=803242476262&amp;categoryId=202036301", "https://www.goofish.com/item?spm=a21ybx.search.searchFeedList.17.8a9c7781EUE2gV&amp;id=803242476262&amp;categoryId=202036301")</f>
        <v>https://www.goofish.com/item?spm=a21ybx.search.searchFeedList.17.8a9c7781EUE2gV&amp;id=803242476262&amp;categoryId=202036301</v>
      </c>
      <c r="I160">
        <v>803242476262</v>
      </c>
      <c r="J160"/>
      <c r="K160"/>
      <c r="L160"/>
    </row>
    <row r="161" ht="25.5" customHeight="1">
      <c r="A161" t="inlineStr">
        <is>
          <t>1元陈共财政学笔记题库</t>
        </is>
      </c>
      <c r="B161">
        <v>227</v>
      </c>
      <c r="C161" t="inlineStr">
        <is>
          <t>宝子稍等片刻，资源正在路上</t>
        </is>
      </c>
      <c r="D161" t="inlineStr">
        <is>
          <t>是</t>
        </is>
      </c>
      <c r="E161" t="inlineStr">
        <is>
          <t>✅ 1元获取陈共财政学笔记、知识点总结及配套题库PDF电子版，助力学习备考
✅ 统一售价无套路，所有文档一起，所见即所得
✅ 24小时自动发货，迅雷网盘电子版，无实物
✅ 内容不满意直接退款，物超所值
✅ 店主不定时在线，直接下单，不满意自动退款</t>
        </is>
      </c>
      <c r="F161" s="2" t="str">
        <f>=HYPERLINK("https://s.coze.cn/t/WqELyEbK3Rw/", "https://s.coze.cn/t/WqELyEbK3Rw/")</f>
        <v>https://s.coze.cn/t/WqELyEbK3Rw/</v>
      </c>
      <c r="G161"/>
      <c r="H161" s="2" t="str">
        <f>=HYPERLINK("https://www.goofish.com/item?spm=a21ybx.search.searchFeedList.11.8a9c7781EUE2gV&amp;id=802319479879&amp;categoryId=202036301", "https://www.goofish.com/item?spm=a21ybx.search.searchFeedList.11.8a9c7781EUE2gV&amp;id=802319479879&amp;categoryId=202036301")</f>
        <v>https://www.goofish.com/item?spm=a21ybx.search.searchFeedList.11.8a9c7781EUE2gV&amp;id=802319479879&amp;categoryId=202036301</v>
      </c>
      <c r="I161">
        <v>802319479879</v>
      </c>
      <c r="J161"/>
      <c r="K161"/>
      <c r="L161"/>
    </row>
    <row r="162" ht="25.5" customHeight="1">
      <c r="A162" t="inlineStr">
        <is>
          <t>1元高中学霸九科笔记电子版</t>
        </is>
      </c>
      <c r="B162">
        <v>228</v>
      </c>
      <c r="C162" t="inlineStr">
        <is>
          <t>宝子稍等片刻，资源正在路上</t>
        </is>
      </c>
      <c r="D162" t="inlineStr">
        <is>
          <t>是</t>
        </is>
      </c>
      <c r="E162" t="inlineStr">
        <is>
          <t>✅ 1元获取全彩高中学霸笔记电子版，涵盖高中九科，全国通用
✅ 高一到高三知识点齐全，重难点标注清晰，助力高效学习
✅ 24小时自动发货，网盘电子版，无实物
✅ 内容不满意直接退款，物超所值</t>
        </is>
      </c>
      <c r="F162" s="2" t="str">
        <f>=HYPERLINK("https://s.coze.cn/t/sQaL3_S_GXM/", "https://s.coze.cn/t/sQaL3_S_GXM/")</f>
        <v>https://s.coze.cn/t/sQaL3_S_GXM/</v>
      </c>
      <c r="G162"/>
      <c r="H162" s="2" t="str">
        <f>=HYPERLINK("https://www.goofish.com/item?spm=a21ybx.search.searchFeedList.15.8a9c7781EUE2gV&amp;id=961103500056&amp;categoryId=202036301", "https://www.goofish.com/item?spm=a21ybx.search.searchFeedList.15.8a9c7781EUE2gV&amp;id=961103500056&amp;categoryId=202036301")</f>
        <v>https://www.goofish.com/item?spm=a21ybx.search.searchFeedList.15.8a9c7781EUE2gV&amp;id=961103500056&amp;categoryId=202036301</v>
      </c>
      <c r="I162">
        <v>961103500056</v>
      </c>
      <c r="J162"/>
      <c r="K162"/>
      <c r="L162"/>
    </row>
    <row r="163" ht="25.5" customHeight="1">
      <c r="A163" t="inlineStr">
        <is>
          <t>苏教四数上册资料包</t>
        </is>
      </c>
      <c r="B163">
        <v>229</v>
      </c>
      <c r="C163" t="inlineStr">
        <is>
          <t>宝子稍等片刻，资源正在路上</t>
        </is>
      </c>
      <c r="D163" t="inlineStr">
        <is>
          <t>是</t>
        </is>
      </c>
      <c r="E163" t="inlineStr">
        <is>
          <t>✅ 1元获取苏教版四年级数学上册全套资料，包含课件PPT、单元知识、课时练等20项内容
✅ 老师备课上课，学生自用预习复习都适用
✅ 拍下自动发货，秒发百度网盘链接
✅ 虚拟资料，发货后不退，看清楚再拍</t>
        </is>
      </c>
      <c r="F163" s="2" t="str">
        <f>=HYPERLINK("https://s.coze.cn/t/t3OEqCOEgz0/", "https://s.coze.cn/t/t3OEqCOEgz0/")</f>
        <v>https://s.coze.cn/t/t3OEqCOEgz0/</v>
      </c>
      <c r="G163"/>
      <c r="H163" s="2" t="str">
        <f>=HYPERLINK("https://www.goofish.com/item?spm=a21ybx.search.searchFeedList.3.8a9c7781EUE2gV&amp;id=955639234096&amp;categoryId=202036301", "https://www.goofish.com/item?spm=a21ybx.search.searchFeedList.3.8a9c7781EUE2gV&amp;id=955639234096&amp;categoryId=202036301")</f>
        <v>https://www.goofish.com/item?spm=a21ybx.search.searchFeedList.3.8a9c7781EUE2gV&amp;id=955639234096&amp;categoryId=202036301</v>
      </c>
      <c r="I163">
        <v>955639234096</v>
      </c>
      <c r="J163"/>
      <c r="K163"/>
      <c r="L163"/>
    </row>
    <row r="164" ht="25.5" customHeight="1">
      <c r="A164" t="inlineStr">
        <is>
          <t>拉扎维模集知识点总结</t>
        </is>
      </c>
      <c r="B164">
        <v>230</v>
      </c>
      <c r="C164" t="inlineStr">
        <is>
          <t>宝子稍等片刻，资源正在路上</t>
        </is>
      </c>
      <c r="D164" t="inlineStr">
        <is>
          <t>是</t>
        </is>
      </c>
      <c r="E164" t="inlineStr">
        <is>
          <t>✅ 1元获取拉扎维模集第二版知识点总结，共1w多字，提供pdf和word格式，可自行删改补充
✅ 适合模拟IC入门、学习，本科生/研究生找工作笔试/面试复习回顾
✅ 赠送第二版英文版答案、西交和复旦模集ppt及其他模集教材
✅ 发百度网盘链接，永不失效，售出不退
✅ 所有文件均获取自网络公开渠道，仅供学习和交流使用</t>
        </is>
      </c>
      <c r="F164" s="2" t="str">
        <f>=HYPERLINK("https://s.coze.cn/t/YFDxYaEXdnY/", "https://s.coze.cn/t/YFDxYaEXdnY/")</f>
        <v>https://s.coze.cn/t/YFDxYaEXdnY/</v>
      </c>
      <c r="G164"/>
      <c r="H164" s="2" t="str">
        <f>=HYPERLINK("https://www.goofish.com/item?spm=a21ybx.search.searchFeedList.24.8a9c7781EUE2gV&amp;id=906122766199&amp;categoryId=202036301", "https://www.goofish.com/item?spm=a21ybx.search.searchFeedList.24.8a9c7781EUE2gV&amp;id=906122766199&amp;categoryId=202036301")</f>
        <v>https://www.goofish.com/item?spm=a21ybx.search.searchFeedList.24.8a9c7781EUE2gV&amp;id=906122766199&amp;categoryId=202036301</v>
      </c>
      <c r="I164">
        <v>906122766199</v>
      </c>
      <c r="J164"/>
      <c r="K164"/>
      <c r="L164"/>
    </row>
    <row r="165" ht="25.5" customHeight="1">
      <c r="A165" t="inlineStr">
        <is>
          <t>25新版初中道法知识点总结</t>
        </is>
      </c>
      <c r="B165">
        <v>231</v>
      </c>
      <c r="C165" t="inlineStr">
        <is>
          <t>宝子稍等片刻，资源正在路上</t>
        </is>
      </c>
      <c r="D165" t="inlineStr">
        <is>
          <t>是</t>
        </is>
      </c>
      <c r="E165" t="inlineStr">
        <is>
          <t>✅ 1元获取25新版人教版初中道法七八九年级上下册知识点整理
✅ 分单元呈现清晰，高清无水印，知识点、复习要点可背诵可默写
✅ 助力孩子寒暑假和日常学习建立知识结构
✅ 拍下自动发出，秒发网盘链接</t>
        </is>
      </c>
      <c r="F165" s="2" t="str">
        <f>=HYPERLINK("https://s.coze.cn/t/jhsmP1ifkrg/", "https://s.coze.cn/t/jhsmP1ifkrg/")</f>
        <v>https://s.coze.cn/t/jhsmP1ifkrg/</v>
      </c>
      <c r="G165"/>
      <c r="H165" s="2" t="str">
        <f>=HYPERLINK("https://www.goofish.com/item?spm=a21ybx.search.searchFeedList.4.8a9c7781EUE2gV&amp;id=952242400136&amp;categoryId=202036301", "https://www.goofish.com/item?spm=a21ybx.search.searchFeedList.4.8a9c7781EUE2gV&amp;id=952242400136&amp;categoryId=202036301")</f>
        <v>https://www.goofish.com/item?spm=a21ybx.search.searchFeedList.4.8a9c7781EUE2gV&amp;id=952242400136&amp;categoryId=202036301</v>
      </c>
      <c r="I165">
        <v>952242400136</v>
      </c>
      <c r="J165"/>
      <c r="K165"/>
      <c r="L165"/>
    </row>
    <row r="166" ht="25.5" customHeight="1">
      <c r="A166" t="inlineStr">
        <is>
          <t>1元素描知识点总结大全</t>
        </is>
      </c>
      <c r="B166">
        <v>232</v>
      </c>
      <c r="C166" t="inlineStr">
        <is>
          <t>宝子稍等片刻，资源正在路上</t>
        </is>
      </c>
      <c r="D166" t="inlineStr">
        <is>
          <t>是</t>
        </is>
      </c>
      <c r="E166" t="inlineStr">
        <is>
          <t>✅ 1元获取素描知识点总结大全，包含几何体结构、透视、明暗五大调等完整知识点
✅ 图片清晰，可直接打印学习，内容全面实用，适合美术生、艺考生、零基础学习者
✅ 涵盖各类几何体结构解析，一点透视两点透视三点透视都有
✅ 拍下自动秒发度盘链接，虚拟物品发货后不支持退款</t>
        </is>
      </c>
      <c r="F166" s="2" t="str">
        <f>=HYPERLINK("https://s.coze.cn/t/4gN_GYYVgy4/", "https://s.coze.cn/t/4gN_GYYVgy4/")</f>
        <v>https://s.coze.cn/t/4gN_GYYVgy4/</v>
      </c>
      <c r="G166"/>
      <c r="H166" s="2" t="str">
        <f>=HYPERLINK("https://www.goofish.com/item?spm=a21ybx.search.searchFeedList.20.8a9c7781EUE2gV&amp;id=927163842317&amp;categoryId=202036301", "https://www.goofish.com/item?spm=a21ybx.search.searchFeedList.20.8a9c7781EUE2gV&amp;id=927163842317&amp;categoryId=202036301")</f>
        <v>https://www.goofish.com/item?spm=a21ybx.search.searchFeedList.20.8a9c7781EUE2gV&amp;id=927163842317&amp;categoryId=202036301</v>
      </c>
      <c r="I166">
        <v>927163842317</v>
      </c>
      <c r="J166"/>
      <c r="K166"/>
      <c r="L166"/>
    </row>
    <row r="167" ht="25.5" customHeight="1">
      <c r="A167" t="inlineStr">
        <is>
          <t>1元化工原理笔记考研资料</t>
        </is>
      </c>
      <c r="B167">
        <v>233</v>
      </c>
      <c r="C167" t="inlineStr">
        <is>
          <t>宝子稍等片刻，资源正在路上</t>
        </is>
      </c>
      <c r="D167" t="inlineStr">
        <is>
          <t>是</t>
        </is>
      </c>
      <c r="E167" t="inlineStr">
        <is>
          <t>✅ 1元获取《化工原理》笔记、知识点总结、公式总结、教案课件ppt等全套资料
✅ 包含名词解释、试题习题库、基本概念、学习指导等内容，助力考研和期末复习
✅ 拍下发网盘，祝大家考试顺利</t>
        </is>
      </c>
      <c r="F167" s="2" t="str">
        <f>=HYPERLINK("https://s.coze.cn/t/UCXrV0fcIUo/", "https://s.coze.cn/t/UCXrV0fcIUo/")</f>
        <v>https://s.coze.cn/t/UCXrV0fcIUo/</v>
      </c>
      <c r="G167"/>
      <c r="H167" s="2" t="str">
        <f>=HYPERLINK("https://www.goofish.com/item?spm=a21ybx.search.searchFeedList.5.8a9c7781EUE2gV&amp;id=986987479792&amp;categoryId=202036301", "https://www.goofish.com/item?spm=a21ybx.search.searchFeedList.5.8a9c7781EUE2gV&amp;id=986987479792&amp;categoryId=202036301")</f>
        <v>https://www.goofish.com/item?spm=a21ybx.search.searchFeedList.5.8a9c7781EUE2gV&amp;id=986987479792&amp;categoryId=202036301</v>
      </c>
      <c r="I167">
        <v>986987479792</v>
      </c>
      <c r="J167"/>
      <c r="K167"/>
      <c r="L167"/>
    </row>
    <row r="168" ht="25.5" customHeight="1">
      <c r="A168" t="inlineStr">
        <is>
          <t>1元小学英语语法知识点汇总</t>
        </is>
      </c>
      <c r="B168">
        <v>234</v>
      </c>
      <c r="C168" t="inlineStr">
        <is>
          <t>宝子稍等片刻，资源正在路上</t>
        </is>
      </c>
      <c r="D168" t="inlineStr">
        <is>
          <t>是</t>
        </is>
      </c>
      <c r="E168" t="inlineStr">
        <is>
          <t>✅ 1元获取小学英语语法知识点汇总，覆盖小学阶段所有重点语法内容，适合小学生巩固基础
✅ 包含七天搞定小学1000单词、小学生英语词汇手册、短语汇总、基础语法、核心知识点、高频考点句型
✅ 超可爱画风，激发孩子学习兴趣，高清可打印，方便家长和孩子随时练习
✅ 24小时自动发货，拍下即得，省时省力
✅ 请不要直接申请退款，有任何问题私信沟通，一定妥善处理</t>
        </is>
      </c>
      <c r="F168" s="2" t="str">
        <f>=HYPERLINK("https://s.coze.cn/t/vSc6cmBG1fk/", "https://s.coze.cn/t/vSc6cmBG1fk/")</f>
        <v>https://s.coze.cn/t/vSc6cmBG1fk/</v>
      </c>
      <c r="G168"/>
      <c r="H168" s="2" t="str">
        <f>=HYPERLINK("https://www.goofish.com/item?spm=a21ybx.search.searchFeedList.8.8a9c7781EUE2gV&amp;id=950210867162&amp;categoryId=202036301", "https://www.goofish.com/item?spm=a21ybx.search.searchFeedList.8.8a9c7781EUE2gV&amp;id=950210867162&amp;categoryId=202036301")</f>
        <v>https://www.goofish.com/item?spm=a21ybx.search.searchFeedList.8.8a9c7781EUE2gV&amp;id=950210867162&amp;categoryId=202036301</v>
      </c>
      <c r="I168">
        <v>950210867162</v>
      </c>
      <c r="J168"/>
      <c r="K168"/>
      <c r="L168"/>
    </row>
    <row r="169" ht="25.5" customHeight="1">
      <c r="A169" t="inlineStr">
        <is>
          <t>1元25部编小学语文知识点</t>
        </is>
      </c>
      <c r="B169">
        <v>235</v>
      </c>
      <c r="C169" t="inlineStr">
        <is>
          <t>宝子稍等片刻，资源正在路上</t>
        </is>
      </c>
      <c r="D169" t="inlineStr">
        <is>
          <t>是</t>
        </is>
      </c>
      <c r="E169" t="inlineStr">
        <is>
          <t>✅ 1元获取2025秋季新部编人教版小学语文1-6年级上下册知识点总结梳理PDF电子版
✅ 包含1-6年级上册和下册的知识要点，内容包括生字词汇总、课文重点解析等
✅ 内容完整，图文清晰，适合小学生使用
✅ 电子版资料，百度网盘发货，24小时内自动发送链接
✅ 虚拟商品，一经售出不退不换，介意勿拍</t>
        </is>
      </c>
      <c r="F169" s="2" t="str">
        <f>=HYPERLINK("https://s.coze.cn/t/Xa65zLrK2-g/", "https://s.coze.cn/t/Xa65zLrK2-g/")</f>
        <v>https://s.coze.cn/t/Xa65zLrK2-g/</v>
      </c>
      <c r="G169"/>
      <c r="H169" s="2" t="str">
        <f>=HYPERLINK("https://www.goofish.com/item?spm=a21ybx.search.searchFeedList.9.8a9c7781EUE2gV&amp;id=986421932285&amp;categoryId=202036301", "https://www.goofish.com/item?spm=a21ybx.search.searchFeedList.9.8a9c7781EUE2gV&amp;id=986421932285&amp;categoryId=202036301")</f>
        <v>https://www.goofish.com/item?spm=a21ybx.search.searchFeedList.9.8a9c7781EUE2gV&amp;id=986421932285&amp;categoryId=202036301</v>
      </c>
      <c r="I169">
        <v>986421932285</v>
      </c>
      <c r="J169"/>
      <c r="K169"/>
      <c r="L169"/>
    </row>
    <row r="170" ht="25.5" customHeight="1">
      <c r="A170" t="inlineStr">
        <is>
          <t>1元地理会考速背口诀资料包</t>
        </is>
      </c>
      <c r="B170">
        <v>236</v>
      </c>
      <c r="C170" t="inlineStr">
        <is>
          <t>宝子稍等片刻，资源正在路上</t>
        </is>
      </c>
      <c r="D170" t="inlineStr">
        <is>
          <t>是</t>
        </is>
      </c>
      <c r="E170" t="inlineStr">
        <is>
          <t>✅ 1元获取2025年人教版地理会考知识归纳总结提纲速背口诀，包含必考知识点、真题、全真模拟卷等全套资料
✅ 刷完直接稳冲A，考前翻盘就靠它
✅ 电子版资料，百度网盘发货，售出不退不换
✅ 资料较多，请挑选适合自己孩子的模块进行学习，介意资料多的勿拍</t>
        </is>
      </c>
      <c r="F170" s="2" t="str">
        <f>=HYPERLINK("https://s.coze.cn/t/EzyJAC0n5yE/", "https://s.coze.cn/t/EzyJAC0n5yE/")</f>
        <v>https://s.coze.cn/t/EzyJAC0n5yE/</v>
      </c>
      <c r="G170"/>
      <c r="H170" s="2" t="str">
        <f>=HYPERLINK("https://www.goofish.com/item?spm=a21ybx.search.searchFeedList.15.8a9c7781EUE2gV&amp;id=900447161588&amp;categoryId=202036301", "https://www.goofish.com/item?spm=a21ybx.search.searchFeedList.15.8a9c7781EUE2gV&amp;id=900447161588&amp;categoryId=202036301")</f>
        <v>https://www.goofish.com/item?spm=a21ybx.search.searchFeedList.15.8a9c7781EUE2gV&amp;id=900447161588&amp;categoryId=202036301</v>
      </c>
      <c r="I170">
        <v>900447161588</v>
      </c>
      <c r="J170"/>
      <c r="K170"/>
      <c r="L170"/>
    </row>
    <row r="171" ht="25.5" customHeight="1">
      <c r="A171" t="inlineStr">
        <is>
          <t>1元25新版初中英语知识点</t>
        </is>
      </c>
      <c r="B171">
        <v>237</v>
      </c>
      <c r="C171" t="inlineStr">
        <is>
          <t>宝子稍等片刻，资源正在路上</t>
        </is>
      </c>
      <c r="D171" t="inlineStr">
        <is>
          <t>是</t>
        </is>
      </c>
      <c r="E171" t="inlineStr">
        <is>
          <t>✅ 1元获取25年春季新版人教版初中英语知识点总结，包含七八九年级上下册知识点整理
✅ 排版清楚，高清无水印，附带电子教材，与新版教材同步
✅ 帮助孩子建立完整的知识体系，助力初中英语学习
✅ 拍下自动发出百度网盘链接，24小时自动发货，发出后不退</t>
        </is>
      </c>
      <c r="F171" s="2" t="str">
        <f>=HYPERLINK("https://s.coze.cn/t/VtodpIEEanw/", "https://s.coze.cn/t/VtodpIEEanw/")</f>
        <v>https://s.coze.cn/t/VtodpIEEanw/</v>
      </c>
      <c r="G171"/>
      <c r="H171" s="2" t="str">
        <f>=HYPERLINK("https://www.goofish.com/item?spm=a21ybx.search.searchFeedList.11.8a9c7781EUE2gV&amp;id=949665713898&amp;categoryId=202036301", "https://www.goofish.com/item?spm=a21ybx.search.searchFeedList.11.8a9c7781EUE2gV&amp;id=949665713898&amp;categoryId=202036301")</f>
        <v>https://www.goofish.com/item?spm=a21ybx.search.searchFeedList.11.8a9c7781EUE2gV&amp;id=949665713898&amp;categoryId=202036301</v>
      </c>
      <c r="I171">
        <v>949665713898</v>
      </c>
      <c r="J171"/>
      <c r="K171"/>
      <c r="L171"/>
    </row>
    <row r="172" ht="25.5" customHeight="1">
      <c r="A172" t="inlineStr">
        <is>
          <t>1元沪教小学数学知识点</t>
        </is>
      </c>
      <c r="B172">
        <v>238</v>
      </c>
      <c r="C172" t="inlineStr">
        <is>
          <t>【超级会员V2】通过百度网盘分享的文件：沪教上海版(五四…
链接:https://pan.baidu.com/s/1XIiTGMHLI1xDZoDW5JCkpA 
提取码:623o
复制这段内容打开「百度网盘APP 即可获取」</t>
        </is>
      </c>
      <c r="D172" t="inlineStr">
        <is>
          <t>是</t>
        </is>
      </c>
      <c r="E172" t="inlineStr">
        <is>
          <t>✅ 1元获取沪教上海版(五四制)小学数学知识点归纳总结word，一二三四五年级word版，可编辑可打印
✅ 1 - 5年级全部打包，标价即是卖价，需要直接拍
✅ 发百度网盘链接，永不失效，售出不退
✅ 任何情况不要申请退款，私信沟通处理，小店经营不易
✅ 所有文件均获取自网络公开渠道，仅供学习和交流使用</t>
        </is>
      </c>
      <c r="F172" s="2" t="str">
        <f>=HYPERLINK("https://s.coze.cn/t/afxM5Y0xtl0/", "https://s.coze.cn/t/afxM5Y0xtl0/")</f>
        <v>https://s.coze.cn/t/afxM5Y0xtl0/</v>
      </c>
      <c r="G172"/>
      <c r="H172" s="2" t="str">
        <f>=HYPERLINK("https://www.goofish.com/item?spm=a21ybx.search.searchFeedList.11.8a9c7781EUE2gV&amp;id=902717085328&amp;categoryId=202036301", "https://www.goofish.com/item?spm=a21ybx.search.searchFeedList.11.8a9c7781EUE2gV&amp;id=902717085328&amp;categoryId=202036301")</f>
        <v>https://www.goofish.com/item?spm=a21ybx.search.searchFeedList.11.8a9c7781EUE2gV&amp;id=902717085328&amp;categoryId=202036301</v>
      </c>
      <c r="I172">
        <v>902717085328</v>
      </c>
      <c r="J172"/>
      <c r="K172"/>
      <c r="L172"/>
    </row>
    <row r="173" ht="25.5" customHeight="1">
      <c r="A173" t="inlineStr">
        <is>
          <t>1元PU1英语知识清单</t>
        </is>
      </c>
      <c r="B173">
        <v>239</v>
      </c>
      <c r="C173" t="inlineStr">
        <is>
          <t>【超级会员V1】通过百度网盘分享的文件：PU1知识清单彩…等2个文件
链接:https://pan.baidu.com/s/1olJORRXNxbsZ_uDLxyk4qA 
提取码:1rr3
复制这段内容打开「百度网盘APP 即可获取」</t>
        </is>
      </c>
      <c r="D173" t="inlineStr">
        <is>
          <t>是</t>
        </is>
      </c>
      <c r="E173" t="inlineStr">
        <is>
          <t>✅ 1元获取Power up 1级别PU1级图文知识清单彩图电子资料，1 - 9单元齐全，一个单元8 - 9页PDF【无听力】
✅ 送PU1意大利斜体描红一套，词汇、句型、知识点整合归纳，听力阅读文本图文编排美观实用
✅ 资料默认不支持二次编辑，盗用图片将投诉到底
✅ 电子素材非实物，只发百度网盘链接，链接永久有效，下单后不接受退货退款
✅ 不懂网盘下载操作、要求发邮箱附件、对软件操作不熟的请勿拍，不指导软件操作、无远程服务、不帮转格式
✅ 所有文件均获取自网络公开渠道，仅供学习和交流使用，所有版权归版权人所有，如版权方认为侵犯了您的版权，请及时联系小店删除</t>
        </is>
      </c>
      <c r="F173" s="2" t="str">
        <f>=HYPERLINK("https://s.coze.cn/t/kydUdp3H2ls/", "https://s.coze.cn/t/kydUdp3H2ls/")</f>
        <v>https://s.coze.cn/t/kydUdp3H2ls/</v>
      </c>
      <c r="G173"/>
      <c r="H173" s="2" t="str">
        <f>=HYPERLINK("https://www.goofish.com/item?spm=a21ybx.search.searchFeedList.19.8a9c7781EUE2gV&amp;id=893703804428&amp;categoryId=202036301", "https://www.goofish.com/item?spm=a21ybx.search.searchFeedList.19.8a9c7781EUE2gV&amp;id=893703804428&amp;categoryId=202036301")</f>
        <v>https://www.goofish.com/item?spm=a21ybx.search.searchFeedList.19.8a9c7781EUE2gV&amp;id=893703804428&amp;categoryId=202036301</v>
      </c>
      <c r="I173">
        <v>893703804428</v>
      </c>
      <c r="J173"/>
      <c r="K173"/>
      <c r="L173"/>
    </row>
    <row r="174" ht="25.5" customHeight="1">
      <c r="A174" t="inlineStr">
        <is>
          <t>1元2026江苏食品专转本资料</t>
        </is>
      </c>
      <c r="B174">
        <v>240</v>
      </c>
      <c r="C174" t="inlineStr">
        <is>
          <t>1. 【超级会员V1】通过百度网盘分享的文件：食品专转本（全）
链接:https://pan.baidu.com/s/1FsLqiLOYoYXJBRU2IY89ug 
提取码:2x4n
复制这段内容打开「百度网盘APP 即可获取」
2. 【超级会员V2】通过百度网盘分享的文件：25最新兴国、复…
链接:https://pan.baidu.com/s/186CkI1CUnJzIF6LI2dZP7w 
提取码:a55y
复制这段内容打开「百度网盘APP 即可获取」</t>
        </is>
      </c>
      <c r="D174" t="inlineStr">
        <is>
          <t>是</t>
        </is>
      </c>
      <c r="E174" t="inlineStr">
        <is>
          <t>✅ 1元获取2026江苏专转本食品类模拟卷、理论、实操、知识点总结、讲义复习资料及全套网课，资料包更新到考前前一天
✅ 送最新25兴国、付航、职考时代等高数模拟卷70余份一套，加赠各个机构24/23历年模拟卷百余套
✅ 包含复航全套专业、实操网课资料、冲刺模拟卷、背诵知识点、知识点总结、复习背诵资料、相关课本资料、名词解释、理论单元习题、营养学课件、卫生学课件、刷题册、综合模拟卷等
✅ 背诵讲义丰富，知识点全面，助力考试取得130以上高分，祝你金榜题名，迈进双一流高校
✅ 电子版资料，网盘分享，一经销售不退不换，下单前请仔细阅读资料介绍</t>
        </is>
      </c>
      <c r="F174" s="2" t="str">
        <f>=HYPERLINK("https://s.coze.cn/t/Y6qVMoGZ9mc/", "https://s.coze.cn/t/Y6qVMoGZ9mc/")</f>
        <v>https://s.coze.cn/t/Y6qVMoGZ9mc/</v>
      </c>
      <c r="G174"/>
      <c r="H174" s="2" t="str">
        <f>=HYPERLINK("https://www.goofish.com/item?spm=a21ybx.search.searchFeedList.25.8a9c7781EUE2gV&amp;id=890038247485&amp;categoryId=202036301", "https://www.goofish.com/item?spm=a21ybx.search.searchFeedList.25.8a9c7781EUE2gV&amp;id=890038247485&amp;categoryId=202036301")</f>
        <v>https://www.goofish.com/item?spm=a21ybx.search.searchFeedList.25.8a9c7781EUE2gV&amp;id=890038247485&amp;categoryId=202036301</v>
      </c>
      <c r="I174">
        <v>890038247485</v>
      </c>
      <c r="J174"/>
      <c r="K174"/>
      <c r="L174"/>
    </row>
    <row r="175" ht="25.5" customHeight="1">
      <c r="A175" t="inlineStr">
        <is>
          <t>1元陈敏恒化工原理资料</t>
        </is>
      </c>
      <c r="B175">
        <v>241</v>
      </c>
      <c r="C175" t="inlineStr">
        <is>
          <t>宝子稍等片刻，资源正在路上</t>
        </is>
      </c>
      <c r="D175" t="inlineStr">
        <is>
          <t>是</t>
        </is>
      </c>
      <c r="E175" t="inlineStr">
        <is>
          <t>✅ 1元获取陈敏恒化工原理笔记、知识点总结及配套题库PDF电子版，第三版第四版第五版都有
✅ 统一售价无套路，所有文档一起，所见即所得，没有单卖
✅ 24小时自动发货，迅雷网盘电子版，无实物，介意勿拍
✅ 内容不满意直接退款，有帮助可以帮忙好评
✅ 店主不定时在线，直接拍，拍完不满意直接退，自动退款</t>
        </is>
      </c>
      <c r="F175" s="2" t="str">
        <f>=HYPERLINK("https://s.coze.cn/t/ecSOZ8dAdmA/", "https://s.coze.cn/t/ecSOZ8dAdmA/")</f>
        <v>https://s.coze.cn/t/ecSOZ8dAdmA/</v>
      </c>
      <c r="G175"/>
      <c r="H175" s="2" t="str">
        <f>=HYPERLINK("https://www.goofish.com/item?spm=a21ybx.search.searchFeedList.4.8a9c7781EUE2gV&amp;id=802559837623&amp;categoryId=202036301", "https://www.goofish.com/item?spm=a21ybx.search.searchFeedList.4.8a9c7781EUE2gV&amp;id=802559837623&amp;categoryId=202036301")</f>
        <v>https://www.goofish.com/item?spm=a21ybx.search.searchFeedList.4.8a9c7781EUE2gV&amp;id=802559837623&amp;categoryId=202036301</v>
      </c>
      <c r="I175">
        <v>802559837623</v>
      </c>
      <c r="J175"/>
      <c r="K175"/>
      <c r="L175"/>
    </row>
    <row r="176" ht="25.5" customHeight="1">
      <c r="A176" t="inlineStr">
        <is>
          <t>1元六上语文知识点总结</t>
        </is>
      </c>
      <c r="B176">
        <v>242</v>
      </c>
      <c r="C176" t="inlineStr">
        <is>
          <t>宝子稍等片刻，资源正在路上</t>
        </is>
      </c>
      <c r="D176" t="inlineStr">
        <is>
          <t>是</t>
        </is>
      </c>
      <c r="E176" t="inlineStr">
        <is>
          <t>✅ 1元获取六年级语文上册单元知识点总结归纳，8个单元PDF格式共15页，第五单元1张，其他2张
✅ 帮助孩子整合和梳理知识，形成完整知识框架，打印出来早读睡前读读背背，考试轻松拿捏
✅ 24小时拍下在线自动发货，标价就是卖价，不用问在不在，文件有可复制性，拍下不退
✅ 关注我，持续上新，不迷路</t>
        </is>
      </c>
      <c r="F176" s="2" t="str">
        <f>=HYPERLINK("https://s.coze.cn/t/dp8yLDxhscM/", "https://s.coze.cn/t/dp8yLDxhscM/")</f>
        <v>https://s.coze.cn/t/dp8yLDxhscM/</v>
      </c>
      <c r="G176"/>
      <c r="H176" s="2" t="str">
        <f>=HYPERLINK("https://www.goofish.com/item?spm=a21ybx.search.searchFeedList.2.8a9c7781EUE2gV&amp;id=871582681582&amp;categoryId=202036301", "https://www.goofish.com/item?spm=a21ybx.search.searchFeedList.2.8a9c7781EUE2gV&amp;id=871582681582&amp;categoryId=202036301")</f>
        <v>https://www.goofish.com/item?spm=a21ybx.search.searchFeedList.2.8a9c7781EUE2gV&amp;id=871582681582&amp;categoryId=202036301</v>
      </c>
      <c r="I176">
        <v>871582681582</v>
      </c>
      <c r="J176"/>
      <c r="K176"/>
      <c r="L176"/>
    </row>
    <row r="177" ht="25.5" customHeight="1">
      <c r="A177" t="inlineStr">
        <is>
          <t>1元五上英语知识点总结</t>
        </is>
      </c>
      <c r="B177">
        <v>243</v>
      </c>
      <c r="C177" t="inlineStr">
        <is>
          <t>宝子稍等片刻，资源正在路上</t>
        </is>
      </c>
      <c r="D177" t="inlineStr">
        <is>
          <t>是</t>
        </is>
      </c>
      <c r="E177" t="inlineStr">
        <is>
          <t>✅ 1元获取2025秋五年级上册英语单元知识点总结（人教版），将零散知识点整合成完整知识体系，每单元后有巩固训练
✅ PDF文档19页含答案，17页是知识点和巩固训练 + 2页答案
✅ 24小时拍下在线自动网盘发货，标价就是卖价，文件有可复制性，拍下不退
✅ 关注我，持续上新，不迷路</t>
        </is>
      </c>
      <c r="F177" s="2" t="str">
        <f>=HYPERLINK("https://s.coze.cn/t/95iHvjOvM8I/", "https://s.coze.cn/t/95iHvjOvM8I/")</f>
        <v>https://s.coze.cn/t/95iHvjOvM8I/</v>
      </c>
      <c r="G177"/>
      <c r="H177" s="2" t="str">
        <f>=HYPERLINK("https://www.goofish.com/item?spm=a21ybx.search.searchFeedList.25.8a9c7781EUE2gV&amp;id=965189915740&amp;categoryId=202036301", "https://www.goofish.com/item?spm=a21ybx.search.searchFeedList.25.8a9c7781EUE2gV&amp;id=965189915740&amp;categoryId=202036301")</f>
        <v>https://www.goofish.com/item?spm=a21ybx.search.searchFeedList.25.8a9c7781EUE2gV&amp;id=965189915740&amp;categoryId=202036301</v>
      </c>
      <c r="I177">
        <v>965189915740</v>
      </c>
      <c r="J177"/>
      <c r="K177"/>
      <c r="L177"/>
    </row>
    <row r="178" ht="25.5" customHeight="1">
      <c r="A178" t="inlineStr">
        <is>
          <t>1元大学物理期末复习资料</t>
        </is>
      </c>
      <c r="B178">
        <v>244</v>
      </c>
      <c r="C178" t="inlineStr">
        <is>
          <t>宝子稍等片刻，资源正在路上</t>
        </is>
      </c>
      <c r="D178" t="inlineStr">
        <is>
          <t>是</t>
        </is>
      </c>
      <c r="E178" t="inlineStr">
        <is>
          <t>✅ 1元获取大学物理期末考试知识点总结习题题库复习资料PDF电子版
✅ 电子版PDF，下单秒发，无需询问
✅ 助力大学物理期末复习，轻松应对考试</t>
        </is>
      </c>
      <c r="F178" s="2" t="str">
        <f>=HYPERLINK("https://s.coze.cn/t/Ml-FjUnTXbM/", "https://s.coze.cn/t/Ml-FjUnTXbM/")</f>
        <v>https://s.coze.cn/t/Ml-FjUnTXbM/</v>
      </c>
      <c r="G178"/>
      <c r="H178" s="2" t="str">
        <f>=HYPERLINK("https://www.goofish.com/item?spm=a21ybx.search.searchFeedList.3.8a9c7781EUE2gV&amp;id=907477920426&amp;categoryId=202036301", "https://www.goofish.com/item?spm=a21ybx.search.searchFeedList.3.8a9c7781EUE2gV&amp;id=907477920426&amp;categoryId=202036301")</f>
        <v>https://www.goofish.com/item?spm=a21ybx.search.searchFeedList.3.8a9c7781EUE2gV&amp;id=907477920426&amp;categoryId=202036301</v>
      </c>
      <c r="I178">
        <v>907477920426</v>
      </c>
      <c r="J178"/>
      <c r="K178"/>
      <c r="L178"/>
    </row>
    <row r="179" ht="25.5" customHeight="1">
      <c r="A179" t="inlineStr">
        <is>
          <t>粉笔双VIP1个月省14元5大权益</t>
        </is>
      </c>
      <c r="B179">
        <v>245</v>
      </c>
      <c r="C179" t="inlineStr">
        <is>
          <t>宝子稍等片刻，资源正在路上</t>
        </is>
      </c>
      <c r="D179" t="inlineStr">
        <is>
          <t>是</t>
        </is>
      </c>
      <c r="E179" t="inlineStr">
        <is>
          <t>✅申论批改+视频解析+规范词积累+试卷分析+专属模考5大权益全包
✅公考省考冲刺提分神器，手机电脑双端可用
✅专属账号充值，安全有保障
✅充值前请核对账号信息，充错责任自负
✅虚拟商品充值成功后不支持退款
✅使用说明及权益以官方介绍为准
有需要直接拍，细节可私聊</t>
        </is>
      </c>
      <c r="F179" s="2" t="str">
        <f>=HYPERLINK("https://s.coze.cn/t/f8H-DKHAR5w/", "https://s.coze.cn/t/f8H-DKHAR5w/")</f>
        <v>https://s.coze.cn/t/f8H-DKHAR5w/</v>
      </c>
      <c r="G179"/>
      <c r="H179" s="2" t="str">
        <f>=HYPERLINK("https://www.goofish.com/item?spm=a21ybx.search.searchFeedList.17.678761adX8C0mh&amp;id=1004515781706&amp;categoryId=201419202", "https://www.goofish.com/item?spm=a21ybx.search.searchFeedList.17.678761adX8C0mh&amp;id=1004515781706&amp;categoryId=201419202")</f>
        <v>https://www.goofish.com/item?spm=a21ybx.search.searchFeedList.17.678761adX8C0mh&amp;id=1004515781706&amp;categoryId=201419202</v>
      </c>
      <c r="I179">
        <v>1004515781706</v>
      </c>
      <c r="J179"/>
      <c r="K179"/>
      <c r="L179"/>
    </row>
    <row r="180" ht="25.5" customHeight="1">
      <c r="A180" t="inlineStr">
        <is>
          <t>3300组AI提示词教程包立省14.9元</t>
        </is>
      </c>
      <c r="B180">
        <v>246</v>
      </c>
      <c r="C180" t="inlineStr">
        <is>
          <t>【超级会员V1】通过百度网盘分享的文件：【Nano-ba…
链接:https://pan.baidu.com/s/1rCnYpAtZwNAF6I-WkfCL-g 
提取码:3w3d
复制这段内容打开「百度网盘APP 即可获取」
【超级会员V1】通过百度网盘分享的文件：【即梦AI】20…
链接:https://pan.baidu.com/s/1DTtt7COFbxS25r4upJzntw 
提取码:4362
复制这段内容打开「百度网盘APP 即可获取」</t>
        </is>
      </c>
      <c r="D180" t="inlineStr">
        <is>
          <t>是</t>
        </is>
      </c>
      <c r="E180" t="inlineStr">
        <is>
          <t>✅Nanobanana2200组+既梦AI1100组共3300组提示词
✅Studio手办+Gemini+Flash教程全覆盖
✅电商p图AI提示词一次到手
✅24小时网盘自动发货秒到账
✅不提供其他服务，请自行研究
✅虚拟资料售出不退款
✅购买即视为同意以上条款</t>
        </is>
      </c>
      <c r="F180" s="2" t="str">
        <f>=HYPERLINK("https://img.alicdn.com/bao/uploaded/i3/3989841414/O1CN01A5KoD11MJf9EXnPe1_!!4611686018427381254-0-xy_item.jpg_790x10000Q90.jpg_.webp", "https://img.alicdn.com/bao/uploaded/i3/3989841414/O1CN01A5KoD11MJf9EXnPe1_!!4611686018427381254-0-xy_item.jpg_790x10000Q90.jpg_.webp")</f>
        <v>https://img.alicdn.com/bao/uploaded/i3/3989841414/O1CN01A5KoD11MJf9EXnPe1_!!4611686018427381254-0-xy_item.jpg_790x10000Q90.jpg_.webp</v>
      </c>
      <c r="G180"/>
      <c r="H180" s="2" t="str">
        <f>=HYPERLINK("https://www.goofish.com/item?spm=a21ybx.search.searchFeedList.8.678761adX8C0mh&amp;id=1004070052849&amp;categoryId=201454708", "https://www.goofish.com/item?spm=a21ybx.search.searchFeedList.8.678761adX8C0mh&amp;id=1004070052849&amp;categoryId=201454708")</f>
        <v>https://www.goofish.com/item?spm=a21ybx.search.searchFeedList.8.678761adX8C0mh&amp;id=1004070052849&amp;categoryId=201454708</v>
      </c>
      <c r="I180">
        <v>1004070052849</v>
      </c>
      <c r="J180"/>
      <c r="K180"/>
      <c r="L180"/>
    </row>
    <row r="181" ht="25.5" customHeight="1">
      <c r="A181" t="inlineStr">
        <is>
          <t>5000+AI美女提示词一键生成视频</t>
        </is>
      </c>
      <c r="B181">
        <v>247</v>
      </c>
      <c r="C181" t="inlineStr">
        <is>
          <t>宝子稍等片刻，资源正在路上</t>
        </is>
      </c>
      <c r="D181" t="inlineStr">
        <is>
          <t>是</t>
        </is>
      </c>
      <c r="E181" t="inlineStr">
        <is>
          <t>✅2025最新5000+AI美女提示词汇总
✅操作简单一键生成美女视频
✅亲测推荐效果超赞
✅虚拟资料拍下不退不换
✅介意勿拍直接拍即可</t>
        </is>
      </c>
      <c r="F181" s="2" t="str">
        <f>=HYPERLINK("https://s.coze.cn/t/gMz-NVbLg8o/", "https://s.coze.cn/t/gMz-NVbLg8o/")</f>
        <v>https://s.coze.cn/t/gMz-NVbLg8o/</v>
      </c>
      <c r="G181"/>
      <c r="H181" s="2" t="str">
        <f>=HYPERLINK("https://www.goofish.com/item?spm=a21ybx.search.searchFeedList.5.678761adX8C0mh&amp;id=993939430588&amp;categoryId=201454708", "https://www.goofish.com/item?spm=a21ybx.search.searchFeedList.5.678761adX8C0mh&amp;id=993939430588&amp;categoryId=201454708")</f>
        <v>https://www.goofish.com/item?spm=a21ybx.search.searchFeedList.5.678761adX8C0mh&amp;id=993939430588&amp;categoryId=201454708</v>
      </c>
      <c r="I181">
        <v>993939430588</v>
      </c>
      <c r="J181"/>
      <c r="K181"/>
      <c r="L181"/>
    </row>
    <row r="182" ht="25.5" customHeight="1">
      <c r="A182" t="inlineStr">
        <is>
          <t>16000+即梦AI提示词手册实战教程</t>
        </is>
      </c>
      <c r="B182">
        <v>248</v>
      </c>
      <c r="C182" t="inlineStr">
        <is>
          <t>宝子稍等片刻，资源正在路上</t>
        </is>
      </c>
      <c r="D182" t="inlineStr">
        <is>
          <t>是</t>
        </is>
      </c>
      <c r="E182" t="inlineStr">
        <is>
          <t>✅16000+指令涵盖理论+实战全流程
✅AI生成图片编辑海报设计电商影视艺术全场景
✅AI字体美女帅哥城市创意节日海报自媒体绘画产品包装美食出图全覆盖
✅电子资料拍下自动发货秒到账
✅虚拟资料发出后不退不换</t>
        </is>
      </c>
      <c r="F182" s="2" t="str">
        <f>=HYPERLINK("https://s.coze.cn/t/xHm-QK7w8eM/", "https://s.coze.cn/t/xHm-QK7w8eM/")</f>
        <v>https://s.coze.cn/t/xHm-QK7w8eM/</v>
      </c>
      <c r="G182"/>
      <c r="H182" s="2" t="str">
        <f>=HYPERLINK("https://www.goofish.com/item?spm=a21ybx.search.searchFeedList.15.678761adX8C0mh&amp;id=1000891273568&amp;categoryId=202154631", "https://www.goofish.com/item?spm=a21ybx.search.searchFeedList.15.678761adX8C0mh&amp;id=1000891273568&amp;categoryId=202154631")</f>
        <v>https://www.goofish.com/item?spm=a21ybx.search.searchFeedList.15.678761adX8C0mh&amp;id=1000891273568&amp;categoryId=202154631</v>
      </c>
      <c r="I182">
        <v>1000891273568</v>
      </c>
      <c r="J182"/>
      <c r="K182"/>
      <c r="L182"/>
    </row>
    <row r="183" ht="25.5" customHeight="1">
      <c r="A183" t="inlineStr">
        <is>
          <t>2100+提示词模版170行业秒发货</t>
        </is>
      </c>
      <c r="B183">
        <v>249</v>
      </c>
      <c r="C183" t="inlineStr">
        <is>
          <t>我用夸克网盘给你分享了「F35-AI-提示词」，点击链接或复制整段内容，打开「夸克APP」即可获取。
伏脂尨犭嘀啵好洞座
/~b9ab3A6vvW~:/
链接：https://pan.quark.cn/s/b2d42f95df0c</t>
        </is>
      </c>
      <c r="D183" t="inlineStr">
        <is>
          <t>是</t>
        </is>
      </c>
      <c r="E183" t="inlineStr">
        <is>
          <t>✅2100+提示词模版170+细分行业全覆盖
✅小白套用秒变AI大神一键解锁文案绘画视频
✅适配DeepSeek豆包kimi腾讯元宝等主流AI
✅夸克网盘自动发货秒到账
✅电子资料发货后不退不换</t>
        </is>
      </c>
      <c r="F183" s="2" t="str">
        <f>=HYPERLINK("https://img.alicdn.com/bao/uploaded/i3/O1CN01soJsW41QnD9voxc9n_!!4611686018427382612-53-fleamarket.heic_790x10000Q90.jpg_.webp", "https://img.alicdn.com/bao/uploaded/i3/O1CN01soJsW41QnD9voxc9n_!!4611686018427382612-53-fleamarket.heic_790x10000Q90.jpg_.webp")</f>
        <v>https://img.alicdn.com/bao/uploaded/i3/O1CN01soJsW41QnD9voxc9n_!!4611686018427382612-53-fleamarket.heic_790x10000Q90.jpg_.webp</v>
      </c>
      <c r="G183"/>
      <c r="H183" s="2" t="str">
        <f>=HYPERLINK("https://www.goofish.com/item?spm=a21ybx.search.searchFeedList.11.678761adX8C0mh&amp;id=996855181720&amp;categoryId=202036301", "https://www.goofish.com/item?spm=a21ybx.search.searchFeedList.11.678761adX8C0mh&amp;id=996855181720&amp;categoryId=202036301")</f>
        <v>https://www.goofish.com/item?spm=a21ybx.search.searchFeedList.11.678761adX8C0mh&amp;id=996855181720&amp;categoryId=202036301</v>
      </c>
      <c r="I183">
        <v>996855181720</v>
      </c>
      <c r="J183"/>
      <c r="K183"/>
      <c r="L183"/>
    </row>
    <row r="184" ht="25.5" customHeight="1">
      <c r="A184" t="inlineStr">
        <is>
          <t>2025即梦AI运镜教程零基础入门</t>
        </is>
      </c>
      <c r="B184">
        <v>250</v>
      </c>
      <c r="C184" t="inlineStr">
        <is>
          <t>宝子稍等片刻，资源正在路上</t>
        </is>
      </c>
      <c r="D184" t="inlineStr">
        <is>
          <t>是</t>
        </is>
      </c>
      <c r="E184" t="inlineStr">
        <is>
          <t>✅动态镜头环绕镜头推进上帝视角全掌握
✅从入门到精通轻松学会AI视频制作
✅零基础快速上手实操课程
✅直接拍自动发货秒到账</t>
        </is>
      </c>
      <c r="F184" s="2" t="str">
        <f>=HYPERLINK("https://img.alicdn.com/bao/uploaded/i2/2790750209/O1CN01NhVEO41DPlsxRpFsZ_!!4611686018427385857-53-xy_item.heic_790x10000Q90.jpg_.webp", "https://img.alicdn.com/bao/uploaded/i2/2790750209/O1CN01NhVEO41DPlsxRpFsZ_!!4611686018427385857-53-xy_item.heic_790x10000Q90.jpg_.webp")</f>
        <v>https://img.alicdn.com/bao/uploaded/i2/2790750209/O1CN01NhVEO41DPlsxRpFsZ_!!4611686018427385857-53-xy_item.heic_790x10000Q90.jpg_.webp</v>
      </c>
      <c r="G184"/>
      <c r="H184" s="2" t="str">
        <f>=HYPERLINK("https://www.goofish.com/item?spm=a21ybx.search.searchFeedList.2.678761adrDPc6J&amp;id=1001266640125&amp;categoryId=201459411", "https://www.goofish.com/item?spm=a21ybx.search.searchFeedList.2.678761adrDPc6J&amp;id=1001266640125&amp;categoryId=201459411")</f>
        <v>https://www.goofish.com/item?spm=a21ybx.search.searchFeedList.2.678761adrDPc6J&amp;id=1001266640125&amp;categoryId=201459411</v>
      </c>
      <c r="I184">
        <v>1001266640125</v>
      </c>
      <c r="J184"/>
      <c r="K184"/>
      <c r="L184"/>
    </row>
    <row r="185" ht="25.5" customHeight="1">
      <c r="A185" t="inlineStr">
        <is>
          <t>NanoBanana提示词合集几十种场景</t>
        </is>
      </c>
      <c r="B185">
        <v>251</v>
      </c>
      <c r="C185" t="inlineStr">
        <is>
          <t>【超级会员V2】通过百度网盘分享的文件：Nano Ban…
链接:https://pan.baidu.com/s/1V6DJQkOrHScE6UEg_fG3zA 
提取码:7f33
复制这段内容打开「百度网盘APP 即可获取」</t>
        </is>
      </c>
      <c r="D185" t="inlineStr">
        <is>
          <t>是</t>
        </is>
      </c>
      <c r="E185" t="inlineStr">
        <is>
          <t>✅AI生图手办AR修复穿搭家居角色动漫全场景适用
✅照片修复视角转换直接套用秒出好图
✅电子资料24小时内自动发货到网盘
✅手机电脑都能下载随时可用
✅虚拟商品售出不退不换</t>
        </is>
      </c>
      <c r="F185" s="2" t="str">
        <f>=HYPERLINK("https://img.alicdn.com/bao/uploaded/i3/O1CN01VyhL6a1G3jfykA2NY_!!4611686018427387095-0-fleamarket.jpg_790x10000Q90.jpg_.webp", "https://img.alicdn.com/bao/uploaded/i3/O1CN01VyhL6a1G3jfykA2NY_!!4611686018427387095-0-fleamarket.jpg_790x10000Q90.jpg_.webp")</f>
        <v>https://img.alicdn.com/bao/uploaded/i3/O1CN01VyhL6a1G3jfykA2NY_!!4611686018427387095-0-fleamarket.jpg_790x10000Q90.jpg_.webp</v>
      </c>
      <c r="G185"/>
      <c r="H185" s="2" t="str">
        <f>=HYPERLINK("https://www.goofish.com/item?spm=a21ybx.search.searchFeedList.29.678761adX8C0mh&amp;id=996998466572&amp;categoryId=201459411", "https://www.goofish.com/item?spm=a21ybx.search.searchFeedList.29.678761adX8C0mh&amp;id=996998466572&amp;categoryId=201459411")</f>
        <v>https://www.goofish.com/item?spm=a21ybx.search.searchFeedList.29.678761adX8C0mh&amp;id=996998466572&amp;categoryId=201459411</v>
      </c>
      <c r="I185">
        <v>996998466572</v>
      </c>
      <c r="J185"/>
      <c r="K185"/>
      <c r="L185"/>
    </row>
    <row r="186" ht="25.5" customHeight="1">
      <c r="A186" t="inlineStr">
        <is>
          <t>Nano Banana即梦AI电商换装提示词</t>
        </is>
      </c>
      <c r="B186">
        <v>252</v>
      </c>
      <c r="C186" t="inlineStr">
        <is>
          <t>宝子稍等片刻，资源正在路上</t>
        </is>
      </c>
      <c r="D186" t="inlineStr">
        <is>
          <t>是</t>
        </is>
      </c>
      <c r="E186" t="inlineStr">
        <is>
          <t>✅人工整理内容超全复制即用
✅虚拟换装AI电商提示词全覆盖
✅24小时自动发货飞书网盘双渠道
✅虚拟资料售出不退不换
✅内容丰富主图无法展示完全</t>
        </is>
      </c>
      <c r="F186" s="2" t="str">
        <f>=HYPERLINK("https://img.alicdn.com/bao/uploaded/i2/3989841414/O1CN017T13IN1MJf9XVR4m8_!!4611686018427381254-0-xy_item.jpg_790x10000Q90.jpg_.webp", "https://img.alicdn.com/bao/uploaded/i2/3989841414/O1CN017T13IN1MJf9XVR4m8_!!4611686018427381254-0-xy_item.jpg_790x10000Q90.jpg_.webp")</f>
        <v>https://img.alicdn.com/bao/uploaded/i2/3989841414/O1CN017T13IN1MJf9XVR4m8_!!4611686018427381254-0-xy_item.jpg_790x10000Q90.jpg_.webp</v>
      </c>
      <c r="G186"/>
      <c r="H186" s="2" t="str">
        <f>=HYPERLINK("https://www.goofish.com/item?spm=a21ybx.search.searchFeedList.29.678761adX8C0mh&amp;id=993312345477&amp;categoryId=201454708", "https://www.goofish.com/item?spm=a21ybx.search.searchFeedList.29.678761adX8C0mh&amp;id=993312345477&amp;categoryId=201454708")</f>
        <v>https://www.goofish.com/item?spm=a21ybx.search.searchFeedList.29.678761adX8C0mh&amp;id=993312345477&amp;categoryId=201454708</v>
      </c>
      <c r="I186">
        <v>993312345477</v>
      </c>
      <c r="J186"/>
      <c r="K186"/>
      <c r="L186"/>
    </row>
    <row r="187" ht="25.5" customHeight="1">
      <c r="A187" t="inlineStr">
        <is>
          <t>高阶提示词影视文案无AI痕迹</t>
        </is>
      </c>
      <c r="B187">
        <v>253</v>
      </c>
      <c r="C187" t="inlineStr">
        <is>
          <t>宝子稍等片刻，资源正在路上</t>
        </is>
      </c>
      <c r="D187" t="inlineStr">
        <is>
          <t>是</t>
        </is>
      </c>
      <c r="E187" t="inlineStr">
        <is>
          <t>✅四大实战模块：通用影视高级洗稿+原创爆款改编+正规解说洗稿+纪录片专项洗稿
✅原创度高逻辑严谨真人手写感
✅24h内网盘自动发货
✅虚拟商品发货后不退不换
✅资料源于网络整理仅供学习交流</t>
        </is>
      </c>
      <c r="F187" s="2" t="str">
        <f>=HYPERLINK("https://img.alicdn.com/bao/uploaded/i4/O1CN01ow927F1yNHfz6ijot_!!4611686018427383270-0-fleamarket.jpg_790x10000Q90.jpg_.webp", "https://img.alicdn.com/bao/uploaded/i4/O1CN01ow927F1yNHfz6ijot_!!4611686018427383270-0-fleamarket.jpg_790x10000Q90.jpg_.webp")</f>
        <v>https://img.alicdn.com/bao/uploaded/i4/O1CN01ow927F1yNHfz6ijot_!!4611686018427383270-0-fleamarket.jpg_790x10000Q90.jpg_.webp</v>
      </c>
      <c r="G187"/>
      <c r="H187" s="2" t="str">
        <f>=HYPERLINK("https://www.goofish.com/item?spm=a21ybx.search.searchFeedList.12.678761adX8C0mh&amp;id=998734162625&amp;categoryId=202152829", "https://www.goofish.com/item?spm=a21ybx.search.searchFeedList.12.678761adX8C0mh&amp;id=998734162625&amp;categoryId=202152829")</f>
        <v>https://www.goofish.com/item?spm=a21ybx.search.searchFeedList.12.678761adX8C0mh&amp;id=998734162625&amp;categoryId=202152829</v>
      </c>
      <c r="I187">
        <v>998734162625</v>
      </c>
      <c r="J187"/>
      <c r="K187"/>
      <c r="L187"/>
    </row>
    <row r="188" ht="25.5" customHeight="1">
      <c r="A188" t="inlineStr">
        <is>
          <t>薛辉8大智能体提示词爆款选题神器</t>
        </is>
      </c>
      <c r="B188">
        <v>254</v>
      </c>
      <c r="C188" t="inlineStr">
        <is>
          <t>宝子稍等片刻，资源正在路上</t>
        </is>
      </c>
      <c r="D188" t="inlineStr">
        <is>
          <t>是</t>
        </is>
      </c>
      <c r="E188" t="inlineStr">
        <is>
          <t>✅飞书多维表格+8大智能体输入行业3秒生成爆款选题
✅头牌选题最差选题怀旧选题猎奇选题荷尔蒙选题成本选题圈人群选题8大方向全覆盖
✅小红书抖音运营人自媒体博主副业上班族文案困难户必备
✅网盘自动发货秒到账
✅虚拟产品发货后不支持退款介意勿拍</t>
        </is>
      </c>
      <c r="F188" s="2" t="str">
        <f>=HYPERLINK("https://img.alicdn.com/bao/uploaded/i2/O1CN01F4Fa8k1v5vp4GGSkY_!!4611686018427385162-0-fleamarket.jpg_790x10000Q90.jpg_.webp", "https://img.alicdn.com/bao/uploaded/i2/O1CN01F4Fa8k1v5vp4GGSkY_!!4611686018427385162-0-fleamarket.jpg_790x10000Q90.jpg_.webp")</f>
        <v>https://img.alicdn.com/bao/uploaded/i2/O1CN01F4Fa8k1v5vp4GGSkY_!!4611686018427385162-0-fleamarket.jpg_790x10000Q90.jpg_.webp</v>
      </c>
      <c r="G188"/>
      <c r="H188" s="2" t="str">
        <f>=HYPERLINK("https://www.goofish.com/item?spm=a21ybx.search.searchFeedList.7.678761adX8C0mh&amp;id=998250630523&amp;categoryId=202036301", "https://www.goofish.com/item?spm=a21ybx.search.searchFeedList.7.678761adX8C0mh&amp;id=998250630523&amp;categoryId=202036301")</f>
        <v>https://www.goofish.com/item?spm=a21ybx.search.searchFeedList.7.678761adX8C0mh&amp;id=998250630523&amp;categoryId=202036301</v>
      </c>
      <c r="I188">
        <v>998250630523</v>
      </c>
      <c r="J188"/>
      <c r="K188"/>
      <c r="L188"/>
    </row>
    <row r="189" ht="25.5" customHeight="1">
      <c r="A189" t="inlineStr">
        <is>
          <t>70种美女生成提示词原创涨粉神器</t>
        </is>
      </c>
      <c r="B189">
        <v>255</v>
      </c>
      <c r="C189" t="inlineStr">
        <is>
          <t>宝子稍等片刻，资源正在路上</t>
        </is>
      </c>
      <c r="D189" t="inlineStr">
        <is>
          <t>是</t>
        </is>
      </c>
      <c r="E189" t="inlineStr">
        <is>
          <t>✅2025最新即梦可灵美女生成提示词
✅70多种提示词涵盖8K办公室内户外全场景
✅豆包+即梦+可灵三平台适配单作品10W+
✅7天涨粉5000流量密码原创博主必备
✅只出售提示词资料不教学下单秒发
✅虚拟资料一经出售概不支持退款</t>
        </is>
      </c>
      <c r="F189" s="2" t="str">
        <f>=HYPERLINK("https://img.alicdn.com/bao/uploaded/i1/O1CN01nY2lQl2JsWb9fphjL_!!4611686018427385621-0-fleamarket.jpg_790x10000Q90.jpg_.webp", "https://img.alicdn.com/bao/uploaded/i1/O1CN01nY2lQl2JsWb9fphjL_!!4611686018427385621-0-fleamarket.jpg_790x10000Q90.jpg_.webp")</f>
        <v>https://img.alicdn.com/bao/uploaded/i1/O1CN01nY2lQl2JsWb9fphjL_!!4611686018427385621-0-fleamarket.jpg_790x10000Q90.jpg_.webp</v>
      </c>
      <c r="G189"/>
      <c r="H189" s="2" t="str">
        <f>=HYPERLINK("https://www.goofish.com/item?spm=a21ybx.search.searchFeedList.19.678761adX8C0mh&amp;id=965666812610&amp;categoryId=202036301", "https://www.goofish.com/item?spm=a21ybx.search.searchFeedList.19.678761adX8C0mh&amp;id=965666812610&amp;categoryId=202036301")</f>
        <v>https://www.goofish.com/item?spm=a21ybx.search.searchFeedList.19.678761adX8C0mh&amp;id=965666812610&amp;categoryId=202036301</v>
      </c>
      <c r="I189">
        <v>965666812610</v>
      </c>
      <c r="J189"/>
      <c r="K189"/>
      <c r="L189"/>
    </row>
    <row r="190" ht="25.5" customHeight="1">
      <c r="A190" t="inlineStr">
        <is>
          <t>2100+提示词模版170行业自动发货</t>
        </is>
      </c>
      <c r="B190">
        <v>256</v>
      </c>
      <c r="C190" t="inlineStr">
        <is>
          <t>宝子稍等片刻，资源正在路上</t>
        </is>
      </c>
      <c r="D190" t="inlineStr">
        <is>
          <t>是</t>
        </is>
      </c>
      <c r="E190" t="inlineStr">
        <is>
          <t>✅2100+提示词模版170+细分行业全覆盖
✅小白也能秒变AI大神文案查资料必备
✅专为新手设计简单易上手
✅夸克网盘自动发货秒到账
✅电子资料售出不退不换介意勿拍</t>
        </is>
      </c>
      <c r="F190" s="2" t="str">
        <f>=HYPERLINK("https://img.alicdn.com/bao/uploaded/i4/O1CN01EsncEF20zsH52PdlD_!!4611686018427387257-0-fleamarket.jpg_790x10000Q90.jpg_.webp", "https://img.alicdn.com/bao/uploaded/i4/O1CN01EsncEF20zsH52PdlD_!!4611686018427387257-0-fleamarket.jpg_790x10000Q90.jpg_.webp")</f>
        <v>https://img.alicdn.com/bao/uploaded/i4/O1CN01EsncEF20zsH52PdlD_!!4611686018427387257-0-fleamarket.jpg_790x10000Q90.jpg_.webp</v>
      </c>
      <c r="G190"/>
      <c r="H190" s="2" t="str">
        <f>=HYPERLINK("https://www.goofish.com/item?spm=a21ybx.search.searchFeedList.6.678761adX8C0mh&amp;id=993089025554&amp;categoryId=202036301", "https://www.goofish.com/item?spm=a21ybx.search.searchFeedList.6.678761adX8C0mh&amp;id=993089025554&amp;categoryId=202036301")</f>
        <v>https://www.goofish.com/item?spm=a21ybx.search.searchFeedList.6.678761adX8C0mh&amp;id=993089025554&amp;categoryId=202036301</v>
      </c>
      <c r="I190">
        <v>993089025554</v>
      </c>
      <c r="J190"/>
      <c r="K190"/>
      <c r="L190"/>
    </row>
    <row r="191" ht="25.5" customHeight="1">
      <c r="A191" t="inlineStr">
        <is>
          <t>5000+分镜提示词合集影视创作神器</t>
        </is>
      </c>
      <c r="B191">
        <v>257</v>
      </c>
      <c r="C191" t="inlineStr">
        <is>
          <t>宝子稍等片刻，资源正在路上</t>
        </is>
      </c>
      <c r="D191" t="inlineStr">
        <is>
          <t>是</t>
        </is>
      </c>
      <c r="E191" t="inlineStr">
        <is>
          <t>✅5000+分镜提示词覆盖动作人物场景情感科幻
✅武侠打斗都市男女未来宇宙复古年代全包含
✅专业分镜逻辑新手也能轻松掌握
✅适配短视频影视广告漫画AI绘图多平台
✅赠30个热门分镜模板效率提升10倍
✅虚拟商品拍下不退不换
✅网盘链接永不失效</t>
        </is>
      </c>
      <c r="F191" s="2" t="str">
        <f>=HYPERLINK("https://img.alicdn.com/bao/uploaded/i4/O1CN01ebvQ5f1Tbi3yzWUBg_!!4611686018427382577-0-fleamarket.jpg_790x10000Q90.jpg_.webp", "https://img.alicdn.com/bao/uploaded/i4/O1CN01ebvQ5f1Tbi3yzWUBg_!!4611686018427382577-0-fleamarket.jpg_790x10000Q90.jpg_.webp")</f>
        <v>https://img.alicdn.com/bao/uploaded/i4/O1CN01ebvQ5f1Tbi3yzWUBg_!!4611686018427382577-0-fleamarket.jpg_790x10000Q90.jpg_.webp</v>
      </c>
      <c r="G191"/>
      <c r="H191" s="2" t="str">
        <f>=HYPERLINK("https://www.goofish.com/item?spm=a21ybx.search.searchFeedList.7.678761adX8C0mh&amp;id=1001936572801&amp;categoryId=202036301", "https://www.goofish.com/item?spm=a21ybx.search.searchFeedList.7.678761adX8C0mh&amp;id=1001936572801&amp;categoryId=202036301")</f>
        <v>https://www.goofish.com/item?spm=a21ybx.search.searchFeedList.7.678761adX8C0mh&amp;id=1001936572801&amp;categoryId=202036301</v>
      </c>
      <c r="I191">
        <v>1001936572801</v>
      </c>
      <c r="J191"/>
      <c r="K191"/>
      <c r="L191"/>
    </row>
    <row r="192" ht="25.5" customHeight="1">
      <c r="A192" t="inlineStr">
        <is>
          <t>AI提示词生成工具1.3版专业摄影</t>
        </is>
      </c>
      <c r="B192">
        <v>258</v>
      </c>
      <c r="C192" t="inlineStr">
        <is>
          <t>宝子稍等片刻，资源正在路上</t>
        </is>
      </c>
      <c r="D192" t="inlineStr">
        <is>
          <t>是</t>
        </is>
      </c>
      <c r="E192" t="inlineStr">
        <is>
          <t>✅专业AI提示词生成器源文件支持断网使用
✅自适应电脑手机端多浏览器访问
✅提供画面比例光源构图色彩镜头等参数
✅一键组合生成专业提示词豆包即梦可灵通用
✅百度网盘或夸克网盘下载
✅虚拟商品售出不退请按需下单</t>
        </is>
      </c>
      <c r="F192" s="2" t="str">
        <f>=HYPERLINK("https://video.goofish.com/5f5c17f07688b327/95f3232974846237/20251114_745c256ef8d8af44_542364599747_358075545875155_published_mp4_264_fs_0_xianyu_taobao.mp4?auth_key=1768726515-0-0-7455405bfd4ae41e3f2152fdc9b3c794&amp;biz=xianyu-6af919ac9c3d7577&amp;t=213e039217686665159118854e133f&amp;w=2004&amp;h=2004&amp;e=hd&amp;b=xianyu&amp;p=xianyu_app_xianyu&amp;tr=mp4-264-fs-0-xianyu&amp;iss=false&amp;v=taobao_v2", "https://video.goofish.com/5f5c17f07688b327/95f3232974846237/20251114_745c256ef8d8af44_542364599747_358075545875155_published_mp4_264_fs_0_xianyu_taobao.mp4?auth_key=1768726515-0-0-7455405bfd4ae41e3f2152fdc9b3c794&amp;biz=xianyu-6af919ac9c3d7577&amp;t=213e039217686665159118854e133f&amp;w=2004&amp;h=2004&amp;e=hd&amp;b=xianyu&amp;p=xianyu_app_xianyu&amp;tr=mp4-264-fs-0-xianyu&amp;iss=false&amp;v=taobao_v2")</f>
        <v>https://video.goofish.com/5f5c17f07688b327/95f3232974846237/20251114_745c256ef8d8af44_542364599747_358075545875155_published_mp4_264_fs_0_xianyu_taobao.mp4?auth_key=1768726515-0-0-7455405bfd4ae41e3f2152fdc9b3c794&amp;biz=xianyu-6af919ac9c3d7577&amp;t=213e039217686665159118854e133f&amp;w=2004&amp;h=2004&amp;e=hd&amp;b=xianyu&amp;p=xianyu_app_xianyu&amp;tr=mp4-264-fs-0-xianyu&amp;iss=false&amp;v=taobao_v2</v>
      </c>
      <c r="G192"/>
      <c r="H192" s="2" t="str">
        <f>=HYPERLINK("https://www.goofish.com/item?spm=a21ybx.search.searchFeedList.11.678761adX8C0mh&amp;id=968202757977&amp;categoryId=201454708", "https://www.goofish.com/item?spm=a21ybx.search.searchFeedList.11.678761adX8C0mh&amp;id=968202757977&amp;categoryId=201454708")</f>
        <v>https://www.goofish.com/item?spm=a21ybx.search.searchFeedList.11.678761adX8C0mh&amp;id=968202757977&amp;categoryId=201454708</v>
      </c>
      <c r="I192">
        <v>968202757977</v>
      </c>
      <c r="J192"/>
      <c r="K192"/>
      <c r="L192"/>
    </row>
    <row r="193" ht="25.5" customHeight="1">
      <c r="A193" t="inlineStr">
        <is>
          <t>360组即梦AI电商图提示词自动发货</t>
        </is>
      </c>
      <c r="B193">
        <v>259</v>
      </c>
      <c r="C193" t="inlineStr">
        <is>
          <t>宝子稍等片刻，资源正在路上</t>
        </is>
      </c>
      <c r="D193" t="inlineStr">
        <is>
          <t>是</t>
        </is>
      </c>
      <c r="E193" t="inlineStr">
        <is>
          <t>✅360组专业电商图片提示词全新整理
✅含电商图提示词合集+图片反推工具
✅24小时网盘自动发货秒到账
✅手机电脑都能用方便快捷
✅虚拟商品拍下不退不换
✅有问题随时私聊</t>
        </is>
      </c>
      <c r="F193" s="2" t="str">
        <f>=HYPERLINK("https://img.alicdn.com/bao/uploaded/i3/1925580977/O1CN015cPBlg1J5W3mzoW4Z_!!4611686018427381937-53-xy_item.heic_790x10000Q90.jpg_.webp", "https://img.alicdn.com/bao/uploaded/i3/1925580977/O1CN015cPBlg1J5W3mzoW4Z_!!4611686018427381937-53-xy_item.heic_790x10000Q90.jpg_.webp")</f>
        <v>https://img.alicdn.com/bao/uploaded/i3/1925580977/O1CN015cPBlg1J5W3mzoW4Z_!!4611686018427381937-53-xy_item.heic_790x10000Q90.jpg_.webp</v>
      </c>
      <c r="G193"/>
      <c r="H193" s="2" t="str">
        <f>=HYPERLINK("https://www.goofish.com/item?spm=a21ybx.search.searchFeedList.22.678761adX8C0mh&amp;id=993594041074&amp;categoryId=201459411", "https://www.goofish.com/item?spm=a21ybx.search.searchFeedList.22.678761adX8C0mh&amp;id=993594041074&amp;categoryId=201459411")</f>
        <v>https://www.goofish.com/item?spm=a21ybx.search.searchFeedList.22.678761adX8C0mh&amp;id=993594041074&amp;categoryId=201459411</v>
      </c>
      <c r="I193">
        <v>993594041074</v>
      </c>
      <c r="J193"/>
      <c r="K193"/>
      <c r="L193"/>
    </row>
    <row r="194" ht="25.5" customHeight="1">
      <c r="A194" t="inlineStr">
        <is>
          <t>10000+即梦AI生图提示词自动发货</t>
        </is>
      </c>
      <c r="B194">
        <v>260</v>
      </c>
      <c r="C194" t="inlineStr">
        <is>
          <t>宝子稍等片刻，资源正在路上</t>
        </is>
      </c>
      <c r="D194" t="inlineStr">
        <is>
          <t>是</t>
        </is>
      </c>
      <c r="E194" t="inlineStr">
        <is>
          <t>✅10000+多种即梦AI生图提示词
✅适合各种AI生图类型场景全覆盖
✅24小时内自动发货秒到账
✅网盘发货快速便捷
✅电子素材售出不退换
✅感兴趣直接拍有问题私聊</t>
        </is>
      </c>
      <c r="F194" s="2" t="str">
        <f>=HYPERLINK("https://img.alicdn.com/bao/uploaded/i4/823430034/O1CN01exC0dm1C7cZYpQoGp_!!4611686018427382674-53-xy_item.heic_790x10000Q90.jpg_.webp", "https://img.alicdn.com/bao/uploaded/i4/823430034/O1CN01exC0dm1C7cZYpQoGp_!!4611686018427382674-53-xy_item.heic_790x10000Q90.jpg_.webp")</f>
        <v>https://img.alicdn.com/bao/uploaded/i4/823430034/O1CN01exC0dm1C7cZYpQoGp_!!4611686018427382674-53-xy_item.heic_790x10000Q90.jpg_.webp</v>
      </c>
      <c r="G194"/>
      <c r="H194" s="2" t="str">
        <f>=HYPERLINK("https://www.goofish.com/item?spm=a21ybx.search.searchFeedList.17.678761adX8C0mh&amp;id=996869693335&amp;categoryId=201459411", "https://www.goofish.com/item?spm=a21ybx.search.searchFeedList.17.678761adX8C0mh&amp;id=996869693335&amp;categoryId=201459411")</f>
        <v>https://www.goofish.com/item?spm=a21ybx.search.searchFeedList.17.678761adX8C0mh&amp;id=996869693335&amp;categoryId=201459411</v>
      </c>
      <c r="I194">
        <v>996869693335</v>
      </c>
      <c r="J194"/>
      <c r="K194"/>
      <c r="L194"/>
    </row>
    <row r="195" ht="25.5" customHeight="1">
      <c r="A195" t="inlineStr">
        <is>
          <t>Lyra提示词模板600万浏览爆款</t>
        </is>
      </c>
      <c r="B195">
        <v>261</v>
      </c>
      <c r="C195" t="inlineStr">
        <is>
          <t>https://www.kdocs.cn/l/ctp2lcDKvltD?f=301
[文件]lyra.docx
可复制链接到WPS Office中打开文档</t>
        </is>
      </c>
      <c r="D195" t="inlineStr">
        <is>
          <t>是</t>
        </is>
      </c>
      <c r="E195" t="inlineStr">
        <is>
          <t>✅600万浏览6万分享顶级提示词模板
✅四步框架剖析诊断开发交付结构化重塑
✅将模糊想法转化为精确高效AI指令
✅使用简单复制粘贴即可不用动脑
✅拍下自动发货赠基础使用教程
✅虚拟资料售出不退换</t>
        </is>
      </c>
      <c r="F195" s="2" t="str">
        <f>=HYPERLINK("https://img.alicdn.com/bao/uploaded/i3/O1CN01IvnmKe1xgERFX0pfF_!!4611686018427384936-0-fleamarket.jpg_790x10000Q90.jpg_.webp", "https://img.alicdn.com/bao/uploaded/i3/O1CN01IvnmKe1xgERFX0pfF_!!4611686018427384936-0-fleamarket.jpg_790x10000Q90.jpg_.webp")</f>
        <v>https://img.alicdn.com/bao/uploaded/i3/O1CN01IvnmKe1xgERFX0pfF_!!4611686018427384936-0-fleamarket.jpg_790x10000Q90.jpg_.webp</v>
      </c>
      <c r="G195"/>
      <c r="H195" s="2" t="str">
        <f>=HYPERLINK("https://www.goofish.com/item?spm=a21ybx.search.searchFeedList.9.678761adX8C0mh&amp;id=991404056148&amp;categoryId=202152829", "https://www.goofish.com/item?spm=a21ybx.search.searchFeedList.9.678761adX8C0mh&amp;id=991404056148&amp;categoryId=202152829")</f>
        <v>https://www.goofish.com/item?spm=a21ybx.search.searchFeedList.9.678761adX8C0mh&amp;id=991404056148&amp;categoryId=202152829</v>
      </c>
      <c r="I195">
        <v>991404056148</v>
      </c>
      <c r="J195"/>
      <c r="K195"/>
      <c r="L195"/>
    </row>
    <row r="196" ht="25.5" customHeight="1">
      <c r="A196" t="inlineStr">
        <is>
          <t>即梦可灵美女生成提示词持续更新</t>
        </is>
      </c>
      <c r="B196">
        <v>262</v>
      </c>
      <c r="C196" t="inlineStr">
        <is>
          <t>宝子稍等片刻，资源正在路上</t>
        </is>
      </c>
      <c r="D196" t="inlineStr">
        <is>
          <t>是</t>
        </is>
      </c>
      <c r="E196" t="inlineStr">
        <is>
          <t>✅即梦AI可灵AI美女提示词全覆盖
✅文生图图生视频美女跳舞视频提示词
✅大模型更新即时上传无需担心落后
✅24小时自动发货白天人工在线
✅虚拟资料售出不退换</t>
        </is>
      </c>
      <c r="F196" s="2" t="str">
        <f>=HYPERLINK("https://video.goofish.com/5f5c17f07688b327/703355cb92943696/20251015_20f1ce1e30815b2d_537739186567_342210833335707_published_mp4_264_fs_0_xianyu_taobao.mp4?auth_key=1768726536-0-0-1adf8d530c95f6ef6a0c965f1ea3d5d4&amp;biz=xianyu-21d8bd873d88237b&amp;t=213e039217686665364422202e133f&amp;w=720&amp;h=720&amp;e=hd&amp;b=xianyu&amp;p=xianyu_app_xianyu&amp;tr=mp4-264-fs-0-xianyu&amp;iss=false&amp;v=taobao_v2", "https://video.goofish.com/5f5c17f07688b327/703355cb92943696/20251015_20f1ce1e30815b2d_537739186567_342210833335707_published_mp4_264_fs_0_xianyu_taobao.mp4?auth_key=1768726536-0-0-1adf8d530c95f6ef6a0c965f1ea3d5d4&amp;biz=xianyu-21d8bd873d88237b&amp;t=213e039217686665364422202e133f&amp;w=720&amp;h=720&amp;e=hd&amp;b=xianyu&amp;p=xianyu_app_xianyu&amp;tr=mp4-264-fs-0-xianyu&amp;iss=false&amp;v=taobao_v2")</f>
        <v>https://video.goofish.com/5f5c17f07688b327/703355cb92943696/20251015_20f1ce1e30815b2d_537739186567_342210833335707_published_mp4_264_fs_0_xianyu_taobao.mp4?auth_key=1768726536-0-0-1adf8d530c95f6ef6a0c965f1ea3d5d4&amp;biz=xianyu-21d8bd873d88237b&amp;t=213e039217686665364422202e133f&amp;w=720&amp;h=720&amp;e=hd&amp;b=xianyu&amp;p=xianyu_app_xianyu&amp;tr=mp4-264-fs-0-xianyu&amp;iss=false&amp;v=taobao_v2</v>
      </c>
      <c r="G196"/>
      <c r="H196" s="2" t="str">
        <f>=HYPERLINK("https://www.goofish.com/item?spm=a21ybx.search.searchFeedList.18.678761adX8C0mh&amp;id=984818159396&amp;categoryId=201454708", "https://www.goofish.com/item?spm=a21ybx.search.searchFeedList.18.678761adX8C0mh&amp;id=984818159396&amp;categoryId=201454708")</f>
        <v>https://www.goofish.com/item?spm=a21ybx.search.searchFeedList.18.678761adX8C0mh&amp;id=984818159396&amp;categoryId=201454708</v>
      </c>
      <c r="I196">
        <v>984818159396</v>
      </c>
      <c r="J196"/>
      <c r="K196"/>
      <c r="L196"/>
    </row>
    <row r="197" ht="25.5" customHeight="1">
      <c r="A197" t="inlineStr">
        <is>
          <t>【秒发】100+AI美女生成提示词教程</t>
        </is>
      </c>
      <c r="B197">
        <v>263</v>
      </c>
      <c r="C197" t="inlineStr">
        <is>
          <t>宝子稍等片刻，资源正在路上</t>
        </is>
      </c>
      <c r="D197" t="inlineStr">
        <is>
          <t>是</t>
        </is>
      </c>
      <c r="E197" t="inlineStr">
        <is>
          <t>✅2025最新100+AI美女生成提示词
✅国产大模型适配文生视频图生图
✅高效方便快捷只需粘贴复制
✅原创内容轻松搞定
✅秒发自动发货</t>
        </is>
      </c>
      <c r="F197" s="2" t="str">
        <f>=HYPERLINK("https://img.alicdn.com/bao/uploaded/i2/O1CN016fvgm22GEGwD8BMKd_!!4611686018427387511-0-fleamarket.jpg_790x10000Q90.jpg_.webp", "https://img.alicdn.com/bao/uploaded/i2/O1CN016fvgm22GEGwD8BMKd_!!4611686018427387511-0-fleamarket.jpg_790x10000Q90.jpg_.webp")</f>
        <v>https://img.alicdn.com/bao/uploaded/i2/O1CN016fvgm22GEGwD8BMKd_!!4611686018427387511-0-fleamarket.jpg_790x10000Q90.jpg_.webp</v>
      </c>
      <c r="G197"/>
      <c r="H197" s="2" t="str">
        <f>=HYPERLINK("https://www.goofish.com/item?spm=a21ybx.search.searchFeedList.5.678761adFZgJN1&amp;id=960645349236&amp;categoryId=201459411", "https://www.goofish.com/item?spm=a21ybx.search.searchFeedList.5.678761adFZgJN1&amp;id=960645349236&amp;categoryId=201459411")</f>
        <v>https://www.goofish.com/item?spm=a21ybx.search.searchFeedList.5.678761adFZgJN1&amp;id=960645349236&amp;categoryId=201459411</v>
      </c>
      <c r="I197">
        <v>960645349236</v>
      </c>
      <c r="J197"/>
      <c r="K197"/>
      <c r="L197"/>
    </row>
    <row r="198" ht="25.5" customHeight="1">
      <c r="A198" t="inlineStr">
        <is>
          <t>【秒发】300个去AI味提示词小说写作</t>
        </is>
      </c>
      <c r="B198">
        <v>264</v>
      </c>
      <c r="C198" t="inlineStr">
        <is>
          <t>宝子稍等片刻，资源正在路上</t>
        </is>
      </c>
      <c r="D198" t="inlineStr">
        <is>
          <t>是</t>
        </is>
      </c>
      <c r="E198" t="inlineStr">
        <is>
          <t>✅300个去AI味提示词让小说写作更自然流畅
✅确保内容连贯主题递进情节流畅
✅提升信息传达效率强化逻辑过渡
✅调整语气适应场景增强表达精确性
✅注入生动实例保持句式变化节奏感
✅调整语言适应角色提升叙述节奏张力
✅虚拟资料售出不退不换介意勿拍</t>
        </is>
      </c>
      <c r="F198" s="2" t="str">
        <f>=HYPERLINK("https://img.alicdn.com/bao/uploaded/i1/O1CN01kE0L291ph8HstMAQI_!!4611686018427386351-0-fleamarket.jpg_790x10000Q90.jpg_.webp", "https://img.alicdn.com/bao/uploaded/i1/O1CN01kE0L291ph8HstMAQI_!!4611686018427386351-0-fleamarket.jpg_790x10000Q90.jpg_.webp")</f>
        <v>https://img.alicdn.com/bao/uploaded/i1/O1CN01kE0L291ph8HstMAQI_!!4611686018427386351-0-fleamarket.jpg_790x10000Q90.jpg_.webp</v>
      </c>
      <c r="G198"/>
      <c r="H198" s="2" t="str">
        <f>=HYPERLINK("https://www.goofish.com/item?spm=a21ybx.search.searchFeedList.21.678761adFZgJN1&amp;id=985366486723&amp;categoryId=201459411", "https://www.goofish.com/item?spm=a21ybx.search.searchFeedList.21.678761adFZgJN1&amp;id=985366486723&amp;categoryId=201459411")</f>
        <v>https://www.goofish.com/item?spm=a21ybx.search.searchFeedList.21.678761adFZgJN1&amp;id=985366486723&amp;categoryId=201459411</v>
      </c>
      <c r="I198">
        <v>985366486723</v>
      </c>
      <c r="J198"/>
      <c r="K198"/>
      <c r="L198"/>
    </row>
    <row r="199" ht="25.5" customHeight="1">
      <c r="A199" t="inlineStr">
        <is>
          <t>【秒发】2100+提示词170行业小白秒变大</t>
        </is>
      </c>
      <c r="B199">
        <v>265</v>
      </c>
      <c r="C199" t="inlineStr">
        <is>
          <t>宝子稍等片刻，资源正在路上</t>
        </is>
      </c>
      <c r="D199" t="inlineStr">
        <is>
          <t>是</t>
        </is>
      </c>
      <c r="E199" t="inlineStr">
        <is>
          <t>✅2100+提示词模版170+细分行业全覆盖
✅适配DeepSeek豆包kimi腾讯元宝等主流AI
✅一键解锁文案绘画视频创作各场景
✅小白公式套用秒出高质量回答
✅夸克网盘自动发货
✅电子资料发货后不退介意勿拍</t>
        </is>
      </c>
      <c r="F199" s="2" t="str">
        <f>=HYPERLINK("https://img.alicdn.com/bao/uploaded/i3/O1CN01cNCYDy2IyeHh9WwC0_!!4611686018427386427-53-fleamarket.heic_790x10000Q90.jpg_.webp", "https://img.alicdn.com/bao/uploaded/i3/O1CN01cNCYDy2IyeHh9WwC0_!!4611686018427386427-53-fleamarket.heic_790x10000Q90.jpg_.webp")</f>
        <v>https://img.alicdn.com/bao/uploaded/i3/O1CN01cNCYDy2IyeHh9WwC0_!!4611686018427386427-53-fleamarket.heic_790x10000Q90.jpg_.webp</v>
      </c>
      <c r="G199"/>
      <c r="H199" s="2" t="str">
        <f>=HYPERLINK("https://www.goofish.com/item?spm=a21ybx.search.searchFeedList.20.678761adFZgJN1&amp;id=974492090835&amp;categoryId=202036301", "https://www.goofish.com/item?spm=a21ybx.search.searchFeedList.20.678761adFZgJN1&amp;id=974492090835&amp;categoryId=202036301")</f>
        <v>https://www.goofish.com/item?spm=a21ybx.search.searchFeedList.20.678761adFZgJN1&amp;id=974492090835&amp;categoryId=202036301</v>
      </c>
      <c r="I199">
        <v>974492090835</v>
      </c>
      <c r="J199"/>
      <c r="K199"/>
      <c r="L199"/>
    </row>
    <row r="200" ht="25.5" customHeight="1">
      <c r="A200" t="inlineStr">
        <is>
          <t>【秒发】TRAE通用6A规则+敏捷5S规则提示词</t>
        </is>
      </c>
      <c r="B200">
        <v>266</v>
      </c>
      <c r="C200" t="inlineStr">
        <is>
          <t>宝子稍等片刻，资源正在路上</t>
        </is>
      </c>
      <c r="D200" t="inlineStr">
        <is>
          <t>是</t>
        </is>
      </c>
      <c r="E200" t="inlineStr">
        <is>
          <t>✅让AI按照专业流程工作
✅确保需求理解准确无误
✅保证代码质量和可维护性
✅建立完善的文档体系
✅实现高效的团队协作
✅包含6A+5S规则提示词
✅仅售卖教学资料不提供一对一指导
✅24小时度盘自动发货
✅虚拟商品一经拍下不支持退货</t>
        </is>
      </c>
      <c r="F200" s="2" t="str">
        <f>=HYPERLINK("https://img.alicdn.com/bao/uploaded/i1/O1CN01B6Y7H61pov0ynSv90_!!4611686018427385776-0-fleamarket.jpg_790x10000Q90.jpg_.webp", "https://img.alicdn.com/bao/uploaded/i1/O1CN01B6Y7H61pov0ynSv90_!!4611686018427385776-0-fleamarket.jpg_790x10000Q90.jpg_.webp")</f>
        <v>https://img.alicdn.com/bao/uploaded/i1/O1CN01B6Y7H61pov0ynSv90_!!4611686018427385776-0-fleamarket.jpg_790x10000Q90.jpg_.webp</v>
      </c>
      <c r="G200"/>
      <c r="H200" s="2" t="str">
        <f>=HYPERLINK("https://www.goofish.com/item?spm=a21ybx.search.searchFeedList.21.678761adFZgJN1&amp;id=978016350086&amp;categoryId=201453616", "https://www.goofish.com/item?spm=a21ybx.search.searchFeedList.21.678761adFZgJN1&amp;id=978016350086&amp;categoryId=201453616")</f>
        <v>https://www.goofish.com/item?spm=a21ybx.search.searchFeedList.21.678761adFZgJN1&amp;id=978016350086&amp;categoryId=201453616</v>
      </c>
      <c r="I200">
        <v>978016350086</v>
      </c>
      <c r="J200"/>
      <c r="K200"/>
      <c r="L200"/>
    </row>
    <row r="201" ht="25.5" customHeight="1">
      <c r="A201" t="inlineStr">
        <is>
          <t>【秒发】2025即梦AI运镜提示词教程</t>
        </is>
      </c>
      <c r="B201">
        <v>267</v>
      </c>
      <c r="C201" t="inlineStr">
        <is>
          <t>宝子稍等片刻，资源正在路上</t>
        </is>
      </c>
      <c r="D201" t="inlineStr">
        <is>
          <t>是</t>
        </is>
      </c>
      <c r="E201" t="inlineStr">
        <is>
          <t>✅动态镜头环绕镜头推进上帝视角等多种拍摄技巧
✅从入门到精通轻松掌握AI视频制作
✅零基础快速入门实操课程
✅直接拍自动发货秒到账</t>
        </is>
      </c>
      <c r="F201" s="2" t="str">
        <f>=HYPERLINK("https://img.alicdn.com/bao/uploaded/i2/2790750209/O1CN01NhVEO41DPlsxRpFsZ_!!4611686018427385857-53-xy_item.heic_790x10000Q90.jpg_.webp", "https://img.alicdn.com/bao/uploaded/i2/2790750209/O1CN01NhVEO41DPlsxRpFsZ_!!4611686018427385857-53-xy_item.heic_790x10000Q90.jpg_.webp")</f>
        <v>https://img.alicdn.com/bao/uploaded/i2/2790750209/O1CN01NhVEO41DPlsxRpFsZ_!!4611686018427385857-53-xy_item.heic_790x10000Q90.jpg_.webp</v>
      </c>
      <c r="G201"/>
      <c r="H201" s="2" t="str">
        <f>=HYPERLINK("https://www.goofish.com/item?spm=a21ybx.search.searchFeedList.8.678761adFZgJN1&amp;id=1001266640125&amp;categoryId=201459411", "https://www.goofish.com/item?spm=a21ybx.search.searchFeedList.8.678761adFZgJN1&amp;id=1001266640125&amp;categoryId=201459411")</f>
        <v>https://www.goofish.com/item?spm=a21ybx.search.searchFeedList.8.678761adFZgJN1&amp;id=1001266640125&amp;categoryId=201459411</v>
      </c>
      <c r="I201">
        <v>1001266640125</v>
      </c>
      <c r="J201"/>
      <c r="K201"/>
      <c r="L201"/>
    </row>
    <row r="202" ht="25.5" customHeight="1">
      <c r="A202" t="inlineStr">
        <is>
          <t>【秒发】AI提示词豆包可用一元自取</t>
        </is>
      </c>
      <c r="B202">
        <v>268</v>
      </c>
      <c r="C202" t="inlineStr">
        <is>
          <t>1. 我用夸克网盘给你分享了「F35-AI-提示词」，点击链接或复制整段内容，打开「夸克APP」即可获取。
伏脂尨犭嘀啵好洞座
/~b9ab3A6vvW~:/
链接：https://pan.quark.cn/s/b2d42f95df0c
2. 我用夸克网盘给你分享了「【8】【新】AI指令合集」，点击链接或复制整段内容，打开「夸克APP」即可获取。
筷莱嘟啪晻霭峰夺郝
/~ee6d39pIqs~:/
链接：https://pan.quark.cn/s/317de8408d94
3. 【发货内容】
*人像摄影，日常快照风格，非精心构图或打光，一位气质御姐，穿着轻薄T恤短裤，动作为在镜子前随手自拍，场景为酒店房间，站在落地镜前，用 iPhone 后置镜头自拍，开启闪光灯，略带快门速度不够造成的运动模糊，构图随意、角度尴尬、画面不够对称或美观，画质带有日常感和粗糙感，体现「平凡无奇」，9:16 构图
上述提示词使用偶现豆包无法生成的情况为ai模型问题，这边建议更换模型尝试。如果用豆包建议开一个新的对话，并且更换关键词多次尝试。
</t>
        </is>
      </c>
      <c r="D202" t="inlineStr">
        <is>
          <t>是</t>
        </is>
      </c>
      <c r="E202" t="inlineStr">
        <is>
          <t>✅AI生图提示词豆包可用
✅提示词服务产品售出不退
✅均遵守AI生图协议
✅可定制文生图图生图视频生成提示词
✅一元自取性价比超高</t>
        </is>
      </c>
      <c r="F202" s="2" t="str">
        <f>=HYPERLINK("https://img.alicdn.com/bao/uploaded/i3/O1CN01BmORGA2B9ATxQiGkW_!!4611686018427387783-0-fleamarket.jpg_790x10000Q90.jpg_.webp", "https://img.alicdn.com/bao/uploaded/i3/O1CN01BmORGA2B9ATxQiGkW_!!4611686018427387783-0-fleamarket.jpg_790x10000Q90.jpg_.webp")</f>
        <v>https://img.alicdn.com/bao/uploaded/i3/O1CN01BmORGA2B9ATxQiGkW_!!4611686018427387783-0-fleamarket.jpg_790x10000Q90.jpg_.webp</v>
      </c>
      <c r="G202"/>
      <c r="H202" s="2" t="str">
        <f>=HYPERLINK("https://www.goofish.com/item?spm=a21ybx.search.searchFeedList.12.678761adFZgJN1&amp;id=1011306509724&amp;categoryId=202034003", "https://www.goofish.com/item?spm=a21ybx.search.searchFeedList.12.678761adFZgJN1&amp;id=1011306509724&amp;categoryId=202034003")</f>
        <v>https://www.goofish.com/item?spm=a21ybx.search.searchFeedList.12.678761adFZgJN1&amp;id=1011306509724&amp;categoryId=202034003</v>
      </c>
      <c r="I202">
        <v>1011306509724</v>
      </c>
      <c r="J202"/>
      <c r="K202"/>
      <c r="L202"/>
    </row>
    <row r="203" ht="25.5" customHeight="1">
      <c r="A203" t="inlineStr">
        <is>
          <t>【秒发】3300组NanoBanana即梦提示词</t>
        </is>
      </c>
      <c r="B203">
        <v>269</v>
      </c>
      <c r="C203" t="inlineStr">
        <is>
          <t>宝子稍等片刻，资源正在路上</t>
        </is>
      </c>
      <c r="D203" t="inlineStr">
        <is>
          <t>是</t>
        </is>
      </c>
      <c r="E203" t="inlineStr">
        <is>
          <t>✅NanoBanana2.5即梦AI电商p图studio手办Gemini教程flash提示词
✅3300组提示词拿来既用
✅某宝14.9买的性价比超高
✅24小时网盘自动发货
✅不提供其他服务自行研究</t>
        </is>
      </c>
      <c r="F203" s="2" t="str">
        <f>=HYPERLINK("https://img.alicdn.com/bao/uploaded/i4/O1CN01b8zBtw2Io7CbpCuTE_!!4611686018427384180-0-fleamarket.jpg_790x10000Q90.jpg_.webp", "https://img.alicdn.com/bao/uploaded/i4/O1CN01b8zBtw2Io7CbpCuTE_!!4611686018427384180-0-fleamarket.jpg_790x10000Q90.jpg_.webp")</f>
        <v>https://img.alicdn.com/bao/uploaded/i4/O1CN01b8zBtw2Io7CbpCuTE_!!4611686018427384180-0-fleamarket.jpg_790x10000Q90.jpg_.webp</v>
      </c>
      <c r="G203"/>
      <c r="H203" s="2" t="str">
        <f>=HYPERLINK("https://www.goofish.com/item?spm=a21ybx.search.searchFeedList.4.678761adFZgJN1&amp;id=1012110104461&amp;categoryId=201454708", "https://www.goofish.com/item?spm=a21ybx.search.searchFeedList.4.678761adFZgJN1&amp;id=1012110104461&amp;categoryId=201454708")</f>
        <v>https://www.goofish.com/item?spm=a21ybx.search.searchFeedList.4.678761adFZgJN1&amp;id=1012110104461&amp;categoryId=201454708</v>
      </c>
      <c r="I203">
        <v>1012110104461</v>
      </c>
      <c r="J203"/>
      <c r="K203"/>
      <c r="L203"/>
    </row>
    <row r="204" ht="25.5" customHeight="1">
      <c r="A204" t="inlineStr">
        <is>
          <t>【秒发】16000+即梦提示词手册实战</t>
        </is>
      </c>
      <c r="B204">
        <v>270</v>
      </c>
      <c r="C204" t="inlineStr">
        <is>
          <t>宝子稍等片刻，资源正在路上</t>
        </is>
      </c>
      <c r="D204" t="inlineStr">
        <is>
          <t>是</t>
        </is>
      </c>
      <c r="E204" t="inlineStr">
        <is>
          <t>✅16000+指令理论+实战全涵盖
✅AI生成图片编辑海报设计电商影视艺术创作
✅AI字体美女帅哥城市创意节日海报自媒体绘画产品包装美食出图等
✅电子资料拍下自动发货秒到账
✅发出后不退不换</t>
        </is>
      </c>
      <c r="F204" s="2" t="str">
        <f>=HYPERLINK("https://img.alicdn.com/bao/uploaded/i4/1801571231/O1CN01WGE04e1KxqfNpHxpd_!!4611686018427382687-53-xy_item.heic_790x10000Q90.jpg_.webp", "https://img.alicdn.com/bao/uploaded/i4/1801571231/O1CN01WGE04e1KxqfNpHxpd_!!4611686018427382687-53-xy_item.heic_790x10000Q90.jpg_.webp")</f>
        <v>https://img.alicdn.com/bao/uploaded/i4/1801571231/O1CN01WGE04e1KxqfNpHxpd_!!4611686018427382687-53-xy_item.heic_790x10000Q90.jpg_.webp</v>
      </c>
      <c r="G204"/>
      <c r="H204" s="2" t="str">
        <f>=HYPERLINK("https://www.goofish.com/item?spm=a21ybx.search.searchFeedList.5.678761adFZgJN1&amp;id=1000891273568&amp;categoryId=202154631", "https://www.goofish.com/item?spm=a21ybx.search.searchFeedList.5.678761adFZgJN1&amp;id=1000891273568&amp;categoryId=202154631")</f>
        <v>https://www.goofish.com/item?spm=a21ybx.search.searchFeedList.5.678761adFZgJN1&amp;id=1000891273568&amp;categoryId=202154631</v>
      </c>
      <c r="I204">
        <v>1000891273568</v>
      </c>
      <c r="J204"/>
      <c r="K204"/>
      <c r="L204"/>
    </row>
    <row r="205" ht="25.5" customHeight="1">
      <c r="A205" t="inlineStr">
        <is>
          <t>【秒发】5000+分镜提示词合集影视创作</t>
        </is>
      </c>
      <c r="B205">
        <v>271</v>
      </c>
      <c r="C205" t="inlineStr">
        <is>
          <t>宝子稍等片刻，资源正在路上</t>
        </is>
      </c>
      <c r="D205" t="inlineStr">
        <is>
          <t>是</t>
        </is>
      </c>
      <c r="E205" t="inlineStr">
        <is>
          <t>✅5000+分镜画面提示词动作人物场景情感科幻全覆盖
✅武侠打斗都市男女未来宇宙复古年代全能适配
✅专业分镜逻辑新手也能轻松掌握
✅短视频影视广告漫画AI绘画多平台适用
✅效率提升10倍热门分镜模板赠送
✅百度网盘自动发货
✅虚拟资料售出不退介意勿拍</t>
        </is>
      </c>
      <c r="F205" s="2" t="str">
        <f>=HYPERLINK("https://img.alicdn.com/bao/uploaded/i1/O1CN01e8Ko571XolpAWf9we_!!4611686018427385499-0-fleamarket.jpg_790x10000Q90.jpg_.webp", "https://img.alicdn.com/bao/uploaded/i1/O1CN01e8Ko571XolpAWf9we_!!4611686018427385499-0-fleamarket.jpg_790x10000Q90.jpg_.webp")</f>
        <v>https://img.alicdn.com/bao/uploaded/i1/O1CN01e8Ko571XolpAWf9we_!!4611686018427385499-0-fleamarket.jpg_790x10000Q90.jpg_.webp</v>
      </c>
      <c r="G205"/>
      <c r="H205" s="2" t="str">
        <f>=HYPERLINK("https://www.goofish.com/item?spm=a21ybx.search.searchFeedList.4.678761adFZgJN1&amp;id=1005591994048&amp;categoryId=202036301", "https://www.goofish.com/item?spm=a21ybx.search.searchFeedList.4.678761adFZgJN1&amp;id=1005591994048&amp;categoryId=202036301")</f>
        <v>https://www.goofish.com/item?spm=a21ybx.search.searchFeedList.4.678761adFZgJN1&amp;id=1005591994048&amp;categoryId=202036301</v>
      </c>
      <c r="I205">
        <v>1005591994048</v>
      </c>
      <c r="J205"/>
      <c r="K205"/>
      <c r="L205"/>
    </row>
    <row r="206" ht="25.5" customHeight="1">
      <c r="A206" t="inlineStr">
        <is>
          <t>【秒发】2025即梦AI视频指南系统教程</t>
        </is>
      </c>
      <c r="B206">
        <v>273</v>
      </c>
      <c r="C206" t="inlineStr">
        <is>
          <t>宝子稍等片刻，资源正在路上</t>
        </is>
      </c>
      <c r="D206" t="inlineStr">
        <is>
          <t>是</t>
        </is>
      </c>
      <c r="E206" t="inlineStr">
        <is>
          <t>✅2025最新即梦AI生成视频指南系统教程
✅即梦AI提示词大全完整收录
✅系统讲解从入门到精通
✅电子资料拍下自动发货
✅虚拟资料售出不退介意勿拍</t>
        </is>
      </c>
      <c r="F206" s="2" t="str">
        <f>=HYPERLINK("https://img.alicdn.com/bao/uploaded/i4/O1CN01iLn8r21XlZ0juFHfO_!!4611686018427384900-0-fleamarket.jpg_790x10000Q90.jpg_.webp", "https://img.alicdn.com/bao/uploaded/i4/O1CN01iLn8r21XlZ0juFHfO_!!4611686018427384900-0-fleamarket.jpg_790x10000Q90.jpg_.webp")</f>
        <v>https://img.alicdn.com/bao/uploaded/i4/O1CN01iLn8r21XlZ0juFHfO_!!4611686018427384900-0-fleamarket.jpg_790x10000Q90.jpg_.webp</v>
      </c>
      <c r="G206"/>
      <c r="H206" s="2" t="str">
        <f>=HYPERLINK("https://www.goofish.com/item?spm=a21ybx.search.searchFeedList.5.678761adFZgJN1&amp;id=949028303969&amp;categoryId=201459411", "https://www.goofish.com/item?spm=a21ybx.search.searchFeedList.5.678761adFZgJN1&amp;id=949028303969&amp;categoryId=201459411")</f>
        <v>https://www.goofish.com/item?spm=a21ybx.search.searchFeedList.5.678761adFZgJN1&amp;id=949028303969&amp;categoryId=201459411</v>
      </c>
      <c r="I206">
        <v>949028303969</v>
      </c>
      <c r="J206"/>
      <c r="K206"/>
      <c r="L206"/>
    </row>
    <row r="207" ht="25.5" customHeight="1">
      <c r="A207" t="inlineStr">
        <is>
          <t>【秒发】绝美AI绘画提示词女神合集</t>
        </is>
      </c>
      <c r="B207">
        <v>274</v>
      </c>
      <c r="C207" t="inlineStr">
        <is>
          <t>我用夸克网盘给你分享了「美女AI炼丹提示...AI生成」，点击链接或复制整段内容，打开「夸克APP」即可获取。
筷莱悝悒鳬鴇鴈夺郝
/~3a823LoK3H~:/
链接：https://pan.quark.cn/s/9a865915358f</t>
        </is>
      </c>
      <c r="D207" t="inlineStr">
        <is>
          <t>是</t>
        </is>
      </c>
      <c r="E207" t="inlineStr">
        <is>
          <t>✅2025全网热门美女提示词库
✅清纯校花气质御姐混血模特古风美人全覆盖
✅动态舞蹈专用提示词专业级效果
✅实测优化出图效果稳定惊艳
✅赠10条独家高级提示词价值20元
✅赠快速上手指南AI绘画小技巧
✅支持7天技术咨询
✅确认收货领3条定制提示词
✅适用主流AI绘画平台轻松创作点赞过万作品
✅虚拟商品拍下自动发货</t>
        </is>
      </c>
      <c r="F207" s="2" t="str">
        <f>=HYPERLINK("https://img.alicdn.com/bao/uploaded/i1/O1CN01jbiWYI2EAwpA9gNdm_!!4611686018427379793-53-fleamarket.heic_790x10000Q90.jpg_.webp", "https://img.alicdn.com/bao/uploaded/i1/O1CN01jbiWYI2EAwpA9gNdm_!!4611686018427379793-53-fleamarket.heic_790x10000Q90.jpg_.webp")</f>
        <v>https://img.alicdn.com/bao/uploaded/i1/O1CN01jbiWYI2EAwpA9gNdm_!!4611686018427379793-53-fleamarket.heic_790x10000Q90.jpg_.webp</v>
      </c>
      <c r="G207"/>
      <c r="H207" s="2" t="str">
        <f>=HYPERLINK("https://www.goofish.com/item?spm=a21ybx.search.searchFeedList.19.678761adFZgJN1&amp;id=952347055489&amp;categoryId=201459411", "https://www.goofish.com/item?spm=a21ybx.search.searchFeedList.19.678761adFZgJN1&amp;id=952347055489&amp;categoryId=201459411")</f>
        <v>https://www.goofish.com/item?spm=a21ybx.search.searchFeedList.19.678761adFZgJN1&amp;id=952347055489&amp;categoryId=201459411</v>
      </c>
      <c r="I207">
        <v>952347055489</v>
      </c>
      <c r="J207"/>
      <c r="K207"/>
      <c r="L207"/>
    </row>
    <row r="208" ht="25.5" customHeight="1">
      <c r="A208" t="inlineStr">
        <is>
          <t>【秒发】10000+即梦AI生图提示词</t>
        </is>
      </c>
      <c r="B208">
        <v>275</v>
      </c>
      <c r="C208" t="inlineStr">
        <is>
          <t>宝子稍等片刻，资源正在路上</t>
        </is>
      </c>
      <c r="D208" t="inlineStr">
        <is>
          <t>是</t>
        </is>
      </c>
      <c r="E208" t="inlineStr">
        <is>
          <t>✅10000+多种即梦AI生图提示词
✅适合各种AI生图类型场景全覆盖
✅24小时内自动发货秒到账
✅网盘发货快速便捷
✅电子资料整理成本超高性价比
✅虚拟商品售出不退换</t>
        </is>
      </c>
      <c r="F208" s="2" t="str">
        <f>=HYPERLINK("https://img.alicdn.com/bao/uploaded/i4/823430034/O1CN01exC0dm1C7cZYpQoGp_!!4611686018427382674-53-xy_item.heic_790x10000Q90.jpg_.webp", "https://img.alicdn.com/bao/uploaded/i4/823430034/O1CN01exC0dm1C7cZYpQoGp_!!4611686018427382674-53-xy_item.heic_790x10000Q90.jpg_.webp")</f>
        <v>https://img.alicdn.com/bao/uploaded/i4/823430034/O1CN01exC0dm1C7cZYpQoGp_!!4611686018427382674-53-xy_item.heic_790x10000Q90.jpg_.webp</v>
      </c>
      <c r="G208"/>
      <c r="H208" s="2" t="str">
        <f>=HYPERLINK("https://www.goofish.com/item?spm=a21ybx.search.searchFeedList.2.678761adFZgJN1&amp;id=996869693335&amp;categoryId=201459411", "https://www.goofish.com/item?spm=a21ybx.search.searchFeedList.2.678761adFZgJN1&amp;id=996869693335&amp;categoryId=201459411")</f>
        <v>https://www.goofish.com/item?spm=a21ybx.search.searchFeedList.2.678761adFZgJN1&amp;id=996869693335&amp;categoryId=201459411</v>
      </c>
      <c r="I208">
        <v>996869693335</v>
      </c>
      <c r="J208"/>
      <c r="K208"/>
      <c r="L208"/>
    </row>
    <row r="209" ht="25.5" customHeight="1">
      <c r="A209" t="inlineStr">
        <is>
          <t>【秒发】AI提示词prompt指令大全提示工程</t>
        </is>
      </c>
      <c r="B209">
        <v>276</v>
      </c>
      <c r="C209" t="inlineStr">
        <is>
          <t>宝子稍等片刻，资源正在路上</t>
        </is>
      </c>
      <c r="D209" t="inlineStr">
        <is>
          <t>是</t>
        </is>
      </c>
      <c r="E209" t="inlineStr">
        <is>
          <t>✅精心整理AI提示词prompt指令大全
✅分类清晰内容丰富拿来即用
✅省时省力快速做事方法
✅帮你节省时间和精力
✅百度网盘自动发货
✅虚拟资料售出不退换</t>
        </is>
      </c>
      <c r="F209" s="2" t="str">
        <f>=HYPERLINK("https://img.alicdn.com/bao/uploaded/i2/O1CN01wzk09a1q4wrOXHPki_!!4611686018427382115-0-fleamarket.jpg_790x10000Q90.jpg_.webp", "https://img.alicdn.com/bao/uploaded/i2/O1CN01wzk09a1q4wrOXHPki_!!4611686018427382115-0-fleamarket.jpg_790x10000Q90.jpg_.webp")</f>
        <v>https://img.alicdn.com/bao/uploaded/i2/O1CN01wzk09a1q4wrOXHPki_!!4611686018427382115-0-fleamarket.jpg_790x10000Q90.jpg_.webp</v>
      </c>
      <c r="G209"/>
      <c r="H209" s="2" t="str">
        <f>=HYPERLINK("https://www.goofish.com/item?spm=a21ybx.search.searchFeedList.29.678761adFZgJN1&amp;id=952568666857&amp;categoryId=201459411", "https://www.goofish.com/item?spm=a21ybx.search.searchFeedList.29.678761adFZgJN1&amp;id=952568666857&amp;categoryId=201459411")</f>
        <v>https://www.goofish.com/item?spm=a21ybx.search.searchFeedList.29.678761adFZgJN1&amp;id=952568666857&amp;categoryId=201459411</v>
      </c>
      <c r="I209">
        <v>952568666857</v>
      </c>
      <c r="J209"/>
      <c r="K209"/>
      <c r="L209"/>
    </row>
    <row r="210" ht="25.5" customHeight="1">
      <c r="A210" t="inlineStr">
        <is>
          <t>【秒发】AI提示词生成工具1.3版源码</t>
        </is>
      </c>
      <c r="B210">
        <v>277</v>
      </c>
      <c r="C210" t="inlineStr">
        <is>
          <t>宝子稍等片刻，资源正在路上</t>
        </is>
      </c>
      <c r="D210" t="inlineStr">
        <is>
          <t>是</t>
        </is>
      </c>
      <c r="E210" t="inlineStr">
        <is>
          <t>✅专业AI图片视频提示词生成工具
✅自适应电脑手机端支持断网使用
✅提供画面比例光源构图色彩镜头等参数
✅一键组合生成专业提示词豆包即梦可灵通用
✅百度网盘或夸克网盘下载
✅虚拟商品售出不退请按需下单</t>
        </is>
      </c>
      <c r="F210" s="2" t="str">
        <f>=HYPERLINK("https://video.goofish.com/5f5c17f07688b327/95f3232974846237/20251114_745c256ef8d8af44_542364599747_358075545875155_published_mp4_264_fs_0_xianyu_taobao.mp4?auth_key=1769037066-0-0-8b805fd684f093521d0df5e163ba9014&amp;biz=xianyu-d077c99a0abdf00e&amp;t=215041e317689770664191267e1ae8&amp;w=2004&amp;h=2004&amp;e=hd&amp;b=xianyu&amp;p=xianyu_app_xianyu&amp;tr=mp4-264-fs-0-xianyu&amp;iss=false&amp;v=taobao_v2", "https://video.goofish.com/5f5c17f07688b327/95f3232974846237/20251114_745c256ef8d8af44_542364599747_358075545875155_published_mp4_264_fs_0_xianyu_taobao.mp4?auth_key=1769037066-0-0-8b805fd684f093521d0df5e163ba9014&amp;biz=xianyu-d077c99a0abdf00e&amp;t=215041e317689770664191267e1ae8&amp;w=2004&amp;h=2004&amp;e=hd&amp;b=xianyu&amp;p=xianyu_app_xianyu&amp;tr=mp4-264-fs-0-xianyu&amp;iss=false&amp;v=taobao_v2")</f>
        <v>https://video.goofish.com/5f5c17f07688b327/95f3232974846237/20251114_745c256ef8d8af44_542364599747_358075545875155_published_mp4_264_fs_0_xianyu_taobao.mp4?auth_key=1769037066-0-0-8b805fd684f093521d0df5e163ba9014&amp;biz=xianyu-d077c99a0abdf00e&amp;t=215041e317689770664191267e1ae8&amp;w=2004&amp;h=2004&amp;e=hd&amp;b=xianyu&amp;p=xianyu_app_xianyu&amp;tr=mp4-264-fs-0-xianyu&amp;iss=false&amp;v=taobao_v2</v>
      </c>
      <c r="G210"/>
      <c r="H210" s="2" t="str">
        <f>=HYPERLINK("https://www.goofish.com/item?spm=a21ybx.search.searchFeedList.22.678761adFZgJN1&amp;id=968202757977&amp;categoryId=201454708", "https://www.goofish.com/item?spm=a21ybx.search.searchFeedList.22.678761adFZgJN1&amp;id=968202757977&amp;categoryId=201454708")</f>
        <v>https://www.goofish.com/item?spm=a21ybx.search.searchFeedList.22.678761adFZgJN1&amp;id=968202757977&amp;categoryId=201454708</v>
      </c>
      <c r="I210">
        <v>968202757977</v>
      </c>
      <c r="J210"/>
      <c r="K210"/>
      <c r="L210"/>
    </row>
    <row r="211" ht="25.5" customHeight="1">
      <c r="A211" t="inlineStr">
        <is>
          <t>【秒发】NanoBanana即梦电商换装提示词</t>
        </is>
      </c>
      <c r="B211">
        <v>278</v>
      </c>
      <c r="C211" t="inlineStr">
        <is>
          <t>宝子稍等片刻，资源正在路上</t>
        </is>
      </c>
      <c r="D211" t="inlineStr">
        <is>
          <t>是</t>
        </is>
      </c>
      <c r="E211" t="inlineStr">
        <is>
          <t>✅人工整理内容超全复制既用
✅虚拟换装AI电商提示词全覆盖
✅24小时自动发货飞书网盘双渠道
✅持续更新内容诚信为本
✅其他盗图无更新谨慎选择
✅虚拟资料售出不退换</t>
        </is>
      </c>
      <c r="F211" s="2" t="str">
        <f>=HYPERLINK("https://img.alicdn.com/bao/uploaded/i2/3989841414/O1CN017T13IN1MJf9XVR4m8_!!4611686018427381254-0-xy_item.jpg_790x10000Q90.jpg_.webp", "https://img.alicdn.com/bao/uploaded/i2/3989841414/O1CN017T13IN1MJf9XVR4m8_!!4611686018427381254-0-xy_item.jpg_790x10000Q90.jpg_.webp")</f>
        <v>https://img.alicdn.com/bao/uploaded/i2/3989841414/O1CN017T13IN1MJf9XVR4m8_!!4611686018427381254-0-xy_item.jpg_790x10000Q90.jpg_.webp</v>
      </c>
      <c r="G211"/>
      <c r="H211" s="2" t="str">
        <f>=HYPERLINK("https://www.goofish.com/item?spm=a21ybx.search.searchFeedList.9.678761adFZgJN1&amp;id=993312345477&amp;categoryId=201454708", "https://www.goofish.com/item?spm=a21ybx.search.searchFeedList.9.678761adFZgJN1&amp;id=993312345477&amp;categoryId=201454708")</f>
        <v>https://www.goofish.com/item?spm=a21ybx.search.searchFeedList.9.678761adFZgJN1&amp;id=993312345477&amp;categoryId=201454708</v>
      </c>
      <c r="I211">
        <v>993312345477</v>
      </c>
      <c r="J211"/>
      <c r="K211"/>
      <c r="L211"/>
    </row>
    <row r="212" ht="25.5" customHeight="1">
      <c r="A212" t="inlineStr">
        <is>
          <t>【秒发】薛辉8大智能体提示词爆款选题</t>
        </is>
      </c>
      <c r="B212">
        <v>279</v>
      </c>
      <c r="C212" t="inlineStr">
        <is>
          <t>宝子稍等片刻，资源正在路上</t>
        </is>
      </c>
      <c r="D212" t="inlineStr">
        <is>
          <t>是</t>
        </is>
      </c>
      <c r="E212" t="inlineStr">
        <is>
          <t>✅飞书多维表格+8大智能体输入行业3秒生成爆款选题
✅头牌选题最差选题怀旧选题猎奇选题荷尔蒙选题成本选题圈人群选题8大方向全覆盖
✅小红书抖音运营人自媒体博主副业上班族文案困难户必备
✅自动发货秒到账
✅虚拟产品发货后不退介意勿拍
✅可定制爆款开头生成器和全文文案一键出</t>
        </is>
      </c>
      <c r="F212" s="2" t="str">
        <f>=HYPERLINK("https://img.alicdn.com/bao/uploaded/i1/O1CN01ObYQSO2E1KX5MmzHS_!!4611686018427387388-53-fleamarket.heic_790x10000Q90.jpg_.webp", "https://img.alicdn.com/bao/uploaded/i1/O1CN01ObYQSO2E1KX5MmzHS_!!4611686018427387388-53-fleamarket.heic_790x10000Q90.jpg_.webp")</f>
        <v>https://img.alicdn.com/bao/uploaded/i1/O1CN01ObYQSO2E1KX5MmzHS_!!4611686018427387388-53-fleamarket.heic_790x10000Q90.jpg_.webp</v>
      </c>
      <c r="G212"/>
      <c r="H212" s="2" t="str">
        <f>=HYPERLINK("https://www.goofish.com/item?spm=a21ybx.search.searchFeedList.22.678761adFZgJN1&amp;id=986301090878&amp;categoryId=202036301", "https://www.goofish.com/item?spm=a21ybx.search.searchFeedList.22.678761adFZgJN1&amp;id=986301090878&amp;categoryId=202036301")</f>
        <v>https://www.goofish.com/item?spm=a21ybx.search.searchFeedList.22.678761adFZgJN1&amp;id=986301090878&amp;categoryId=202036301</v>
      </c>
      <c r="I212">
        <v>986301090878</v>
      </c>
      <c r="J212"/>
      <c r="K212"/>
      <c r="L212"/>
    </row>
    <row r="213" ht="25.5" customHeight="1">
      <c r="A213" t="inlineStr">
        <is>
          <t>【秒发】10000组即梦AI变现提示词教程</t>
        </is>
      </c>
      <c r="B213">
        <v>280</v>
      </c>
      <c r="C213" t="inlineStr">
        <is>
          <t>宝子稍等片刻，资源正在路上</t>
        </is>
      </c>
      <c r="D213" t="inlineStr">
        <is>
          <t>是</t>
        </is>
      </c>
      <c r="E213" t="inlineStr">
        <is>
          <t>✅图片反推提示词可灵AI爆款案例及关键词
✅即梦变现案例文生图图生视频图文教程
✅即梦AI提示词10000组关键词全套打通
✅秒发网盘链接标价即卖价
✅电子资料视频+文档非实体
✅付款后系统自动发货
✅不满意可仅退款小店不易
✅虚拟资料售出不退换</t>
        </is>
      </c>
      <c r="F213" s="2" t="str">
        <f>=HYPERLINK("https://img.alicdn.com/bao/uploaded/i2/O1CN01zyoF501kg9LmJyzfJ_!!4611686018427384200-0-fleamarket.jpg_790x10000Q90.jpg_.webp", "https://img.alicdn.com/bao/uploaded/i2/O1CN01zyoF501kg9LmJyzfJ_!!4611686018427384200-0-fleamarket.jpg_790x10000Q90.jpg_.webp")</f>
        <v>https://img.alicdn.com/bao/uploaded/i2/O1CN01zyoF501kg9LmJyzfJ_!!4611686018427384200-0-fleamarket.jpg_790x10000Q90.jpg_.webp</v>
      </c>
      <c r="G213"/>
      <c r="H213" s="2" t="str">
        <f>=HYPERLINK("https://www.goofish.com/item?spm=a21ybx.search.searchFeedList.14.678761adFZgJN1&amp;id=973280594165&amp;categoryId=202036301", "https://www.goofish.com/item?spm=a21ybx.search.searchFeedList.14.678761adFZgJN1&amp;id=973280594165&amp;categoryId=202036301")</f>
        <v>https://www.goofish.com/item?spm=a21ybx.search.searchFeedList.14.678761adFZgJN1&amp;id=973280594165&amp;categoryId=202036301</v>
      </c>
      <c r="I213">
        <v>973280594165</v>
      </c>
      <c r="J213"/>
      <c r="K213"/>
      <c r="L213"/>
    </row>
    <row r="214" ht="25.5" customHeight="1">
      <c r="A214" t="inlineStr">
        <is>
          <t>【秒发】Midjourney咒语AI绘画提示词</t>
        </is>
      </c>
      <c r="B214">
        <v>281</v>
      </c>
      <c r="C214" t="inlineStr">
        <is>
          <t>宝子稍等片刻，资源正在路上</t>
        </is>
      </c>
      <c r="D214" t="inlineStr">
        <is>
          <t>是</t>
        </is>
      </c>
      <c r="E214" t="inlineStr">
        <is>
          <t>✅3000+张图片530+套案例型完整出图咒语
✅免费分享Tag关键词表格
✅完整咒语中英文图片设定修改性强
✅24小时网盘自动发货
✅电子资料不退不换
✅源自公开合法渠道仅供学习交流</t>
        </is>
      </c>
      <c r="F214" s="2" t="str">
        <f>=HYPERLINK("https://img.alicdn.com/bao/uploaded/i3/O1CN011ll6u82IOSzRC6x5r_!!4611686018427380076-53-fleamarket.heic_790x10000Q90.jpg_.webp", "https://img.alicdn.com/bao/uploaded/i3/O1CN011ll6u82IOSzRC6x5r_!!4611686018427380076-53-fleamarket.heic_790x10000Q90.jpg_.webp")</f>
        <v>https://img.alicdn.com/bao/uploaded/i3/O1CN011ll6u82IOSzRC6x5r_!!4611686018427380076-53-fleamarket.heic_790x10000Q90.jpg_.webp</v>
      </c>
      <c r="G214"/>
      <c r="H214" s="2" t="str">
        <f>=HYPERLINK("https://www.goofish.com/item?spm=a21ybx.search.searchFeedList.4.678761adFZgJN1&amp;id=966074854107&amp;categoryId=201454708", "https://www.goofish.com/item?spm=a21ybx.search.searchFeedList.4.678761adFZgJN1&amp;id=966074854107&amp;categoryId=201454708")</f>
        <v>https://www.goofish.com/item?spm=a21ybx.search.searchFeedList.4.678761adFZgJN1&amp;id=966074854107&amp;categoryId=201454708</v>
      </c>
      <c r="I214">
        <v>966074854107</v>
      </c>
      <c r="J214"/>
      <c r="K214"/>
      <c r="L214"/>
    </row>
    <row r="215" ht="25.5" customHeight="1">
      <c r="A215" t="inlineStr">
        <is>
          <t>【秒发】500+AI美女跳舞提示词教程</t>
        </is>
      </c>
      <c r="B215">
        <v>282</v>
      </c>
      <c r="C215" t="inlineStr">
        <is>
          <t>宝子稍等片刻，资源正在路上</t>
        </is>
      </c>
      <c r="D215" t="inlineStr">
        <is>
          <t>是</t>
        </is>
      </c>
      <c r="E215" t="inlineStr">
        <is>
          <t>✅500种跳舞动作AI生图AI视频全涵盖
✅手机就能操作一看就会
✅送AI变现教程摆摊创业收益高
✅详细视频教程文字说明操作简单容易上手
✅24小时自动发货网盘发货
✅电子教程发货后不退不换</t>
        </is>
      </c>
      <c r="F215" s="2" t="str">
        <f>=HYPERLINK("https://img.alicdn.com/bao/uploaded/i1/O1CN01NduP8h1KQs8363Bd7_!!4611686018427380279-53-fleamarket.heic_790x10000Q90.jpg_.webp", "https://img.alicdn.com/bao/uploaded/i1/O1CN01NduP8h1KQs8363Bd7_!!4611686018427380279-53-fleamarket.heic_790x10000Q90.jpg_.webp")</f>
        <v>https://img.alicdn.com/bao/uploaded/i1/O1CN01NduP8h1KQs8363Bd7_!!4611686018427380279-53-fleamarket.heic_790x10000Q90.jpg_.webp</v>
      </c>
      <c r="G215"/>
      <c r="H215" s="2" t="str">
        <f>=HYPERLINK("https://www.goofish.com/item?spm=a21ybx.search.searchFeedList.3.678761adFZgJN1&amp;id=973719090055&amp;categoryId=201454708", "https://www.goofish.com/item?spm=a21ybx.search.searchFeedList.3.678761adFZgJN1&amp;id=973719090055&amp;categoryId=201454708")</f>
        <v>https://www.goofish.com/item?spm=a21ybx.search.searchFeedList.3.678761adFZgJN1&amp;id=973719090055&amp;categoryId=201454708</v>
      </c>
      <c r="I215">
        <v>973719090055</v>
      </c>
      <c r="J215"/>
      <c r="K215"/>
      <c r="L215"/>
    </row>
    <row r="216" ht="25.5" customHeight="1">
      <c r="A216" t="inlineStr">
        <is>
          <t>【秒发】40+跨境电商AI提示词大全</t>
        </is>
      </c>
      <c r="B216">
        <v>283</v>
      </c>
      <c r="C216" t="inlineStr">
        <is>
          <t>【超级会员V2】通过百度网盘分享的文件：电商提示词
链接:https://pan.baidu.com/s/1obJIr5TAV6RhRI27dD6wwA 
提取码:18qc
复制这段内容打开「百度网盘APP 即可获取」</t>
        </is>
      </c>
      <c r="D216" t="inlineStr">
        <is>
          <t>是</t>
        </is>
      </c>
      <c r="E216" t="inlineStr">
        <is>
          <t>✅40+亚马逊运营AI提示词
✅甩需求给AI自动渲染光影氛围场景
✅5分钟出图高级感拉满产品图到手
✅适用于各AI平台各电商平台
✅亚马逊运营必备日常工具
✅24小时自动发货网盘链接
✅虚拟资料售出不退不换</t>
        </is>
      </c>
      <c r="F216" s="2" t="str">
        <f>=HYPERLINK("https://img.alicdn.com/bao/uploaded/i4/O1CN01YtnBM01aGpJ0jQZzA_!!4611686018427382647-53-fleamarket.heic_790x10000Q90.jpg_.webp", "https://img.alicdn.com/bao/uploaded/i4/O1CN01YtnBM01aGpJ0jQZzA_!!4611686018427382647-53-fleamarket.heic_790x10000Q90.jpg_.webp")</f>
        <v>https://img.alicdn.com/bao/uploaded/i4/O1CN01YtnBM01aGpJ0jQZzA_!!4611686018427382647-53-fleamarket.heic_790x10000Q90.jpg_.webp</v>
      </c>
      <c r="G216"/>
      <c r="H216" s="2" t="str">
        <f>=HYPERLINK("https://www.goofish.com/item?spm=a21ybx.search.searchFeedList.14.678761adFZgJN1&amp;id=990217329914&amp;categoryId=202152829", "https://www.goofish.com/item?spm=a21ybx.search.searchFeedList.14.678761adFZgJN1&amp;id=990217329914&amp;categoryId=202152829")</f>
        <v>https://www.goofish.com/item?spm=a21ybx.search.searchFeedList.14.678761adFZgJN1&amp;id=990217329914&amp;categoryId=202152829</v>
      </c>
      <c r="I216">
        <v>990217329914</v>
      </c>
      <c r="J216"/>
      <c r="K216"/>
      <c r="L216"/>
    </row>
    <row r="217" ht="25.5" customHeight="1">
      <c r="A217" t="inlineStr">
        <is>
          <t>【秒发】今日头条AI指令10W+爆款提示词</t>
        </is>
      </c>
      <c r="B217">
        <v>284</v>
      </c>
      <c r="C217" t="inlineStr">
        <is>
          <t>宝子稍等片刻，资源正在路上</t>
        </is>
      </c>
      <c r="D217" t="inlineStr">
        <is>
          <t>是</t>
        </is>
      </c>
      <c r="E217" t="inlineStr">
        <is>
          <t>✅今日头条AI指令生成10W+爆款文章
✅提示词关键词对话自媒体文字创作
✅24小时自动发货秒到账
✅标价就是卖价直接拍
✅虚拟资料售出不退不换</t>
        </is>
      </c>
      <c r="F217" s="2" t="str">
        <f>=HYPERLINK("https://img.alicdn.com/bao/uploaded/i1/O1CN018wEPQg2Gurl2I5keu_!!4611686018427381316-0-fleamarket.jpg_790x10000Q90.jpg_.webp", "https://img.alicdn.com/bao/uploaded/i1/O1CN018wEPQg2Gurl2I5keu_!!4611686018427381316-0-fleamarket.jpg_790x10000Q90.jpg_.webp")</f>
        <v>https://img.alicdn.com/bao/uploaded/i1/O1CN018wEPQg2Gurl2I5keu_!!4611686018427381316-0-fleamarket.jpg_790x10000Q90.jpg_.webp</v>
      </c>
      <c r="G217"/>
      <c r="H217" s="2" t="str">
        <f>=HYPERLINK("https://www.goofish.com/item?spm=a21ybx.search.searchFeedList.25.678761adFZgJN1&amp;id=940243984541&amp;categoryId=202036301", "https://www.goofish.com/item?spm=a21ybx.search.searchFeedList.25.678761adFZgJN1&amp;id=940243984541&amp;categoryId=202036301")</f>
        <v>https://www.goofish.com/item?spm=a21ybx.search.searchFeedList.25.678761adFZgJN1&amp;id=940243984541&amp;categoryId=202036301</v>
      </c>
      <c r="I217">
        <v>940243984541</v>
      </c>
      <c r="J217"/>
      <c r="K217"/>
      <c r="L217"/>
    </row>
    <row r="218" ht="25.5" customHeight="1">
      <c r="A218" t="inlineStr">
        <is>
          <t>【秒发】AI生成IP形象设计通用提示词</t>
        </is>
      </c>
      <c r="B218">
        <v>285</v>
      </c>
      <c r="C218" t="inlineStr">
        <is>
          <t>宝子稍等片刻，资源正在路上</t>
        </is>
      </c>
      <c r="D218" t="inlineStr">
        <is>
          <t>是</t>
        </is>
      </c>
      <c r="E218" t="inlineStr">
        <is>
          <t>✅IP形象设计表情包设计动作场景服装延展全覆盖
✅通用提示词制作教程PDFWord文档视频教学排版模板全包含
✅从基础到实践内容很全
✅适合做IP形象设计的朋友
✅价格好商量可私聊
✅虚拟资料售出不退不换</t>
        </is>
      </c>
      <c r="F218" s="2" t="str">
        <f>=HYPERLINK("https://img.alicdn.com/bao/uploaded/i4/O1CN016lufYC2EHMMuu21pp_!!4611686018427381775-53-fleamarket.heic_790x10000Q90.jpg_.webp", "https://img.alicdn.com/bao/uploaded/i4/O1CN016lufYC2EHMMuu21pp_!!4611686018427381775-53-fleamarket.heic_790x10000Q90.jpg_.webp")</f>
        <v>https://img.alicdn.com/bao/uploaded/i4/O1CN016lufYC2EHMMuu21pp_!!4611686018427381775-53-fleamarket.heic_790x10000Q90.jpg_.webp</v>
      </c>
      <c r="G218"/>
      <c r="H218" s="2" t="str">
        <f>=HYPERLINK("https://www.goofish.com/item?spm=a21ybx.search.searchFeedList.9.678761adFZgJN1&amp;id=948151507011&amp;categoryId=201454708", "https://www.goofish.com/item?spm=a21ybx.search.searchFeedList.9.678761adFZgJN1&amp;id=948151507011&amp;categoryId=201454708")</f>
        <v>https://www.goofish.com/item?spm=a21ybx.search.searchFeedList.9.678761adFZgJN1&amp;id=948151507011&amp;categoryId=201454708</v>
      </c>
      <c r="I218">
        <v>948151507011</v>
      </c>
      <c r="J218"/>
      <c r="K218"/>
      <c r="L218"/>
    </row>
    <row r="219" ht="25.5" customHeight="1">
      <c r="A219" t="inlineStr">
        <is>
          <t>【秒发】5000+分镜提示词合集影视创作神器</t>
        </is>
      </c>
      <c r="B219">
        <v>287</v>
      </c>
      <c r="C219" t="inlineStr">
        <is>
          <t>宝子稍等片刻，资源正在路上</t>
        </is>
      </c>
      <c r="D219" t="inlineStr">
        <is>
          <t>是</t>
        </is>
      </c>
      <c r="E219" t="inlineStr">
        <is>
          <t>✅5000+分镜提示词动作人物场景情感科幻全覆盖
✅武侠打斗都市男女未来宇宙复古年代全能适配
✅专业分镜逻辑新手也能轻松掌握
✅短视频影视广告漫画AI绘画多平台适用
✅效率提升10倍赠30个热门分镜模板
✅网盘链接永不失效
✅虚拟商品拍下后不退不换</t>
        </is>
      </c>
      <c r="F219" s="2" t="str">
        <f>=HYPERLINK("https://img.alicdn.com/bao/uploaded/i4/O1CN01ebvQ5f1Tbi3yzWUBg_!!4611686018427382577-0-fleamarket.jpg_790x10000Q90.jpg_.webp", "https://img.alicdn.com/bao/uploaded/i4/O1CN01ebvQ5f1Tbi3yzWUBg_!!4611686018427382577-0-fleamarket.jpg_790x10000Q90.jpg_.webp")</f>
        <v>https://img.alicdn.com/bao/uploaded/i4/O1CN01ebvQ5f1Tbi3yzWUBg_!!4611686018427382577-0-fleamarket.jpg_790x10000Q90.jpg_.webp</v>
      </c>
      <c r="G219"/>
      <c r="H219" s="2" t="str">
        <f>=HYPERLINK("https://www.goofish.com/item?spm=a21ybx.search.searchFeedList.12.678761adFZgJN1&amp;id=1001936572801&amp;categoryId=202036301", "https://www.goofish.com/item?spm=a21ybx.search.searchFeedList.12.678761adFZgJN1&amp;id=1001936572801&amp;categoryId=202036301")</f>
        <v>https://www.goofish.com/item?spm=a21ybx.search.searchFeedList.12.678761adFZgJN1&amp;id=1001936572801&amp;categoryId=202036301</v>
      </c>
      <c r="I219">
        <v>1001936572801</v>
      </c>
      <c r="J219"/>
      <c r="K219"/>
      <c r="L219"/>
    </row>
    <row r="220" ht="25.5" customHeight="1">
      <c r="A220" t="inlineStr">
        <is>
          <t>【秒发】85+豆包提示词合集创作神器</t>
        </is>
      </c>
      <c r="B220">
        <v>288</v>
      </c>
      <c r="C220" t="inlineStr">
        <is>
          <t>宝子稍等片刻，资源正在路上</t>
        </is>
      </c>
      <c r="D220" t="inlineStr">
        <is>
          <t>是</t>
        </is>
      </c>
      <c r="E220" t="inlineStr">
        <is>
          <t>✅85+实用功能内容创作一站式解决方案
✅15项新媒体核心功能朋友圈软广短视频脚本黄金发布时间
✅职场助手slogan创作面试模拟职业规划
✅学术辅助论文降重AI检测文献总结
✅小红书爆款文案种草内容优化违禁词审查
✅跨平台运营策略微信头条播客多渠道优化
✅内容生产效率提升10倍
✅虚拟商品一经出售不退不换
✅网盘手工发货标价即售价</t>
        </is>
      </c>
      <c r="F220" s="2" t="str">
        <f>=HYPERLINK("https://img.alicdn.com/bao/uploaded/i1/O1CN018ZKb3o22gkvsnrVL1_!!4611686018427385278-0-fleamarket.jpg_790x10000Q90.jpg_.webp", "https://img.alicdn.com/bao/uploaded/i1/O1CN018ZKb3o22gkvsnrVL1_!!4611686018427385278-0-fleamarket.jpg_790x10000Q90.jpg_.webp")</f>
        <v>https://img.alicdn.com/bao/uploaded/i1/O1CN018ZKb3o22gkvsnrVL1_!!4611686018427385278-0-fleamarket.jpg_790x10000Q90.jpg_.webp</v>
      </c>
      <c r="G220"/>
      <c r="H220" s="2" t="str">
        <f>=HYPERLINK("https://www.goofish.com/item?spm=a21ybx.search.searchFeedList.22.678761adFZgJN1&amp;id=936236908510&amp;categoryId=202036301", "https://www.goofish.com/item?spm=a21ybx.search.searchFeedList.22.678761adFZgJN1&amp;id=936236908510&amp;categoryId=202036301")</f>
        <v>https://www.goofish.com/item?spm=a21ybx.search.searchFeedList.22.678761adFZgJN1&amp;id=936236908510&amp;categoryId=202036301</v>
      </c>
      <c r="I220">
        <v>936236908510</v>
      </c>
      <c r="J220"/>
      <c r="K220"/>
      <c r="L220"/>
    </row>
    <row r="221" ht="25.5" customHeight="1">
      <c r="A221" t="inlineStr">
        <is>
          <t>【秒发】高级感工作汇报PPT模版</t>
        </is>
      </c>
      <c r="B221">
        <v>289</v>
      </c>
      <c r="C221" t="inlineStr">
        <is>
          <t>宝子稍等片刻，资源正在路上</t>
        </is>
      </c>
      <c r="D221" t="inlineStr">
        <is>
          <t>是</t>
        </is>
      </c>
      <c r="E221" t="inlineStr">
        <is>
          <t>✅领导超爱的高级感PPT模版逻辑图数据图
✅排版简洁干净高端大气打工人必备
✅九个模版九种配色每套160页
✅附赠国外高端PPT模版400p常用小图标字体包
✅虚拟资料发货后不退不换
✅仅支持学习交流非商用</t>
        </is>
      </c>
      <c r="F221" s="2" t="str">
        <f>=HYPERLINK("https://img.alicdn.com/bao/uploaded/i2/O1CN01d3mCf01IFlGr7C5OY_!!4611686018427383856-53-fleamarket.heic_790x10000Q90.jpg_.webp", "https://img.alicdn.com/bao/uploaded/i2/O1CN01d3mCf01IFlGr7C5OY_!!4611686018427383856-53-fleamarket.heic_790x10000Q90.jpg_.webp")</f>
        <v>https://img.alicdn.com/bao/uploaded/i2/O1CN01d3mCf01IFlGr7C5OY_!!4611686018427383856-53-fleamarket.heic_790x10000Q90.jpg_.webp</v>
      </c>
      <c r="G221"/>
      <c r="H221" s="2" t="str">
        <f>=HYPERLINK("https://www.goofish.com/item?spm=a21ybx.search.searchFeedList.8.22e26c82OoK8dC&amp;id=948022201397&amp;categoryId=201454708", "https://www.goofish.com/item?spm=a21ybx.search.searchFeedList.8.22e26c82OoK8dC&amp;id=948022201397&amp;categoryId=201454708")</f>
        <v>https://www.goofish.com/item?spm=a21ybx.search.searchFeedList.8.22e26c82OoK8dC&amp;id=948022201397&amp;categoryId=201454708</v>
      </c>
      <c r="I221">
        <v>948022201397</v>
      </c>
      <c r="J221"/>
      <c r="K221"/>
      <c r="L221"/>
    </row>
    <row r="222" ht="25.5" customHeight="1">
      <c r="A222" t="inlineStr">
        <is>
          <t>【秒发】800套工作总结PPT模板</t>
        </is>
      </c>
      <c r="B222">
        <v>290</v>
      </c>
      <c r="C222" t="inlineStr">
        <is>
          <t>宝子稍等片刻，资源正在路上</t>
        </is>
      </c>
      <c r="D222" t="inlineStr">
        <is>
          <t>是</t>
        </is>
      </c>
      <c r="E222" t="inlineStr">
        <is>
          <t>✅800套工作总结工作汇报PPT模板适用多种行业
✅设计精美多种风格款式可选可编辑修改
✅使用方便直接下单有问题请咨询
✅赠送9999+精选PPT模板内容丰富总有一款适合你</t>
        </is>
      </c>
      <c r="F222" s="2" t="str">
        <f>=HYPERLINK("https://img.alicdn.com/bao/uploaded/i2/O1CN01V0xLI51gdcjEjDXVf_!!4611686018427382149-0-fleamarket.jpg_790x10000Q90.jpg_.webp", "https://img.alicdn.com/bao/uploaded/i2/O1CN01V0xLI51gdcjEjDXVf_!!4611686018427382149-0-fleamarket.jpg_790x10000Q90.jpg_.webp")</f>
        <v>https://img.alicdn.com/bao/uploaded/i2/O1CN01V0xLI51gdcjEjDXVf_!!4611686018427382149-0-fleamarket.jpg_790x10000Q90.jpg_.webp</v>
      </c>
      <c r="G222"/>
      <c r="H222" s="2" t="str">
        <f>=HYPERLINK("https://www.goofish.com/item?spm=a21ybx.search.searchFeedList.3.22e26c82OoK8dC&amp;id=1007527890921&amp;categoryId=201454708", "https://www.goofish.com/item?spm=a21ybx.search.searchFeedList.3.22e26c82OoK8dC&amp;id=1007527890921&amp;categoryId=201454708")</f>
        <v>https://www.goofish.com/item?spm=a21ybx.search.searchFeedList.3.22e26c82OoK8dC&amp;id=1007527890921&amp;categoryId=201454708</v>
      </c>
      <c r="I222">
        <v>1007527890921</v>
      </c>
      <c r="J222"/>
      <c r="K222"/>
      <c r="L222"/>
    </row>
    <row r="223" ht="25.5" customHeight="1">
      <c r="A223" t="inlineStr">
        <is>
          <t>【秒发】999+套PPT模板高级感</t>
        </is>
      </c>
      <c r="B223">
        <v>291</v>
      </c>
      <c r="C223" t="inlineStr">
        <is>
          <t>宝子稍等片刻，资源正在路上</t>
        </is>
      </c>
      <c r="D223" t="inlineStr">
        <is>
          <t>是</t>
        </is>
      </c>
      <c r="E223" t="inlineStr">
        <is>
          <t>✅999+套高端动态PPT模板平滑切换工作总结汇报答辩
✅莫兰迪风设计感轻奢大理石手绘风极简禁欲文艺旅行
✅纯粹简致国潮风中式古风艺术北欧风ins风欧美风格
✅高级极简日系逻辑架构数据分析山海创意商务国赛金奖
✅赓续前行24小时自动发货适用多场景售后无忧</t>
        </is>
      </c>
      <c r="F223" s="2" t="str">
        <f>=HYPERLINK("https://img.alicdn.com/bao/uploaded/i4/O1CN01gkBCXd1aJ7HygBfvn_!!4611686018427382892-0-fleamarket.jpg_790x10000Q90.jpg_.webp", "https://img.alicdn.com/bao/uploaded/i4/O1CN01gkBCXd1aJ7HygBfvn_!!4611686018427382892-0-fleamarket.jpg_790x10000Q90.jpg_.webp")</f>
        <v>https://img.alicdn.com/bao/uploaded/i4/O1CN01gkBCXd1aJ7HygBfvn_!!4611686018427382892-0-fleamarket.jpg_790x10000Q90.jpg_.webp</v>
      </c>
      <c r="G223"/>
      <c r="H223" s="2" t="str">
        <f>=HYPERLINK("https://www.goofish.com/item?spm=a21ybx.search.searchFeedList.9.22e26c82OoK8dC&amp;id=993810376765&amp;categoryId=201453706", "https://www.goofish.com/item?spm=a21ybx.search.searchFeedList.9.22e26c82OoK8dC&amp;id=993810376765&amp;categoryId=201453706")</f>
        <v>https://www.goofish.com/item?spm=a21ybx.search.searchFeedList.9.22e26c82OoK8dC&amp;id=993810376765&amp;categoryId=201453706</v>
      </c>
      <c r="I223">
        <v>993810376765</v>
      </c>
      <c r="J223"/>
      <c r="K223"/>
      <c r="L223"/>
    </row>
    <row r="224" ht="25.5" customHeight="1">
      <c r="A224" t="inlineStr">
        <is>
          <t>【秒发】极简表格简历模板可编辑</t>
        </is>
      </c>
      <c r="B224">
        <v>292</v>
      </c>
      <c r="C224" t="inlineStr">
        <is>
          <t>宝子稍等片刻，资源正在路上</t>
        </is>
      </c>
      <c r="D224" t="inlineStr">
        <is>
          <t>是</t>
        </is>
      </c>
      <c r="E224" t="inlineStr">
        <is>
          <t>✅极简表格简历模板编辑空白单页个人求职电子版
✅应届生word简约通用全天自动发货
✅标价就是卖价直接拍下即可</t>
        </is>
      </c>
      <c r="F224" s="2" t="str">
        <f>=HYPERLINK("https://img.alicdn.com/bao/uploaded/i2/O1CN01vaM2oD1ZeLzGWa11C_!!4611686018427383059-53-fleamarket.heic_790x10000Q90.jpg_.webp", "https://img.alicdn.com/bao/uploaded/i2/O1CN01vaM2oD1ZeLzGWa11C_!!4611686018427383059-53-fleamarket.heic_790x10000Q90.jpg_.webp")</f>
        <v>https://img.alicdn.com/bao/uploaded/i2/O1CN01vaM2oD1ZeLzGWa11C_!!4611686018427383059-53-fleamarket.heic_790x10000Q90.jpg_.webp</v>
      </c>
      <c r="G224"/>
      <c r="H224" s="2" t="str">
        <f>=HYPERLINK("https://www.goofish.com/item?spm=a21ybx.search.searchFeedList.16.22e26c82OoK8dC&amp;id=916995505499&amp;categoryId=201453706", "https://www.goofish.com/item?spm=a21ybx.search.searchFeedList.16.22e26c82OoK8dC&amp;id=916995505499&amp;categoryId=201453706")</f>
        <v>https://www.goofish.com/item?spm=a21ybx.search.searchFeedList.16.22e26c82OoK8dC&amp;id=916995505499&amp;categoryId=201453706</v>
      </c>
      <c r="I224">
        <v>916995505499</v>
      </c>
      <c r="J224"/>
      <c r="K224"/>
      <c r="L224"/>
    </row>
    <row r="225" ht="25.5" customHeight="1">
      <c r="A225" t="inlineStr">
        <is>
          <t>【秒发】528套医学医疗PPT模板</t>
        </is>
      </c>
      <c r="B225">
        <v>293</v>
      </c>
      <c r="C225" t="inlineStr">
        <is>
          <t>宝子稍等片刻，资源正在路上</t>
        </is>
      </c>
      <c r="D225" t="inlineStr">
        <is>
          <t>是</t>
        </is>
      </c>
      <c r="E225" t="inlineStr">
        <is>
          <t>✅528套医学医疗医院医护PPT模板医生护士护理
✅工作汇报工作计划总结全部可编辑带预览图
✅每套模板精挑细选质量高适用于任何场合
✅节省大量时间百度网盘发货</t>
        </is>
      </c>
      <c r="F225" s="2" t="str">
        <f>=HYPERLINK("https://img.alicdn.com/bao/uploaded/i2/O1CN01YjP21J2D7SA7fuQWh_!!4611686018427384274-53-fleamarket.heic_790x10000Q90.jpg_.webp", "https://img.alicdn.com/bao/uploaded/i2/O1CN01YjP21J2D7SA7fuQWh_!!4611686018427384274-53-fleamarket.heic_790x10000Q90.jpg_.webp")</f>
        <v>https://img.alicdn.com/bao/uploaded/i2/O1CN01YjP21J2D7SA7fuQWh_!!4611686018427384274-53-fleamarket.heic_790x10000Q90.jpg_.webp</v>
      </c>
      <c r="G225"/>
      <c r="H225" s="2" t="str">
        <f>=HYPERLINK("https://www.goofish.com/item?spm=a21ybx.search.searchFeedList.9.22e26c82OoK8dC&amp;id=909943137838&amp;categoryId=201454708", "https://www.goofish.com/item?spm=a21ybx.search.searchFeedList.9.22e26c82OoK8dC&amp;id=909943137838&amp;categoryId=201454708")</f>
        <v>https://www.goofish.com/item?spm=a21ybx.search.searchFeedList.9.22e26c82OoK8dC&amp;id=909943137838&amp;categoryId=201454708</v>
      </c>
      <c r="I225">
        <v>909943137838</v>
      </c>
      <c r="J225"/>
      <c r="K225"/>
      <c r="L225"/>
    </row>
    <row r="226" ht="25.5" customHeight="1">
      <c r="A226" t="inlineStr">
        <is>
          <t>【秒发】7套保研面试自我介绍PPT模板</t>
        </is>
      </c>
      <c r="B226">
        <v>294</v>
      </c>
      <c r="C226" t="inlineStr">
        <is>
          <t>宝子稍等片刻，资源正在路上</t>
        </is>
      </c>
      <c r="D226" t="inlineStr">
        <is>
          <t>是</t>
        </is>
      </c>
      <c r="E226" t="inlineStr">
        <is>
          <t>✅专业学术汇报PPT模板包含学术背景科研经历竞赛获奖学生工作未来规划等多个模块
✅7套不同风格PPT模板每套都经过精心设计
✅内容完整清晰适合保研面试学术汇报等多种场合使用
✅夸克发货永不失效系统自动发货
✅任何情况不要申请退款私信沟通处理
✅虚拟产品拍下即发不退不换
✅所有文件获取自网络公开渠道仅供学习交流版权归版权人所有</t>
        </is>
      </c>
      <c r="F226" s="2" t="str">
        <f>=HYPERLINK("https://img.alicdn.com/bao/uploaded/i4/O1CN01cg15eg2FN90cvHIgv_!!4611686018427387715-0-fleamarket.jpg_790x10000Q90.jpg_.webp", "https://img.alicdn.com/bao/uploaded/i4/O1CN01cg15eg2FN90cvHIgv_!!4611686018427387715-0-fleamarket.jpg_790x10000Q90.jpg_.webp")</f>
        <v>https://img.alicdn.com/bao/uploaded/i4/O1CN01cg15eg2FN90cvHIgv_!!4611686018427387715-0-fleamarket.jpg_790x10000Q90.jpg_.webp</v>
      </c>
      <c r="G226"/>
      <c r="H226" s="2" t="str">
        <f>=HYPERLINK("https://www.goofish.com/item?spm=a21ybx.search.searchFeedList.22.22e26c82OoK8dC&amp;id=981275394398&amp;categoryId=201454708", "https://www.goofish.com/item?spm=a21ybx.search.searchFeedList.22.22e26c82OoK8dC&amp;id=981275394398&amp;categoryId=201454708")</f>
        <v>https://www.goofish.com/item?spm=a21ybx.search.searchFeedList.22.22e26c82OoK8dC&amp;id=981275394398&amp;categoryId=201454708</v>
      </c>
      <c r="I226">
        <v>981275394398</v>
      </c>
      <c r="J226"/>
      <c r="K226"/>
      <c r="L226"/>
    </row>
    <row r="227" ht="25.5" customHeight="1">
      <c r="A227" t="inlineStr">
        <is>
          <t>【秒发】500页创意图文PPT模板</t>
        </is>
      </c>
      <c r="B227">
        <v>295</v>
      </c>
      <c r="C227" t="inlineStr">
        <is>
          <t>宝子稍等片刻，资源正在路上</t>
        </is>
      </c>
      <c r="D227" t="inlineStr">
        <is>
          <t>是</t>
        </is>
      </c>
      <c r="E227" t="inlineStr">
        <is>
          <t>✅一键换图超实用适合工作汇报项目报告策划方案
✅包含多图排版截图展示人物介绍等多种模板
✅100%可编辑用更少时间做出更高级的图文页面
✅24小时自动发货网盘链接永久有效
✅通过网络渠道合法获得仅作阅读交流无商业目的
✅商品价格是网盘储存费用和人工整理资料费用
✅版权归原作者所有如有侵权请联系删除</t>
        </is>
      </c>
      <c r="F227" s="2" t="str">
        <f>=HYPERLINK("https://img.alicdn.com/bao/uploaded/i1/O1CN01YP4zKm1vRSQfpAWCy_!!4611686018427386441-0-fleamarket.jpg_790x10000Q90.jpg_.webp", "https://img.alicdn.com/bao/uploaded/i1/O1CN01YP4zKm1vRSQfpAWCy_!!4611686018427386441-0-fleamarket.jpg_790x10000Q90.jpg_.webp")</f>
        <v>https://img.alicdn.com/bao/uploaded/i1/O1CN01YP4zKm1vRSQfpAWCy_!!4611686018427386441-0-fleamarket.jpg_790x10000Q90.jpg_.webp</v>
      </c>
      <c r="G227"/>
      <c r="H227" s="2" t="str">
        <f>=HYPERLINK("https://www.goofish.com/item?spm=a21ybx.search.searchFeedList.26.22e26c82OoK8dC&amp;id=991471168227&amp;categoryId=201454708", "https://www.goofish.com/item?spm=a21ybx.search.searchFeedList.26.22e26c82OoK8dC&amp;id=991471168227&amp;categoryId=201454708")</f>
        <v>https://www.goofish.com/item?spm=a21ybx.search.searchFeedList.26.22e26c82OoK8dC&amp;id=991471168227&amp;categoryId=201454708</v>
      </c>
      <c r="I227">
        <v>991471168227</v>
      </c>
      <c r="J227"/>
      <c r="K227"/>
      <c r="L227"/>
    </row>
    <row r="228" ht="25.5" customHeight="1">
      <c r="A228" t="inlineStr">
        <is>
          <t>【秒发】280页高级感年终总结PPT模板</t>
        </is>
      </c>
      <c r="B228">
        <v>296</v>
      </c>
      <c r="C228" t="inlineStr">
        <is>
          <t>宝子稍等片刻，资源正在路上</t>
        </is>
      </c>
      <c r="D228" t="inlineStr">
        <is>
          <t>是</t>
        </is>
      </c>
      <c r="E228" t="inlineStr">
        <is>
          <t>✅全新升级序言PPT模板提升职业竞争力
✅280页内容模板均可编辑实用又高级
✅包含甘特图时间轴流程图数据图表超多展示
✅支持一键换色所有元素内容都可编辑
✅拿来就可用可编辑修改款绝对超值好用
✅24小时下单秒发支持小刀
✅若素材无法使用或有问题可联系替换或退款
✅因产品有可复制性售出后不退换</t>
        </is>
      </c>
      <c r="F228" s="2" t="str">
        <f>=HYPERLINK("https://img.alicdn.com/bao/uploaded/i2/O1CN01g2Txyb1fODka2Noi1_!!4611686018427383292-0-fleamarket.jpg_790x10000Q90.jpg_.webp", "https://img.alicdn.com/bao/uploaded/i2/O1CN01g2Txyb1fODka2Noi1_!!4611686018427383292-0-fleamarket.jpg_790x10000Q90.jpg_.webp")</f>
        <v>https://img.alicdn.com/bao/uploaded/i2/O1CN01g2Txyb1fODka2Noi1_!!4611686018427383292-0-fleamarket.jpg_790x10000Q90.jpg_.webp</v>
      </c>
      <c r="G228"/>
      <c r="H228" s="2" t="str">
        <f>=HYPERLINK("https://www.goofish.com/item?spm=a21ybx.search.searchFeedList.16.22e26c82mrcEVv&amp;id=950613640671&amp;categoryId=201453706", "https://www.goofish.com/item?spm=a21ybx.search.searchFeedList.16.22e26c82mrcEVv&amp;id=950613640671&amp;categoryId=201453706")</f>
        <v>https://www.goofish.com/item?spm=a21ybx.search.searchFeedList.16.22e26c82mrcEVv&amp;id=950613640671&amp;categoryId=201453706</v>
      </c>
      <c r="I228">
        <v>950613640671</v>
      </c>
      <c r="J228"/>
      <c r="K228"/>
      <c r="L228"/>
    </row>
    <row r="229" ht="25.5" customHeight="1">
      <c r="A229" t="inlineStr">
        <is>
          <t>【秒发】1000页贝恩商赛PPT模板</t>
        </is>
      </c>
      <c r="B229">
        <v>297</v>
      </c>
      <c r="C229" t="inlineStr">
        <is>
          <t>宝子稍等片刻，资源正在路上</t>
        </is>
      </c>
      <c r="D229" t="inlineStr">
        <is>
          <t>是</t>
        </is>
      </c>
      <c r="E229" t="inlineStr">
        <is>
          <t>✅四色1000页数据贝恩商赛PPT模板可编辑
✅适用工作总结财务分析市场调研日常报告
✅高端双色设计模拟麦肯锡等咨询公司风格
✅24小时内秒发第一时间发货
✅网页端手机端可能有兼容性问题请下载电脑端office和wps查看</t>
        </is>
      </c>
      <c r="F229" s="2" t="str">
        <f>=HYPERLINK("https://img.alicdn.com/bao/uploaded/i4/O1CN01rCLaWD1oMgvEUqrJX_!!4611686018427387179-53-fleamarket.heic_790x10000Q90.jpg_.webp", "https://img.alicdn.com/bao/uploaded/i4/O1CN01rCLaWD1oMgvEUqrJX_!!4611686018427387179-53-fleamarket.heic_790x10000Q90.jpg_.webp")</f>
        <v>https://img.alicdn.com/bao/uploaded/i4/O1CN01rCLaWD1oMgvEUqrJX_!!4611686018427387179-53-fleamarket.heic_790x10000Q90.jpg_.webp</v>
      </c>
      <c r="G229"/>
      <c r="H229" s="2" t="str">
        <f>=HYPERLINK("https://www.goofish.com/item?spm=a21ybx.search.searchFeedList.4.22e26c82mrcEVv&amp;id=867027686359&amp;categoryId=201453706", "https://www.goofish.com/item?spm=a21ybx.search.searchFeedList.4.22e26c82mrcEVv&amp;id=867027686359&amp;categoryId=201453706")</f>
        <v>https://www.goofish.com/item?spm=a21ybx.search.searchFeedList.4.22e26c82mrcEVv&amp;id=867027686359&amp;categoryId=201453706</v>
      </c>
      <c r="I229">
        <v>867027686359</v>
      </c>
      <c r="J229"/>
      <c r="K229"/>
      <c r="L229"/>
    </row>
    <row r="230" ht="25.5" customHeight="1">
      <c r="A230" t="inlineStr">
        <is>
          <t>【秒发】科研学术风PPT答辩模板</t>
        </is>
      </c>
      <c r="B230">
        <v>298</v>
      </c>
      <c r="C230" t="inlineStr">
        <is>
          <t>宝子稍等片刻，资源正在路上</t>
        </is>
      </c>
      <c r="D230" t="inlineStr">
        <is>
          <t>是</t>
        </is>
      </c>
      <c r="E230" t="inlineStr">
        <is>
          <t>✅项目申报进度验收结题等答辩
✅文献汇报组会论文开题中期毕业答辩
✅专业学术风格提升答辩专业性
✅可bd网盘加邮箱发货方便快捷</t>
        </is>
      </c>
      <c r="F230" s="2" t="str">
        <f>=HYPERLINK("https://img.alicdn.com/bao/uploaded/i3/2656992023/O1CN01xgBv4z1QoaLThEQvy_!!4611686018427386647-0-xy_item.jpg_790x10000Q90.jpg_.webp", "https://img.alicdn.com/bao/uploaded/i3/2656992023/O1CN01xgBv4z1QoaLThEQvy_!!4611686018427386647-0-xy_item.jpg_790x10000Q90.jpg_.webp")</f>
        <v>https://img.alicdn.com/bao/uploaded/i3/2656992023/O1CN01xgBv4z1QoaLThEQvy_!!4611686018427386647-0-xy_item.jpg_790x10000Q90.jpg_.webp</v>
      </c>
      <c r="G230"/>
      <c r="H230" s="2" t="str">
        <f>=HYPERLINK("https://www.goofish.com/item?spm=a21ybx.search.searchFeedList.16.22e26c82OoK8dC&amp;id=987453774950&amp;categoryId=201454708", "https://www.goofish.com/item?spm=a21ybx.search.searchFeedList.16.22e26c82OoK8dC&amp;id=987453774950&amp;categoryId=201454708")</f>
        <v>https://www.goofish.com/item?spm=a21ybx.search.searchFeedList.16.22e26c82OoK8dC&amp;id=987453774950&amp;categoryId=201454708</v>
      </c>
      <c r="I230">
        <v>987453774950</v>
      </c>
      <c r="J230"/>
      <c r="K230"/>
      <c r="L230"/>
    </row>
    <row r="231" ht="25.5" customHeight="1">
      <c r="A231" t="inlineStr">
        <is>
          <t>【秒发】2025年终工作汇报PPT模板</t>
        </is>
      </c>
      <c r="B231">
        <v>299</v>
      </c>
      <c r="C231" t="inlineStr">
        <is>
          <t>【超级会员V2】通过百度网盘分享的文件：年终汇报高级总结…
链接:https://pan.baidu.com/s/1GMzWQcG7hcz5horJCkxQaA 
提取码:77jm
复制这段内容打开「百度网盘APP 即可获取」</t>
        </is>
      </c>
      <c r="D231" t="inlineStr">
        <is>
          <t>是</t>
        </is>
      </c>
      <c r="E231" t="inlineStr">
        <is>
          <t>✅高级蓝色年终总结述职报告工作汇报模板
✅含自我介绍工作成果展示不足与改进学习与成长明年工作计划展望与感谢六部分
✅含时间轴甘特图流程图数据图表超多展示内容
✅适用总结分析工作复盘述职汇报项目方案策划报告
✅职场简约高级商务大气所有元素内容都可编辑修改
✅赠送150页逻辑框架汇报PPT模板七色可选
✅赠送700页逻辑图形图标素材和字体包
✅直接拍即可自动发货百度盘发货
✅售出后不支持退换</t>
        </is>
      </c>
      <c r="F231" s="2" t="str">
        <f>=HYPERLINK("https://img.alicdn.com/bao/uploaded/i1/O1CN01rdWTIn2GRYS67SfXF_!!4611686018427382580-0-fleamarket.jpg_790x10000Q90.jpg_.webp", "https://img.alicdn.com/bao/uploaded/i1/O1CN01rdWTIn2GRYS67SfXF_!!4611686018427382580-0-fleamarket.jpg_790x10000Q90.jpg_.webp")</f>
        <v>https://img.alicdn.com/bao/uploaded/i1/O1CN01rdWTIn2GRYS67SfXF_!!4611686018427382580-0-fleamarket.jpg_790x10000Q90.jpg_.webp</v>
      </c>
      <c r="G231"/>
      <c r="H231" s="2" t="str">
        <f>=HYPERLINK("https://www.goofish.com/item?spm=a21ybx.search.searchFeedList.29.22e26c82OoK8dC&amp;id=996999791825&amp;categoryId=201454708", "https://www.goofish.com/item?spm=a21ybx.search.searchFeedList.29.22e26c82OoK8dC&amp;id=996999791825&amp;categoryId=201454708")</f>
        <v>https://www.goofish.com/item?spm=a21ybx.search.searchFeedList.29.22e26c82OoK8dC&amp;id=996999791825&amp;categoryId=201454708</v>
      </c>
      <c r="I231">
        <v>996999791825</v>
      </c>
      <c r="J231"/>
      <c r="K231"/>
      <c r="L231"/>
    </row>
    <row r="232" ht="25.5" customHeight="1">
      <c r="A232" t="inlineStr">
        <is>
          <t>【秒发】310套室内设计PPT案例模板</t>
        </is>
      </c>
      <c r="B232">
        <v>300</v>
      </c>
      <c r="C232" t="inlineStr">
        <is>
          <t>宝子稍等片刻，资源正在路上</t>
        </is>
      </c>
      <c r="D232" t="inlineStr">
        <is>
          <t>是</t>
        </is>
      </c>
      <c r="E232" t="inlineStr">
        <is>
          <t>✅310套室内设计成品PPT案例平面方案效果分析
✅8G容量可编辑修改网盘下载拍下立发
✅全面覆盖从平面方案到效果分析一应俱全
✅高效使用可编辑修改减少排版时间提升工作效率
✅适用广泛适合装修公司设计师学生等多种场景
✅室内设计师方案汇报与客户展示
✅装修公司提升方案展示效果
✅学生学习设计思路与排版技巧
✅拍下后立即发送网盘链接电子资料不退不换</t>
        </is>
      </c>
      <c r="F232" s="2" t="str">
        <f>=HYPERLINK("https://img.alicdn.com/bao/uploaded/i2/O1CN01wzsSMt1tYfMz5I8aI_!!4611686018427385882-53-fleamarket.heic_790x10000Q90.jpg_.webp", "https://img.alicdn.com/bao/uploaded/i2/O1CN01wzsSMt1tYfMz5I8aI_!!4611686018427385882-53-fleamarket.heic_790x10000Q90.jpg_.webp")</f>
        <v>https://img.alicdn.com/bao/uploaded/i2/O1CN01wzsSMt1tYfMz5I8aI_!!4611686018427385882-53-fleamarket.heic_790x10000Q90.jpg_.webp</v>
      </c>
      <c r="G232"/>
      <c r="H232" s="2" t="str">
        <f>=HYPERLINK("https://www.goofish.com/item?spm=a21ybx.search.searchFeedList.17.22e26c82mrcEVv&amp;id=958950531832&amp;categoryId=201454708", "https://www.goofish.com/item?spm=a21ybx.search.searchFeedList.17.22e26c82mrcEVv&amp;id=958950531832&amp;categoryId=201454708")</f>
        <v>https://www.goofish.com/item?spm=a21ybx.search.searchFeedList.17.22e26c82mrcEVv&amp;id=958950531832&amp;categoryId=201454708</v>
      </c>
      <c r="I232">
        <v>958950531832</v>
      </c>
      <c r="J232"/>
      <c r="K232"/>
      <c r="L232"/>
    </row>
    <row r="233" ht="25.5" customHeight="1">
      <c r="A233" t="inlineStr">
        <is>
          <t>【秒发】工作汇报PPT模板100多页</t>
        </is>
      </c>
      <c r="B233">
        <v>301</v>
      </c>
      <c r="C233" t="inlineStr">
        <is>
          <t>宝子稍等片刻，资源正在路上</t>
        </is>
      </c>
      <c r="D233" t="inlineStr">
        <is>
          <t>是</t>
        </is>
      </c>
      <c r="E233" t="inlineStr">
        <is>
          <t>✅内容丰富适合年终总结述职项目复盘
✅包含年度工作回顾核心工作完成情况亮点经验分享下阶段执行计划未来规划展望
✅数据图表流程图甘特图都有配色清晰逻辑分明
✅一套7个颜色100多页直接套用省时省力
✅附带赠品素材拍下自动发网盘链接
✅支持电脑office和wps打开需要修改内容可以自己调整
✅虚拟商品售出不退不换</t>
        </is>
      </c>
      <c r="F233" s="2" t="str">
        <f>=HYPERLINK("https://img.alicdn.com/bao/uploaded/i1/1020430149/O1CN01sPaHAl1CyI7eQ7t4A_!!4611686018427381573-0-xy_item.jpg_790x10000Q90.jpg_.webp", "https://img.alicdn.com/bao/uploaded/i1/1020430149/O1CN01sPaHAl1CyI7eQ7t4A_!!4611686018427381573-0-xy_item.jpg_790x10000Q90.jpg_.webp")</f>
        <v>https://img.alicdn.com/bao/uploaded/i1/1020430149/O1CN01sPaHAl1CyI7eQ7t4A_!!4611686018427381573-0-xy_item.jpg_790x10000Q90.jpg_.webp</v>
      </c>
      <c r="G233"/>
      <c r="H233" s="2" t="str">
        <f>=HYPERLINK("https://www.goofish.com/item?spm=a21ybx.search.searchFeedList.16.22e26c82OoK8dC&amp;id=999232886320&amp;categoryId=201454708", "https://www.goofish.com/item?spm=a21ybx.search.searchFeedList.16.22e26c82OoK8dC&amp;id=999232886320&amp;categoryId=201454708")</f>
        <v>https://www.goofish.com/item?spm=a21ybx.search.searchFeedList.16.22e26c82OoK8dC&amp;id=999232886320&amp;categoryId=201454708</v>
      </c>
      <c r="I233">
        <v>999232886320</v>
      </c>
      <c r="J233"/>
      <c r="K233"/>
      <c r="L233"/>
    </row>
    <row r="234" ht="25.5" customHeight="1">
      <c r="A234" t="inlineStr">
        <is>
          <t>【秒发】70页多层逻辑框架图PPT模板</t>
        </is>
      </c>
      <c r="B234">
        <v>302</v>
      </c>
      <c r="C234" t="inlineStr">
        <is>
          <t>宝子稍等片刻，资源正在路上</t>
        </is>
      </c>
      <c r="D234" t="inlineStr">
        <is>
          <t>是</t>
        </is>
      </c>
      <c r="E234" t="inlineStr">
        <is>
          <t>✅70页超强万能多层逻辑框架图PPT模板
✅商业战略模型黄金曲线模型SWOT模型冰山模型鱼骨图应有尽有
✅适合工作总结财务分析市场调研等各种场景
✅内容可编辑一键替换提升工作效率
✅24小时自动发货网盘链接永久有效
✅拍下即发百度网盘链接永不失效
✅建议使用电脑端office和wps打开
✅所有文件获取自网络公开渠道仅供学习交流
✅如版权方认为侵犯请及时联系删除
✅虚拟商品不退不换有问题随时私聊</t>
        </is>
      </c>
      <c r="F234" s="2" t="str">
        <f>=HYPERLINK("https://img.alicdn.com/bao/uploaded/i1/O1CN01IsjPz81svHNrbXQi0_!!4611686018427381684-0-fleamarket.jpg_790x10000Q90.jpg_.webp", "https://img.alicdn.com/bao/uploaded/i1/O1CN01IsjPz81svHNrbXQi0_!!4611686018427381684-0-fleamarket.jpg_790x10000Q90.jpg_.webp")</f>
        <v>https://img.alicdn.com/bao/uploaded/i1/O1CN01IsjPz81svHNrbXQi0_!!4611686018427381684-0-fleamarket.jpg_790x10000Q90.jpg_.webp</v>
      </c>
      <c r="G234"/>
      <c r="H234" s="2" t="str">
        <f>=HYPERLINK("https://www.goofish.com/item?spm=a21ybx.search.searchFeedList.25.22e26c82OoK8dC&amp;id=974169679080&amp;categoryId=201454708", "https://www.goofish.com/item?spm=a21ybx.search.searchFeedList.25.22e26c82OoK8dC&amp;id=974169679080&amp;categoryId=201454708")</f>
        <v>https://www.goofish.com/item?spm=a21ybx.search.searchFeedList.25.22e26c82OoK8dC&amp;id=974169679080&amp;categoryId=201454708</v>
      </c>
      <c r="I234">
        <v>974169679080</v>
      </c>
      <c r="J234"/>
      <c r="K234"/>
      <c r="L234"/>
    </row>
    <row r="235" ht="25.5" customHeight="1">
      <c r="A235" t="inlineStr">
        <is>
          <t>【秒发】300页高端数据可视化PPT模板</t>
        </is>
      </c>
      <c r="B235">
        <v>303</v>
      </c>
      <c r="C235" t="inlineStr">
        <is>
          <t>宝子稍等片刻，资源正在路上</t>
        </is>
      </c>
      <c r="D235" t="inlineStr">
        <is>
          <t>是</t>
        </is>
      </c>
      <c r="E235" t="inlineStr">
        <is>
          <t>✅高端动态数据图表PPT模板数据分析可编辑
✅300页多个颜色体系使用方便
✅自动发货拍下秒发直接下单就可以</t>
        </is>
      </c>
      <c r="F235" s="2" t="str">
        <f>=HYPERLINK("https://img.alicdn.com/bao/uploaded/i2/O1CN01nhhQig2KRmybPnup5_!!53-fleamarket.heic_790x10000Q90.jpg_.webp", "https://img.alicdn.com/bao/uploaded/i2/O1CN01nhhQig2KRmybPnup5_!!53-fleamarket.heic_790x10000Q90.jpg_.webp")</f>
        <v>https://img.alicdn.com/bao/uploaded/i2/O1CN01nhhQig2KRmybPnup5_!!53-fleamarket.heic_790x10000Q90.jpg_.webp</v>
      </c>
      <c r="G235"/>
      <c r="H235" s="2" t="str">
        <f>=HYPERLINK("https://www.goofish.com/item?spm=a21ybx.search.searchFeedList.19.22e26c82mrcEVv&amp;id=805685694484&amp;categoryId=201454708", "https://www.goofish.com/item?spm=a21ybx.search.searchFeedList.19.22e26c82mrcEVv&amp;id=805685694484&amp;categoryId=201454708")</f>
        <v>https://www.goofish.com/item?spm=a21ybx.search.searchFeedList.19.22e26c82mrcEVv&amp;id=805685694484&amp;categoryId=201454708</v>
      </c>
      <c r="I235">
        <v>805685694484</v>
      </c>
      <c r="J235"/>
      <c r="K235"/>
      <c r="L235"/>
    </row>
    <row r="236" ht="25.5" customHeight="1">
      <c r="A236" t="inlineStr">
        <is>
          <t>【秒发】甘特图工作计划高级感PPT模板</t>
        </is>
      </c>
      <c r="B236">
        <v>304</v>
      </c>
      <c r="C236" t="inlineStr">
        <is>
          <t>宝子稍等片刻，资源正在路上</t>
        </is>
      </c>
      <c r="D236" t="inlineStr">
        <is>
          <t>是</t>
        </is>
      </c>
      <c r="E236" t="inlineStr">
        <is>
          <t>✅甘特图工作计划总结高级感述职报告模板
✅简约商务风格各行业场景通用
✅拿来就可用可编辑修改省时省力
✅让你报告做得漂亮出色绝对超值好用
✅支持快速发货网盘链接售出不退
✅不要申请退款私信沟通处理
✅所有文件获取自网络公开渠道仅供学习交流
✅版权归版权人所有如侵权请联系删除
✅虚拟资料一经发送不退换</t>
        </is>
      </c>
      <c r="F236" s="2" t="str">
        <f>=HYPERLINK("https://img.alicdn.com/bao/uploaded/i1/O1CN01UB9Gxv1xxB6DJe7dl_!!4611686018427380061-0-fleamarket.jpg_790x10000Q90.jpg_.webp", "https://img.alicdn.com/bao/uploaded/i1/O1CN01UB9Gxv1xxB6DJe7dl_!!4611686018427380061-0-fleamarket.jpg_790x10000Q90.jpg_.webp")</f>
        <v>https://img.alicdn.com/bao/uploaded/i1/O1CN01UB9Gxv1xxB6DJe7dl_!!4611686018427380061-0-fleamarket.jpg_790x10000Q90.jpg_.webp</v>
      </c>
      <c r="G236"/>
      <c r="H236" s="2" t="str">
        <f>=HYPERLINK("https://www.goofish.com/item?spm=a21ybx.search.searchFeedList.5.22e26c82mrcEVv&amp;id=998427771714&amp;categoryId=201453706", "https://www.goofish.com/item?spm=a21ybx.search.searchFeedList.5.22e26c82mrcEVv&amp;id=998427771714&amp;categoryId=201453706")</f>
        <v>https://www.goofish.com/item?spm=a21ybx.search.searchFeedList.5.22e26c82mrcEVv&amp;id=998427771714&amp;categoryId=201453706</v>
      </c>
      <c r="I236">
        <v>998427771714</v>
      </c>
      <c r="J236"/>
      <c r="K236"/>
      <c r="L236"/>
    </row>
    <row r="237" ht="25.5" customHeight="1">
      <c r="A237" t="inlineStr">
        <is>
          <t>【秒发】999套高级PPT模板精选合集</t>
        </is>
      </c>
      <c r="B237">
        <v>305</v>
      </c>
      <c r="C237" t="inlineStr">
        <is>
          <t>宝子稍等片刻，资源正在路上</t>
        </is>
      </c>
      <c r="D237" t="inlineStr">
        <is>
          <t>是</t>
        </is>
      </c>
      <c r="E237" t="inlineStr">
        <is>
          <t>✅精选999套高端PPT模板多种风格
✅莫兰迪风设计感轻奢大理石手绘风极简禁欲
✅文艺旅行纯粹简致国潮风中国风北欧风
✅ins风欧美风格高级极简日系
✅赠送山海大气工作总结ppt模板
✅每款精选质量高适用于任何场合
✅工作总结工作汇报数据分析市场调研答辩授课竞赛
✅随时可拍随时秒发货网盘发货</t>
        </is>
      </c>
      <c r="F237" s="2" t="str">
        <f>=HYPERLINK("https://img.alicdn.com/bao/uploaded/i2/O1CN018btYaq1gSAmdxDsm1_!!4611686018427384892-53-fleamarket.heic_790x10000Q90.jpg_.webp", "https://img.alicdn.com/bao/uploaded/i2/O1CN018btYaq1gSAmdxDsm1_!!4611686018427384892-53-fleamarket.heic_790x10000Q90.jpg_.webp")</f>
        <v>https://img.alicdn.com/bao/uploaded/i2/O1CN018btYaq1gSAmdxDsm1_!!4611686018427384892-53-fleamarket.heic_790x10000Q90.jpg_.webp</v>
      </c>
      <c r="G237"/>
      <c r="H237" s="2" t="str">
        <f>=HYPERLINK("https://www.goofish.com/item?spm=a21ybx.search.searchFeedList.5.22e26c82OoK8dC&amp;id=949613937306&amp;categoryId=201454708", "https://www.goofish.com/item?spm=a21ybx.search.searchFeedList.5.22e26c82OoK8dC&amp;id=949613937306&amp;categoryId=201454708")</f>
        <v>https://www.goofish.com/item?spm=a21ybx.search.searchFeedList.5.22e26c82OoK8dC&amp;id=949613937306&amp;categoryId=201454708</v>
      </c>
      <c r="I237">
        <v>949613937306</v>
      </c>
      <c r="J237"/>
      <c r="K237"/>
      <c r="L237"/>
    </row>
    <row r="238" ht="25.5" customHeight="1">
      <c r="A238" t="inlineStr">
        <is>
          <t>【秒发】辅导员述职报告PPT模板21页</t>
        </is>
      </c>
      <c r="B238">
        <v>306</v>
      </c>
      <c r="C238" t="inlineStr">
        <is>
          <t>宝子稍等片刻，资源正在路上</t>
        </is>
      </c>
      <c r="D238" t="inlineStr">
        <is>
          <t>是</t>
        </is>
      </c>
      <c r="E238" t="inlineStr">
        <is>
          <t>✅21页完整版高端大气红色风格适合辅导员述职汇报
✅心灵之光智慧之泉职业之桥文化之韵未来之梦五大板块
✅图文并茂思政融通模式主题教育活动学术成绩提升
✅可直接套用节省时间拍下即发
✅24小时自动发货网盘链接永久有效
✅所有文件获取自网络公开渠道仅供学习交流
✅如版权方认为侵犯版权请及时联系删除
✅虚拟商品不退不换有问题随时私聊处理</t>
        </is>
      </c>
      <c r="F238" s="2" t="str">
        <f>=HYPERLINK("https://img.alicdn.com/bao/uploaded/i1/2219791650864/O1CN013uenTs1IFlJTJ5OWG_!!4611686018427383856-53-xy_item.heic_790x10000Q90.jpg_.webp", "https://img.alicdn.com/bao/uploaded/i1/2219791650864/O1CN013uenTs1IFlJTJ5OWG_!!4611686018427383856-53-xy_item.heic_790x10000Q90.jpg_.webp")</f>
        <v>https://img.alicdn.com/bao/uploaded/i1/2219791650864/O1CN013uenTs1IFlJTJ5OWG_!!4611686018427383856-53-xy_item.heic_790x10000Q90.jpg_.webp</v>
      </c>
      <c r="G238"/>
      <c r="H238" s="2" t="str">
        <f>=HYPERLINK("https://www.goofish.com/item?spm=a21ybx.search.searchFeedList.2.22e26c82OoK8dC&amp;id=1006069144234&amp;categoryId=201454708", "https://www.goofish.com/item?spm=a21ybx.search.searchFeedList.2.22e26c82OoK8dC&amp;id=1006069144234&amp;categoryId=201454708")</f>
        <v>https://www.goofish.com/item?spm=a21ybx.search.searchFeedList.2.22e26c82OoK8dC&amp;id=1006069144234&amp;categoryId=201454708</v>
      </c>
      <c r="I238">
        <v>1006069144234</v>
      </c>
      <c r="J238"/>
      <c r="K238"/>
      <c r="L238"/>
    </row>
    <row r="239" ht="25.5" customHeight="1">
      <c r="A239" t="inlineStr">
        <is>
          <t>【秒发】150+款PPT箭头模板6色</t>
        </is>
      </c>
      <c r="B239">
        <v>307</v>
      </c>
      <c r="C239" t="inlineStr">
        <is>
          <t>宝子稍等片刻，资源正在路上</t>
        </is>
      </c>
      <c r="D239" t="inlineStr">
        <is>
          <t>是</t>
        </is>
      </c>
      <c r="E239" t="inlineStr">
        <is>
          <t>✅150+款PPT箭头模板6种配色科技风素材
✅提升PPT专业性和视觉效果
✅适用于工作汇报、流程展示、数据对比等多个场景
✅24小时自动发货系统秒发
✅标价就是售价拍下即得</t>
        </is>
      </c>
      <c r="F239" s="2" t="str">
        <f>=HYPERLINK("https://img.alicdn.com/bao/uploaded/i3/O1CN01odgKUR1tVSbLZKHF9_!!4611686018427380947-0-fleamarket.jpg_790x10000Q90.jpg_.webp", "https://img.alicdn.com/bao/uploaded/i3/O1CN01odgKUR1tVSbLZKHF9_!!4611686018427380947-0-fleamarket.jpg_790x10000Q90.jpg_.webp")</f>
        <v>https://img.alicdn.com/bao/uploaded/i3/O1CN01odgKUR1tVSbLZKHF9_!!4611686018427380947-0-fleamarket.jpg_790x10000Q90.jpg_.webp</v>
      </c>
      <c r="G239"/>
      <c r="H239" s="2" t="str">
        <f>=HYPERLINK("https://www.goofish.com/item?spm=a21ybx.search.searchFeedList.17.22e26c82OoK8dC&amp;id=900062384440&amp;categoryId=201454708", "https://www.goofish.com/item?spm=a21ybx.search.searchFeedList.17.22e26c82OoK8dC&amp;id=900062384440&amp;categoryId=201454708")</f>
        <v>https://www.goofish.com/item?spm=a21ybx.search.searchFeedList.17.22e26c82OoK8dC&amp;id=900062384440&amp;categoryId=201454708</v>
      </c>
      <c r="I239">
        <v>900062384440</v>
      </c>
      <c r="J239"/>
      <c r="K239"/>
      <c r="L239"/>
    </row>
    <row r="240" ht="25.5" customHeight="1">
      <c r="A240" t="inlineStr">
        <is>
          <t>【秒发】399套竞赛PPT国赛模板</t>
        </is>
      </c>
      <c r="B240">
        <v>308</v>
      </c>
      <c r="C240" t="inlineStr">
        <is>
          <t>宝子稍等片刻，资源正在路上</t>
        </is>
      </c>
      <c r="D240" t="inlineStr">
        <is>
          <t>是</t>
        </is>
      </c>
      <c r="E240" t="inlineStr">
        <is>
          <t>✅最新399套竞赛PPT国赛模板互联网+大学生创新创业大赛挑战杯创赛
✅各色系PPT案例高端模板国金水平可编辑源文件
✅赠送500+套互联网＋大创挑战杯往届获奖作品资料参考
✅赠送10000套大学生创新创业计划书word成品商业策划书
✅赠送100个专业大学生职业生涯规划书Word范文PPT
✅拍下后网盘发货24小时自动发货
✅包更新包售后放心用
✅自动更新系统以后项目课程软件不花钱</t>
        </is>
      </c>
      <c r="F240" s="2" t="str">
        <f>=HYPERLINK("https://img.alicdn.com/bao/uploaded/i4/O1CN012kihMW23JgcGDNqtG_!!4611686018427383219-0-fleamarket.jpg_790x10000Q90.jpg_.webp", "https://img.alicdn.com/bao/uploaded/i4/O1CN012kihMW23JgcGDNqtG_!!4611686018427383219-0-fleamarket.jpg_790x10000Q90.jpg_.webp")</f>
        <v>https://img.alicdn.com/bao/uploaded/i4/O1CN012kihMW23JgcGDNqtG_!!4611686018427383219-0-fleamarket.jpg_790x10000Q90.jpg_.webp</v>
      </c>
      <c r="G240"/>
      <c r="H240" s="2" t="str">
        <f>=HYPERLINK("https://www.goofish.com/item?spm=a21ybx.search.searchFeedList.26.22e26c82OoK8dC&amp;id=960857791745&amp;categoryId=201454708", "https://www.goofish.com/item?spm=a21ybx.search.searchFeedList.26.22e26c82OoK8dC&amp;id=960857791745&amp;categoryId=201454708")</f>
        <v>https://www.goofish.com/item?spm=a21ybx.search.searchFeedList.26.22e26c82OoK8dC&amp;id=960857791745&amp;categoryId=201454708</v>
      </c>
      <c r="I240">
        <v>960857791745</v>
      </c>
      <c r="J240"/>
      <c r="K240"/>
      <c r="L240"/>
    </row>
    <row r="241" ht="25.5" customHeight="1">
      <c r="A241" t="inlineStr">
        <is>
          <t>【秒发】600+少儿创意美术PPT课件</t>
        </is>
      </c>
      <c r="B241">
        <v>309</v>
      </c>
      <c r="C241" t="inlineStr">
        <is>
          <t>宝子稍等片刻，资源正在路上</t>
        </is>
      </c>
      <c r="D241" t="inlineStr">
        <is>
          <t>是</t>
        </is>
      </c>
      <c r="E241" t="inlineStr">
        <is>
          <t>✅600+个少儿创意美术PPT适合3-16岁中小学大班
✅含步骤和范画油画棒卡通马克笔水粉剪贴超轻黏土
✅适用美术社团线上自学兴趣班
✅图片精美范画详尽省心省力
✅购买后发网盘链接永久有效售出不退
✅有任何问题欢迎私聊沟通
✅所有资源来自网络公开渠道仅供学习交流
✅版权归原作者侵权必删</t>
        </is>
      </c>
      <c r="F241" s="2" t="str">
        <f>=HYPERLINK("https://img.alicdn.com/bao/uploaded/i2/O1CN01WORwfL1IGg60JbEgj_!!4611686018427384530-0-fleamarket.jpg_790x10000Q90.jpg_.webp", "https://img.alicdn.com/bao/uploaded/i2/O1CN01WORwfL1IGg60JbEgj_!!4611686018427384530-0-fleamarket.jpg_790x10000Q90.jpg_.webp")</f>
        <v>https://img.alicdn.com/bao/uploaded/i2/O1CN01WORwfL1IGg60JbEgj_!!4611686018427384530-0-fleamarket.jpg_790x10000Q90.jpg_.webp</v>
      </c>
      <c r="G241"/>
      <c r="H241" s="2" t="str">
        <f>=HYPERLINK("https://www.goofish.com/item?spm=a21ybx.search.searchFeedList.12.22e26c82mrcEVv&amp;id=991875282067&amp;categoryId=201454708", "https://www.goofish.com/item?spm=a21ybx.search.searchFeedList.12.22e26c82mrcEVv&amp;id=991875282067&amp;categoryId=201454708")</f>
        <v>https://www.goofish.com/item?spm=a21ybx.search.searchFeedList.12.22e26c82mrcEVv&amp;id=991875282067&amp;categoryId=201454708</v>
      </c>
      <c r="I241">
        <v>991875282067</v>
      </c>
      <c r="J241"/>
      <c r="K241"/>
      <c r="L241"/>
    </row>
    <row r="242" ht="25.5" customHeight="1">
      <c r="A242" t="inlineStr">
        <is>
          <t>【秒发】结构化PPT模板6色全覆盖</t>
        </is>
      </c>
      <c r="B242">
        <v>310</v>
      </c>
      <c r="C242" t="inlineStr">
        <is>
          <t>宝子稍等片刻，资源正在路上</t>
        </is>
      </c>
      <c r="D242" t="inlineStr">
        <is>
          <t>是</t>
        </is>
      </c>
      <c r="E242" t="inlineStr">
        <is>
          <t>✅6种配色结构化PPT模板直接套用
✅述职汇报工作汇报实习答辩财务分析市场调研数据分析
✅丰富可编辑数据可视化图表逻辑清晰
✅热门博主同款模板省时省力
✅拍下自动秒发百度网盘链接
✅内容可编辑不退不换</t>
        </is>
      </c>
      <c r="F242" s="2" t="str">
        <f>=HYPERLINK("https://img.alicdn.com/bao/uploaded/i4/20947118/O1CN016IMjBF22S6JHbZrQs_!!4611686018427379886-0-xy_item.jpg_790x10000Q90.jpg_.webp", "https://img.alicdn.com/bao/uploaded/i4/20947118/O1CN016IMjBF22S6JHbZrQs_!!4611686018427379886-0-xy_item.jpg_790x10000Q90.jpg_.webp")</f>
        <v>https://img.alicdn.com/bao/uploaded/i4/20947118/O1CN016IMjBF22S6JHbZrQs_!!4611686018427379886-0-xy_item.jpg_790x10000Q90.jpg_.webp</v>
      </c>
      <c r="G242"/>
      <c r="H242" s="2" t="str">
        <f>=HYPERLINK("https://www.goofish.com/item?spm=a21ybx.search.searchFeedList.25.22e26c82mrcEVv&amp;id=1006652254466&amp;categoryId=201454708", "https://www.goofish.com/item?spm=a21ybx.search.searchFeedList.25.22e26c82mrcEVv&amp;id=1006652254466&amp;categoryId=201454708")</f>
        <v>https://www.goofish.com/item?spm=a21ybx.search.searchFeedList.25.22e26c82mrcEVv&amp;id=1006652254466&amp;categoryId=201454708</v>
      </c>
      <c r="I242">
        <v>1006652254466</v>
      </c>
      <c r="J242"/>
      <c r="K242"/>
      <c r="L242"/>
    </row>
    <row r="243" ht="25.5" customHeight="1">
      <c r="A243" t="inlineStr">
        <is>
          <t>【秒发】2025拼音PPT课件动画视频练习</t>
        </is>
      </c>
      <c r="B243">
        <v>311</v>
      </c>
      <c r="C243" t="inlineStr">
        <is>
          <t>宝子稍等片刻，资源正在路上</t>
        </is>
      </c>
      <c r="D243" t="inlineStr">
        <is>
          <t>是</t>
        </is>
      </c>
      <c r="E243" t="inlineStr">
        <is>
          <t>✅2025全新整理拼音学习资料包含视频动漫游戏练习PPT等
✅幼小衔接电子版全套资料可打印
✅从零开始帮助小朋友轻松掌握拼音基础
✅适合幼儿园小学阶段使用
✅精心整理全面覆盖拼音全部知识点
✅只要用心坚持孩子兴趣盎然事半功倍
✅电子版资料售出不退
✅有问题请在客服聊天窗口留言第一时间回复</t>
        </is>
      </c>
      <c r="F243" s="2" t="str">
        <f>=HYPERLINK("https://img.alicdn.com/bao/uploaded/i1/O1CN01Fj9Fdg1IFlJJFM048_!!4611686018427383856-53-fleamarket.heic_790x10000Q90.jpg_.webp", "https://img.alicdn.com/bao/uploaded/i1/O1CN01Fj9Fdg1IFlJJFM048_!!4611686018427383856-53-fleamarket.heic_790x10000Q90.jpg_.webp")</f>
        <v>https://img.alicdn.com/bao/uploaded/i1/O1CN01Fj9Fdg1IFlJJFM048_!!4611686018427383856-53-fleamarket.heic_790x10000Q90.jpg_.webp</v>
      </c>
      <c r="G243"/>
      <c r="H243" s="2" t="str">
        <f>=HYPERLINK("https://www.goofish.com/item?spm=a21ybx.search.searchFeedList.3.22e26c82mrcEVv&amp;id=1001203797915&amp;categoryId=201454708", "https://www.goofish.com/item?spm=a21ybx.search.searchFeedList.3.22e26c82mrcEVv&amp;id=1001203797915&amp;categoryId=201454708")</f>
        <v>https://www.goofish.com/item?spm=a21ybx.search.searchFeedList.3.22e26c82mrcEVv&amp;id=1001203797915&amp;categoryId=201454708</v>
      </c>
      <c r="I243">
        <v>1001203797915</v>
      </c>
      <c r="J243"/>
      <c r="K243"/>
      <c r="L243"/>
    </row>
    <row r="244" ht="25.5" customHeight="1">
      <c r="A244" t="inlineStr">
        <is>
          <t>【秒发】200+套国外高端Keynote模板</t>
        </is>
      </c>
      <c r="B244">
        <v>312</v>
      </c>
      <c r="C244" t="inlineStr">
        <is>
          <t>宝子稍等片刻，资源正在路上</t>
        </is>
      </c>
      <c r="D244" t="inlineStr">
        <is>
          <t>是</t>
        </is>
      </c>
      <c r="E244" t="inlineStr">
        <is>
          <t>✅200+套国外高端商务简约Keynote模板
✅项目汇报工作总结方案策划全覆盖
✅释放双手专注工作提升效率
✅百度网盘发货自动秒发
✅所有文件获取自网络公开渠道仅供学习交流
✅虚拟商品不退不换</t>
        </is>
      </c>
      <c r="F244" s="2" t="str">
        <f>=HYPERLINK("https://img.alicdn.com/bao/uploaded/i1/O1CN01pDlr6526xTez1YedZ_!!53-fleamarket.heic_790x10000Q90.jpg_.webp", "https://img.alicdn.com/bao/uploaded/i1/O1CN01pDlr6526xTez1YedZ_!!53-fleamarket.heic_790x10000Q90.jpg_.webp")</f>
        <v>https://img.alicdn.com/bao/uploaded/i1/O1CN01pDlr6526xTez1YedZ_!!53-fleamarket.heic_790x10000Q90.jpg_.webp</v>
      </c>
      <c r="G244"/>
      <c r="H244" s="2" t="str">
        <f>=HYPERLINK("https://www.goofish.com/item?spm=a21ybx.search.searchFeedList.22.22e26c82mrcEVv&amp;id=679986333904&amp;categoryId=201453706", "https://www.goofish.com/item?spm=a21ybx.search.searchFeedList.22.22e26c82mrcEVv&amp;id=679986333904&amp;categoryId=201453706")</f>
        <v>https://www.goofish.com/item?spm=a21ybx.search.searchFeedList.22.22e26c82mrcEVv&amp;id=679986333904&amp;categoryId=201453706</v>
      </c>
      <c r="I244">
        <v>679986333904</v>
      </c>
      <c r="J244"/>
      <c r="K244"/>
      <c r="L244"/>
    </row>
    <row r="245" ht="25.5" customHeight="1">
      <c r="A245" t="inlineStr">
        <is>
          <t>【秒发】1440页高级感PPT模板9色</t>
        </is>
      </c>
      <c r="B245">
        <v>313</v>
      </c>
      <c r="C245" t="inlineStr">
        <is>
          <t>宝子稍等片刻，资源正在路上</t>
        </is>
      </c>
      <c r="D245" t="inlineStr">
        <is>
          <t>是</t>
        </is>
      </c>
      <c r="E245" t="inlineStr">
        <is>
          <t>✅9色1440页高级感PPT模板商务风配色多内容全
✅甘特图流程图数据分析SWOT鱼骨图都有
✅适合做报告汇报总结PPTX格式支持自定义
✅内容可编辑网盘秒发买了直接用省事
✅喜欢直接拍细节私聊价格可聊
✅电子产品售出不退</t>
        </is>
      </c>
      <c r="F245" s="2" t="str">
        <f>=HYPERLINK("https://img.alicdn.com/bao/uploaded/i2/O1CN01BkHsdd1GXxnxKA0b8_!!4611686018427384377-0-fleamarket.jpg_790x10000Q90.jpg_.webp", "https://img.alicdn.com/bao/uploaded/i2/O1CN01BkHsdd1GXxnxKA0b8_!!4611686018427384377-0-fleamarket.jpg_790x10000Q90.jpg_.webp")</f>
        <v>https://img.alicdn.com/bao/uploaded/i2/O1CN01BkHsdd1GXxnxKA0b8_!!4611686018427384377-0-fleamarket.jpg_790x10000Q90.jpg_.webp</v>
      </c>
      <c r="G245"/>
      <c r="H245" s="2" t="str">
        <f>=HYPERLINK("https://www.goofish.com/item?spm=a21ybx.search.searchFeedList.14.22e26c82OoK8dC&amp;id=983372113958&amp;categoryId=201453706", "https://www.goofish.com/item?spm=a21ybx.search.searchFeedList.14.22e26c82OoK8dC&amp;id=983372113958&amp;categoryId=201453706")</f>
        <v>https://www.goofish.com/item?spm=a21ybx.search.searchFeedList.14.22e26c82OoK8dC&amp;id=983372113958&amp;categoryId=201453706</v>
      </c>
      <c r="I245">
        <v>983372113958</v>
      </c>
      <c r="J245"/>
      <c r="K245"/>
      <c r="L245"/>
    </row>
    <row r="246" ht="25.5" customHeight="1">
      <c r="A246" t="inlineStr">
        <is>
          <t>【秒发】2600套Word简历模板求职</t>
        </is>
      </c>
      <c r="B246">
        <v>314</v>
      </c>
      <c r="C246" t="inlineStr">
        <is>
          <t>宝子稍等片刻，资源正在路上</t>
        </is>
      </c>
      <c r="D246" t="inlineStr">
        <is>
          <t>是</t>
        </is>
      </c>
      <c r="E246" t="inlineStr">
        <is>
          <t>✅精选2600套Word档简历模板求职模板
✅简约版简历模板总有一款适合你
✅赠送求职范文和面试技巧
✅Word可直接修改单页多页均有三页四页多种模板任你选
✅拍下立刻发货标价就是卖价
✅包更新包售后放心用
✅网盘发货自动更新系统以后项目课程软件不花钱</t>
        </is>
      </c>
      <c r="F246" s="2" t="str">
        <f>=HYPERLINK("https://img.alicdn.com/bao/uploaded/i4/O1CN01uOQsO41PbTMgFk7ZZ_!!4611686018427380931-53-fleamarket.heic_790x10000Q90.jpg_.webp", "https://img.alicdn.com/bao/uploaded/i4/O1CN01uOQsO41PbTMgFk7ZZ_!!4611686018427380931-53-fleamarket.heic_790x10000Q90.jpg_.webp")</f>
        <v>https://img.alicdn.com/bao/uploaded/i4/O1CN01uOQsO41PbTMgFk7ZZ_!!4611686018427380931-53-fleamarket.heic_790x10000Q90.jpg_.webp</v>
      </c>
      <c r="G246"/>
      <c r="H246" s="2" t="str">
        <f>=HYPERLINK("https://www.goofish.com/item?spm=a21ybx.search.searchFeedList.3.22e26c82OoK8dC&amp;id=959259002024&amp;categoryId=201454708", "https://www.goofish.com/item?spm=a21ybx.search.searchFeedList.3.22e26c82OoK8dC&amp;id=959259002024&amp;categoryId=201454708")</f>
        <v>https://www.goofish.com/item?spm=a21ybx.search.searchFeedList.3.22e26c82OoK8dC&amp;id=959259002024&amp;categoryId=201454708</v>
      </c>
      <c r="I246">
        <v>959259002024</v>
      </c>
      <c r="J246"/>
      <c r="K246"/>
      <c r="L246"/>
    </row>
    <row r="247" ht="25.5" customHeight="1">
      <c r="A247" t="inlineStr">
        <is>
          <t>【秒发】PPT课堂游戏互动模板抽奖</t>
        </is>
      </c>
      <c r="B247">
        <v>315</v>
      </c>
      <c r="C247" t="inlineStr">
        <is>
          <t>宝子稍等片刻，资源正在路上</t>
        </is>
      </c>
      <c r="D247" t="inlineStr">
        <is>
          <t>是</t>
        </is>
      </c>
      <c r="E247" t="inlineStr">
        <is>
          <t>✅创意趣味抽奖红包砸金蛋转盘互动游戏模板
✅可以用手机直接编辑支持WPS使用
✅精挑细选最新模板市面上少有
✅提升课堂互动氛围增强学生参与感
✅24小时自动秒发急用秒发全天在线秒发
✅资料具有可复制性不支持退货</t>
        </is>
      </c>
      <c r="F247" s="2" t="str">
        <f>=HYPERLINK("https://img.alicdn.com/bao/uploaded/i4/578116169/O1CN01eRp5fN1vRSRGHCHeP_!!4611686018427386441-0-xy_item.jpg_790x10000Q90.jpg_.webp", "https://img.alicdn.com/bao/uploaded/i4/578116169/O1CN01eRp5fN1vRSRGHCHeP_!!4611686018427386441-0-xy_item.jpg_790x10000Q90.jpg_.webp")</f>
        <v>https://img.alicdn.com/bao/uploaded/i4/578116169/O1CN01eRp5fN1vRSRGHCHeP_!!4611686018427386441-0-xy_item.jpg_790x10000Q90.jpg_.webp</v>
      </c>
      <c r="G247"/>
      <c r="H247" s="2" t="str">
        <f>=HYPERLINK("https://www.goofish.com/item?spm=a21ybx.search.searchFeedList.5.22e26c82OoK8dC&amp;id=1001015324360&amp;categoryId=201454708", "https://www.goofish.com/item?spm=a21ybx.search.searchFeedList.5.22e26c82OoK8dC&amp;id=1001015324360&amp;categoryId=201454708")</f>
        <v>https://www.goofish.com/item?spm=a21ybx.search.searchFeedList.5.22e26c82OoK8dC&amp;id=1001015324360&amp;categoryId=201454708</v>
      </c>
      <c r="I247">
        <v>1001015324360</v>
      </c>
      <c r="J247"/>
      <c r="K247"/>
      <c r="L247"/>
    </row>
    <row r="248" ht="25.5" customHeight="1">
      <c r="A248" t="inlineStr">
        <is>
          <t>【秒发】职规赛夺冠必备PPT模板</t>
        </is>
      </c>
      <c r="B248">
        <v>316</v>
      </c>
      <c r="C248" t="inlineStr">
        <is>
          <t>宝子稍等片刻，资源正在路上</t>
        </is>
      </c>
      <c r="D248" t="inlineStr">
        <is>
          <t>是</t>
        </is>
      </c>
      <c r="E248" t="inlineStr">
        <is>
          <t>✅职规赛专属PPT模板夺冠必备版
✅覆盖自我认知职业分析路径规划实施计划核心模块
✅从初赛到决赛全阶段展示场景精准适配
✅一键替换数据图表与个人案例灵活匹配不同专业
✅设计简约大气重点突出编辑替换便捷
✅零设计基础也能快速打造高水准答辩PPT
✅超省心冲刺职规赛高分全模块覆盖
✅网盘拍下即发助力快速完成演示准备
✅文件来自公开网络资源仅供学习交流
✅版权归作者所有如有版权问题请联系删除</t>
        </is>
      </c>
      <c r="F248" s="2" t="str">
        <f>=HYPERLINK("https://img.alicdn.com/bao/uploaded/i3/O1CN01ynuAHk1IFlIlQrAFl_!!4611686018427383856-0-fleamarket.jpg_790x10000Q90.jpg_.webp", "https://img.alicdn.com/bao/uploaded/i3/O1CN01ynuAHk1IFlIlQrAFl_!!4611686018427383856-0-fleamarket.jpg_790x10000Q90.jpg_.webp")</f>
        <v>https://img.alicdn.com/bao/uploaded/i3/O1CN01ynuAHk1IFlIlQrAFl_!!4611686018427383856-0-fleamarket.jpg_790x10000Q90.jpg_.webp</v>
      </c>
      <c r="G248"/>
      <c r="H248" s="2" t="str">
        <f>=HYPERLINK("https://www.goofish.com/item?spm=a21ybx.search.searchFeedList.9.22e26c82OoK8dC&amp;id=978499846717&amp;categoryId=201454708", "https://www.goofish.com/item?spm=a21ybx.search.searchFeedList.9.22e26c82OoK8dC&amp;id=978499846717&amp;categoryId=201454708")</f>
        <v>https://www.goofish.com/item?spm=a21ybx.search.searchFeedList.9.22e26c82OoK8dC&amp;id=978499846717&amp;categoryId=201454708</v>
      </c>
      <c r="I248">
        <v>978499846717</v>
      </c>
      <c r="J248"/>
      <c r="K248"/>
      <c r="L248"/>
    </row>
    <row r="249" ht="25.5" customHeight="1">
      <c r="A249" t="inlineStr">
        <is>
          <t>【秒发】1500+套红色系PPT模板</t>
        </is>
      </c>
      <c r="B249">
        <v>317</v>
      </c>
      <c r="C249" t="inlineStr">
        <is>
          <t>宝子稍等片刻，资源正在路上</t>
        </is>
      </c>
      <c r="D249" t="inlineStr">
        <is>
          <t>是</t>
        </is>
      </c>
      <c r="E249" t="inlineStr">
        <is>
          <t>✅888+套庄严大气红色系PPT模板高级感高端
✅赠送8款主流PPT模板每款价值3元以上
✅总共1500+套模板全部打包超值
✅莫兰迪风设计感轻奢大理石手绘风极简禁欲
✅文艺旅行纯粹简致国潮风国风北欧风
✅ins风欧美风格高级极简日系
✅国赛金奖转盘平滑效果卡通人物可爱风
✅线条小狗科技感国外高端动态
✅工作总结工作汇报数据分析市场调研
✅答辩授课竞赛大学生教师讲课
✅科技创新互联网+汇报展示
✅企业宣传产品介绍企业招聘企业培训
✅商业计划书能源科技建筑工程时尚
✅地产物业室内设计保健文化传媒
✅餐饮农业教育招生企业年会产品发布
✅服务行业国风扁平风单位
✅成品课件直接拿来用可下载可编辑直接套用
✅分类清晰独立文件夹标注售后无忧可放心拍</t>
        </is>
      </c>
      <c r="F249" s="2" t="str">
        <f>=HYPERLINK("https://img.alicdn.com/bao/uploaded/i1/O1CN01ksxkce1PwXYzGHILX_!!4611686018427387569-0-fleamarket.jpg_790x10000Q90.jpg_.webp", "https://img.alicdn.com/bao/uploaded/i1/O1CN01ksxkce1PwXYzGHILX_!!4611686018427387569-0-fleamarket.jpg_790x10000Q90.jpg_.webp")</f>
        <v>https://img.alicdn.com/bao/uploaded/i1/O1CN01ksxkce1PwXYzGHILX_!!4611686018427387569-0-fleamarket.jpg_790x10000Q90.jpg_.webp</v>
      </c>
      <c r="G249"/>
      <c r="H249" s="2" t="str">
        <f>=HYPERLINK("https://www.goofish.com/item?spm=a21ybx.search.searchFeedList.2.22e26c82mrcEVv&amp;id=927849122859&amp;categoryId=201453706", "https://www.goofish.com/item?spm=a21ybx.search.searchFeedList.2.22e26c82mrcEVv&amp;id=927849122859&amp;categoryId=201453706")</f>
        <v>https://www.goofish.com/item?spm=a21ybx.search.searchFeedList.2.22e26c82mrcEVv&amp;id=927849122859&amp;categoryId=201453706</v>
      </c>
      <c r="I249">
        <v>927849122859</v>
      </c>
      <c r="J249"/>
      <c r="K249"/>
      <c r="L249"/>
    </row>
    <row r="250" ht="25.5" customHeight="1">
      <c r="A250" t="inlineStr">
        <is>
          <t>【秒发】78套2026马年工作计划PPT</t>
        </is>
      </c>
      <c r="B250">
        <v>318</v>
      </c>
      <c r="C250" t="inlineStr">
        <is>
          <t>宝子稍等片刻，资源正在路上</t>
        </is>
      </c>
      <c r="D250"/>
      <c r="E250" t="inlineStr">
        <is>
          <t>✅78套适配2026马年的工作计划PPT模板
✅融入骏马新年氛围等专属设计元素
✅全场景适配工作计划年终总结述职汇报年会
✅一键编辑文字图片图表均可修改操作简单
✅网盘发送秒拍秒发24小时自动发货
✅电子资料具有可复制性售出不支持无理由退款
✅资源来源于互联网版权归原作者所有
✅若存在侵权问题请联系处理</t>
        </is>
      </c>
      <c r="F250" s="2" t="str">
        <f>=HYPERLINK("https://img.alicdn.com/bao/uploaded/i4/2218894703320/O1CN01TJcmFJ1aOc3FkOWzF_!!4611686018427386584-0-xy_item.jpg_790x10000Q90.jpg_.webp", "https://img.alicdn.com/bao/uploaded/i4/2218894703320/O1CN01TJcmFJ1aOc3FkOWzF_!!4611686018427386584-0-xy_item.jpg_790x10000Q90.jpg_.webp")</f>
        <v>https://img.alicdn.com/bao/uploaded/i4/2218894703320/O1CN01TJcmFJ1aOc3FkOWzF_!!4611686018427386584-0-xy_item.jpg_790x10000Q90.jpg_.webp</v>
      </c>
      <c r="G250"/>
      <c r="H250" s="2" t="str">
        <f>=HYPERLINK("https://www.goofish.com/item?spm=a21ybx.search.searchFeedList.23.22e26c82v4o1nV&amp;id=1007173688145&amp;categoryId=201454708", "https://www.goofish.com/item?spm=a21ybx.search.searchFeedList.23.22e26c82v4o1nV&amp;id=1007173688145&amp;categoryId=201454708")</f>
        <v>https://www.goofish.com/item?spm=a21ybx.search.searchFeedList.23.22e26c82v4o1nV&amp;id=1007173688145&amp;categoryId=201454708</v>
      </c>
      <c r="I250">
        <v>1007173688145</v>
      </c>
      <c r="J250"/>
      <c r="K250"/>
      <c r="L250"/>
    </row>
    <row r="251" ht="25.5" customHeight="1">
      <c r="A251" t="inlineStr">
        <is>
          <t>【秒发】9套高级感工作汇报PPT模板</t>
        </is>
      </c>
      <c r="B251">
        <v>319</v>
      </c>
      <c r="C251" t="inlineStr">
        <is>
          <t>宝子稍等片刻，资源正在路上</t>
        </is>
      </c>
      <c r="D251"/>
      <c r="E251" t="inlineStr">
        <is>
          <t>✅领导超爱的高级感工作汇报PPT模板
✅排版简洁干净高端大气打工人必备
✅9个模板9种配色每套160页
✅附赠国外高端PPT模板400p常用小图标字体包
✅发货后不得退款敬请谅解
✅所有文件获取自网络公开渠道仅供学习交流
✅版权归版权人所有如侵权请联系删除
✅商品售价仅是资源查找整理加工费用
✅不涉及商用仅供学习</t>
        </is>
      </c>
      <c r="F251" s="2" t="str">
        <f>=HYPERLINK("https://img.alicdn.com/bao/uploaded/i2/O1CN01d3mCf01IFlGr7C5OY_!!4611686018427383856-53-fleamarket.heic_790x10000Q90.jpg_.webp", "https://img.alicdn.com/bao/uploaded/i2/O1CN01d3mCf01IFlGr7C5OY_!!4611686018427383856-53-fleamarket.heic_790x10000Q90.jpg_.webp")</f>
        <v>https://img.alicdn.com/bao/uploaded/i2/O1CN01d3mCf01IFlGr7C5OY_!!4611686018427383856-53-fleamarket.heic_790x10000Q90.jpg_.webp</v>
      </c>
      <c r="G251"/>
      <c r="H251" s="2" t="str">
        <f>=HYPERLINK("https://www.goofish.com/item?spm=a21ybx.search.searchFeedList.17.22e26c82jlohwD&amp;id=948022201397&amp;categoryId=201454708", "https://www.goofish.com/item?spm=a21ybx.search.searchFeedList.17.22e26c82jlohwD&amp;id=948022201397&amp;categoryId=201454708")</f>
        <v>https://www.goofish.com/item?spm=a21ybx.search.searchFeedList.17.22e26c82jlohwD&amp;id=948022201397&amp;categoryId=201454708</v>
      </c>
      <c r="I251">
        <v>948022201397</v>
      </c>
      <c r="J251"/>
      <c r="K251"/>
      <c r="L251"/>
    </row>
    <row r="252" ht="25.5" customHeight="1">
      <c r="A252" t="inlineStr">
        <is>
          <t>【秒发】1200页数据分析PPT模板</t>
        </is>
      </c>
      <c r="B252">
        <v>320</v>
      </c>
      <c r="C252" t="inlineStr">
        <is>
          <t>宝子稍等片刻，资源正在路上</t>
        </is>
      </c>
      <c r="D252"/>
      <c r="E252" t="inlineStr">
        <is>
          <t>✅工作报告21套数据分析PPT不重复共1200页
✅适用日常报告市场调研数据分析工作总结
✅工作汇报述职报告等各种场景
✅黄金曲线模型SWOT模型鱼骨图等可视化逻辑图表
✅助力事业节省时间可编辑可修改使用方便
✅24小时自动发货精心挑选PPT高端模板
✅简洁高效直观每套模板精心挑选
✅每款精品质量高助力更加顺利
✅网页端手机端可能存在兼容问题
✅如碰到PPT显示异常请下载后使用电脑端office和wps打开
✅所有文件获取自网络公开渠道仅供学习交流
✅如有侵权请及时联系小店删除</t>
        </is>
      </c>
      <c r="F252" s="2" t="str">
        <f>=HYPERLINK("https://img.alicdn.com/bao/uploaded/i1/O1CN01OPu8Ij1Tsej4lOraJ_!!4611686018427386534-0-fleamarket.jpg_790x10000Q90.jpg_.webp", "https://img.alicdn.com/bao/uploaded/i1/O1CN01OPu8Ij1Tsej4lOraJ_!!4611686018427386534-0-fleamarket.jpg_790x10000Q90.jpg_.webp")</f>
        <v>https://img.alicdn.com/bao/uploaded/i1/O1CN01OPu8Ij1Tsej4lOraJ_!!4611686018427386534-0-fleamarket.jpg_790x10000Q90.jpg_.webp</v>
      </c>
      <c r="G252"/>
      <c r="H252" s="2" t="str">
        <f>=HYPERLINK("https://www.goofish.com/item?spm=a21ybx.search.searchFeedList.13.22e26c82jlohwD&amp;id=1007252038443&amp;categoryId=201453706", "https://www.goofish.com/item?spm=a21ybx.search.searchFeedList.13.22e26c82jlohwD&amp;id=1007252038443&amp;categoryId=201453706")</f>
        <v>https://www.goofish.com/item?spm=a21ybx.search.searchFeedList.13.22e26c82jlohwD&amp;id=1007252038443&amp;categoryId=201453706</v>
      </c>
      <c r="I252">
        <v>1007252038443</v>
      </c>
      <c r="J252"/>
      <c r="K252"/>
      <c r="L252"/>
    </row>
    <row r="253" ht="25.5" customHeight="1">
      <c r="A253" t="inlineStr">
        <is>
          <t>【秒发】期末表彰大会PPT模板</t>
        </is>
      </c>
      <c r="B253">
        <v>321</v>
      </c>
      <c r="C253" t="inlineStr">
        <is>
          <t>宝子稍等片刻，资源正在路上</t>
        </is>
      </c>
      <c r="D253"/>
      <c r="E253" t="inlineStr">
        <is>
          <t>✅期末表彰大会PPT模板可编辑小学初中通用
✅含班主任致辞颁奖典礼寒假安全提示
✅假期安排建议总结与展望模块
✅班级期末总结学校表彰大会年级集体会议线上表彰活动
✅模板风格简洁大气贴合校园主题
✅高效组织期末表彰活动传递鼓励与关怀
✅2025年辛勤耕耘2026年继续努力
✅电子版PPT模板购买后发送网盘链接请及时下载
✅版权归属原作者如认为侵犯版权请及时通知删除
✅支持正版敬请前往官方购买</t>
        </is>
      </c>
      <c r="F253" s="2" t="str">
        <f>=HYPERLINK("https://img.alicdn.com/bao/uploaded/i2/2221187899404/O1CN01GeWI572JL5ih8UiOo_!!4611686018427379724-53-xy_item.heic_790x10000Q90.jpg_.webp", "https://img.alicdn.com/bao/uploaded/i2/2221187899404/O1CN01GeWI572JL5ih8UiOo_!!4611686018427379724-53-xy_item.heic_790x10000Q90.jpg_.webp")</f>
        <v>https://img.alicdn.com/bao/uploaded/i2/2221187899404/O1CN01GeWI572JL5ih8UiOo_!!4611686018427379724-53-xy_item.heic_790x10000Q90.jpg_.webp</v>
      </c>
      <c r="G253"/>
      <c r="H253" s="2" t="str">
        <f>=HYPERLINK("https://www.goofish.com/item?spm=a21ybx.search.searchFeedList.21.22e26c82v4o1nV&amp;id=1013420928028&amp;categoryId=201454708", "https://www.goofish.com/item?spm=a21ybx.search.searchFeedList.21.22e26c82v4o1nV&amp;id=1013420928028&amp;categoryId=201454708")</f>
        <v>https://www.goofish.com/item?spm=a21ybx.search.searchFeedList.21.22e26c82v4o1nV&amp;id=1013420928028&amp;categoryId=201454708</v>
      </c>
      <c r="I253">
        <v>1013420928028</v>
      </c>
      <c r="J253"/>
      <c r="K253"/>
      <c r="L253"/>
    </row>
    <row r="254" ht="25.5" customHeight="1">
      <c r="A254" t="inlineStr">
        <is>
          <t>【秒发】300+500页结构化逻辑PPT模板</t>
        </is>
      </c>
      <c r="B254">
        <v>322</v>
      </c>
      <c r="C254" t="inlineStr">
        <is>
          <t>【超级会员V2】通过百度网盘分享的文件：逻辑可视化.zi…
链接:https://pan.baidu.com/s/1DZXJSNop6rMXvK_pj0c1ww 
提取码:q744
复制这段内容打开「百度网盘APP 即可获取」</t>
        </is>
      </c>
      <c r="D254"/>
      <c r="E254" t="inlineStr">
        <is>
          <t>✅300页高级逻辑数据PPT赠送500页汇报PPT共800页
✅6种配色可编辑数据图表可视化图表精美
✅述职汇报工作汇报实习汇报论文答辩全覆盖
✅财务分析市场调研数据复盘年中总结均适用
✅黄金曲线模型SWOT模型冰山模型鱼骨图应有尽有
✅覆盖天蝎PPT柠檬PPT青云PPT唐峰素材荔枝PPT等主流风格
✅赠送图标素材工作汇报图标库字体包
✅百度网盘链接发送发后不退建议看清楚再下单
✅所有文件获取自网络公开渠道仅供学习交流
✅版权归版权人所有如侵权请联系删除</t>
        </is>
      </c>
      <c r="F254" s="2" t="str">
        <f>=HYPERLINK("https://img.alicdn.com/bao/uploaded/i2/O1CN01OzZTsM1SnKR67WAbL_!!4611686018427381555-53-fleamarket.heic_790x10000Q90.jpg_.webp", "https://img.alicdn.com/bao/uploaded/i2/O1CN01OzZTsM1SnKR67WAbL_!!4611686018427381555-53-fleamarket.heic_790x10000Q90.jpg_.webp")</f>
        <v>https://img.alicdn.com/bao/uploaded/i2/O1CN01OzZTsM1SnKR67WAbL_!!4611686018427381555-53-fleamarket.heic_790x10000Q90.jpg_.webp</v>
      </c>
      <c r="G254"/>
      <c r="H254" s="2" t="str">
        <f>=HYPERLINK("https://www.goofish.com/item?spm=a21ybx.search.searchFeedList.24.22e26c82v4o1nV&amp;id=914239405011&amp;categoryId=201453706", "https://www.goofish.com/item?spm=a21ybx.search.searchFeedList.24.22e26c82v4o1nV&amp;id=914239405011&amp;categoryId=201453706")</f>
        <v>https://www.goofish.com/item?spm=a21ybx.search.searchFeedList.24.22e26c82v4o1nV&amp;id=914239405011&amp;categoryId=201453706</v>
      </c>
      <c r="I254">
        <v>914239405011</v>
      </c>
      <c r="J254"/>
      <c r="K254"/>
      <c r="L254"/>
    </row>
    <row r="255" ht="25.5" customHeight="1">
      <c r="A255" t="inlineStr">
        <is>
          <t>【秒发】马年企业年会PPT模板</t>
        </is>
      </c>
      <c r="B255">
        <v>323</v>
      </c>
      <c r="C255" t="inlineStr">
        <is>
          <t>宝子稍等片刻，资源正在路上</t>
        </is>
      </c>
      <c r="D255"/>
      <c r="E255" t="inlineStr">
        <is>
          <t>✅红色大气风格适合公司年会员工表彰
✅颁奖典礼团队荣誉展示等场合使用
✅包含数说辉煌荣誉共襄艺展芳华乐启新章等模块
✅页数多直接套用省时省力
✅高清PPT格式支持编辑
✅图片文字都能改内容可添加
✅适合企业学校个人年会用
✅拍下秒发百度网盘链接
✅虚拟商品不退不换有问题随时私聊</t>
        </is>
      </c>
      <c r="F255" s="2" t="str">
        <f>=HYPERLINK("https://img.alicdn.com/bao/uploaded/i2/2215524546353/O1CN01TrMYWz1wnjKBlRUrN_!!4611686018427385649-0-xy_item.jpg_790x10000Q90.jpg_.webp", "https://img.alicdn.com/bao/uploaded/i2/2215524546353/O1CN01TrMYWz1wnjKBlRUrN_!!4611686018427385649-0-xy_item.jpg_790x10000Q90.jpg_.webp")</f>
        <v>https://img.alicdn.com/bao/uploaded/i2/2215524546353/O1CN01TrMYWz1wnjKBlRUrN_!!4611686018427385649-0-xy_item.jpg_790x10000Q90.jpg_.webp</v>
      </c>
      <c r="G255"/>
      <c r="H255" s="2" t="str">
        <f>=HYPERLINK("https://www.goofish.com/item?spm=a21ybx.search.searchFeedList.19.22e26c82v4o1nV&amp;id=1015152429455&amp;categoryId=201453706", "https://www.goofish.com/item?spm=a21ybx.search.searchFeedList.19.22e26c82v4o1nV&amp;id=1015152429455&amp;categoryId=201453706")</f>
        <v>https://www.goofish.com/item?spm=a21ybx.search.searchFeedList.19.22e26c82v4o1nV&amp;id=1015152429455&amp;categoryId=201453706</v>
      </c>
      <c r="I255">
        <v>1015152429455</v>
      </c>
      <c r="J255"/>
      <c r="K255"/>
      <c r="L255"/>
    </row>
    <row r="256" ht="25.5" customHeight="1">
      <c r="A256" t="inlineStr">
        <is>
          <t>【秒发】2026马年年会邀请函模板</t>
        </is>
      </c>
      <c r="B256">
        <v>324</v>
      </c>
      <c r="C256" t="inlineStr">
        <is>
          <t>宝子稍等片刻，资源正在路上</t>
        </is>
      </c>
      <c r="D256"/>
      <c r="E256" t="inlineStr">
        <is>
          <t>✅2026马年年会活动邀请函长图年终总结答谢会海报模板
✅PSD设计素材可编辑
✅12小时自动秒发网盘
✅秒拍秒发拍下即发全部素材
✅各类所需素材一站式配齐
✅若不满意可直接退款
✅预览图与源文件一一对应
✅仅售模板本身无任何隐藏费用
✅适配学习展示工作汇报教学课件商务提案
✅覆盖大学生上班族教师等不同人群
✅按风格单独归类并标注文档编号查找更便捷
✅使用过程中遇问题可随时咨询</t>
        </is>
      </c>
      <c r="F256" s="2" t="str">
        <f>=HYPERLINK("https://img.alicdn.com/bao/uploaded/i4/O1CN01NvWvM81IFlJUuRqRF_!!4611686018427383856-0-fleamarket.jpg_790x10000Q90.jpg_.webp", "https://img.alicdn.com/bao/uploaded/i4/O1CN01NvWvM81IFlJUuRqRF_!!4611686018427383856-0-fleamarket.jpg_790x10000Q90.jpg_.webp")</f>
        <v>https://img.alicdn.com/bao/uploaded/i4/O1CN01NvWvM81IFlJUuRqRF_!!4611686018427383856-0-fleamarket.jpg_790x10000Q90.jpg_.webp</v>
      </c>
      <c r="G256"/>
      <c r="H256" s="2" t="str">
        <f>=HYPERLINK("https://www.goofish.com/item?spm=a21ybx.search.searchFeedList.3.22e26c82jlohwD&amp;id=1005329106185&amp;categoryId=201454708", "https://www.goofish.com/item?spm=a21ybx.search.searchFeedList.3.22e26c82jlohwD&amp;id=1005329106185&amp;categoryId=201454708")</f>
        <v>https://www.goofish.com/item?spm=a21ybx.search.searchFeedList.3.22e26c82jlohwD&amp;id=1005329106185&amp;categoryId=201454708</v>
      </c>
      <c r="I256">
        <v>1005329106185</v>
      </c>
      <c r="J256"/>
      <c r="K256"/>
      <c r="L256"/>
    </row>
    <row r="257" ht="25.5" customHeight="1">
      <c r="A257" t="inlineStr">
        <is>
          <t>【秒发】120套个人作品集PPT模板</t>
        </is>
      </c>
      <c r="B257">
        <v>325</v>
      </c>
      <c r="C257" t="inlineStr">
        <is>
          <t>宝子稍等片刻，资源正在路上</t>
        </is>
      </c>
      <c r="D257"/>
      <c r="E257" t="inlineStr">
        <is>
          <t>✅120套高级感作品集PPT模板
✅适用于作品汇报方案汇报
✅艺术创意设计行业作品集
✅一份好的PPT可以助力您的事业节省您的时间
✅每一款都设计精美可编辑可修改使用方便
✅24小时自动发货精心挑选PPT高端模板
✅简洁高效直观每套模板精心挑选
✅每款精品质量高助力您更加顺利
✅每一款都有预览图
✅虚拟物品售出不退不换</t>
        </is>
      </c>
      <c r="F257" s="2" t="str">
        <f>=HYPERLINK("https://img.alicdn.com/bao/uploaded/i4/O1CN0166n2vp1Tseddj6ATL_!!4611686018427386534-0-fleamarket.jpg_790x10000Q90.jpg_.webp", "https://img.alicdn.com/bao/uploaded/i4/O1CN0166n2vp1Tseddj6ATL_!!4611686018427386534-0-fleamarket.jpg_790x10000Q90.jpg_.webp")</f>
        <v>https://img.alicdn.com/bao/uploaded/i4/O1CN0166n2vp1Tseddj6ATL_!!4611686018427386534-0-fleamarket.jpg_790x10000Q90.jpg_.webp</v>
      </c>
      <c r="G257"/>
      <c r="H257" s="2" t="str">
        <f>=HYPERLINK("https://www.goofish.com/item?spm=a21ybx.search.searchFeedList.2.22e26c82v4o1nV&amp;id=879493972051&amp;categoryId=201453706", "https://www.goofish.com/item?spm=a21ybx.search.searchFeedList.2.22e26c82v4o1nV&amp;id=879493972051&amp;categoryId=201453706")</f>
        <v>https://www.goofish.com/item?spm=a21ybx.search.searchFeedList.2.22e26c82v4o1nV&amp;id=879493972051&amp;categoryId=201453706</v>
      </c>
      <c r="I257">
        <v>879493972051</v>
      </c>
      <c r="J257"/>
      <c r="K257"/>
      <c r="L257"/>
    </row>
    <row r="258" ht="25.5" customHeight="1">
      <c r="A258" t="inlineStr">
        <is>
          <t>【秒发】7色560页数据分析PPT模板</t>
        </is>
      </c>
      <c r="B258">
        <v>326</v>
      </c>
      <c r="C258" t="inlineStr">
        <is>
          <t>宝子稍等片刻，资源正在路上</t>
        </is>
      </c>
      <c r="D258"/>
      <c r="E258" t="inlineStr">
        <is>
          <t>✅7色560页数据分析可视化PPT模板年终述职必备
✅PPT格式可编辑一键换色超便捷
✅7种时尚配色深蓝浅蓝浅绿橙蓝红黑白蓝灰蓝橙灰
✅每种配色80页共560页海量内容满足多样审美
✅适用于日常报告市场调研数据分析工作总结
✅工作汇报等各类场景轻松应对职场展示需求
✅24小时自动发货拍下即发
✅百度网盘瞬间送达无需漫长等待</t>
        </is>
      </c>
      <c r="F258" s="2" t="str">
        <f>=HYPERLINK("https://img.alicdn.com/bao/uploaded/i2/O1CN018X8aPx1RRyKcFtJPb_!!4611686018427380973-53-fleamarket.heic_790x10000Q90.jpg_.webp", "https://img.alicdn.com/bao/uploaded/i2/O1CN018X8aPx1RRyKcFtJPb_!!4611686018427380973-53-fleamarket.heic_790x10000Q90.jpg_.webp")</f>
        <v>https://img.alicdn.com/bao/uploaded/i2/O1CN018X8aPx1RRyKcFtJPb_!!4611686018427380973-53-fleamarket.heic_790x10000Q90.jpg_.webp</v>
      </c>
      <c r="G258"/>
      <c r="H258" s="2" t="str">
        <f>=HYPERLINK("https://www.goofish.com/item?spm=a21ybx.search.searchFeedList.4.22e26c82v4o1nV&amp;id=877213055621&amp;categoryId=201453706", "https://www.goofish.com/item?spm=a21ybx.search.searchFeedList.4.22e26c82v4o1nV&amp;id=877213055621&amp;categoryId=201453706")</f>
        <v>https://www.goofish.com/item?spm=a21ybx.search.searchFeedList.4.22e26c82v4o1nV&amp;id=877213055621&amp;categoryId=201453706</v>
      </c>
      <c r="I258">
        <v>877213055621</v>
      </c>
      <c r="J258"/>
      <c r="K258"/>
      <c r="L258"/>
    </row>
    <row r="259" ht="25.5" customHeight="1">
      <c r="A259" t="inlineStr">
        <is>
          <t>【秒发】108款马年年会互动PPT模板</t>
        </is>
      </c>
      <c r="B259">
        <v>327</v>
      </c>
      <c r="C259" t="inlineStr">
        <is>
          <t>宝子稍等片刻，资源正在路上</t>
        </is>
      </c>
      <c r="D259"/>
      <c r="E259" t="inlineStr">
        <is>
          <t>✅2026马年年会元旦晚会互动小游戏PPT模板108款
✅金马贺岁主题适合企业年会元旦晚会
✅幼儿园小学新年晚会班会使用
✅互动性强动画效果现场气氛拉满
✅PPT成品直接用规则和素材齐全
✅轻松搞定活动策划省时省力
✅拍下自动发25小时在线自动发货</t>
        </is>
      </c>
      <c r="F259" s="2" t="str">
        <f>=HYPERLINK("https://img.alicdn.com/bao/uploaded/i2/2205299011153/O1CN013oSQQh1KO7mB9LnH4_!!4611686018427383377-53-xy_item.heic_790x10000Q90.jpg_.webp", "https://img.alicdn.com/bao/uploaded/i2/2205299011153/O1CN013oSQQh1KO7mB9LnH4_!!4611686018427383377-53-xy_item.heic_790x10000Q90.jpg_.webp")</f>
        <v>https://img.alicdn.com/bao/uploaded/i2/2205299011153/O1CN013oSQQh1KO7mB9LnH4_!!4611686018427383377-53-xy_item.heic_790x10000Q90.jpg_.webp</v>
      </c>
      <c r="G259"/>
      <c r="H259" s="2" t="str">
        <f>=HYPERLINK("https://www.goofish.com/item?spm=a21ybx.search.searchFeedList.3.22e26c82v4o1nV&amp;id=1003949358886&amp;categoryId=201453706", "https://www.goofish.com/item?spm=a21ybx.search.searchFeedList.3.22e26c82v4o1nV&amp;id=1003949358886&amp;categoryId=201453706")</f>
        <v>https://www.goofish.com/item?spm=a21ybx.search.searchFeedList.3.22e26c82v4o1nV&amp;id=1003949358886&amp;categoryId=201453706</v>
      </c>
      <c r="I259">
        <v>1003949358886</v>
      </c>
      <c r="J259"/>
      <c r="K259"/>
      <c r="L259"/>
    </row>
    <row r="260" ht="25.5" customHeight="1">
      <c r="A260" t="inlineStr">
        <is>
          <t>【秒发】蓝色高级年终汇报PPT模板</t>
        </is>
      </c>
      <c r="B260">
        <v>328</v>
      </c>
      <c r="C260" t="inlineStr">
        <is>
          <t>宝子稍等片刻，资源正在路上</t>
        </is>
      </c>
      <c r="D260"/>
      <c r="E260" t="inlineStr">
        <is>
          <t>✅蓝色高级PPT模板年终汇报总结述职报告工作汇报
✅甘特图项目计划书12小时自动秒发网盘
✅秒拍秒发拍下即发全部素材
✅各类所需素材一站式配齐若不满意可直接退款
✅预览图与源文件一一对应仅售模板本身
✅无任何隐藏费用使用过程中遇问题可随时咨询
✅每套模板精心筛选品质优质
✅适配学习展示工作汇报教学课件商务提案
✅覆盖大学生上班族教师等不同人群
✅按风格单独归类并标注文档编号查找更便捷</t>
        </is>
      </c>
      <c r="F260" s="2" t="str">
        <f>=HYPERLINK("https://img.alicdn.com/bao/uploaded/i3/O1CN01suWb7l1IFlJHOz7yn_!!4611686018427383856-53-fleamarket.heic_790x10000Q90.jpg_.webp", "https://img.alicdn.com/bao/uploaded/i3/O1CN01suWb7l1IFlJHOz7yn_!!4611686018427383856-53-fleamarket.heic_790x10000Q90.jpg_.webp")</f>
        <v>https://img.alicdn.com/bao/uploaded/i3/O1CN01suWb7l1IFlJHOz7yn_!!4611686018427383856-53-fleamarket.heic_790x10000Q90.jpg_.webp</v>
      </c>
      <c r="G260"/>
      <c r="H260" s="2" t="str">
        <f>=HYPERLINK("https://www.goofish.com/item?spm=a21ybx.search.searchFeedList.17.22e26c82v4o1nV&amp;id=1001056572221&amp;categoryId=201454708", "https://www.goofish.com/item?spm=a21ybx.search.searchFeedList.17.22e26c82v4o1nV&amp;id=1001056572221&amp;categoryId=201454708")</f>
        <v>https://www.goofish.com/item?spm=a21ybx.search.searchFeedList.17.22e26c82v4o1nV&amp;id=1001056572221&amp;categoryId=201454708</v>
      </c>
      <c r="I260">
        <v>1001056572221</v>
      </c>
      <c r="J260"/>
      <c r="K260"/>
      <c r="L260"/>
    </row>
    <row r="261" ht="25.5" customHeight="1">
      <c r="A261" t="inlineStr">
        <is>
          <t>【秒发】挑战杯国奖获奖PPT模板</t>
        </is>
      </c>
      <c r="B261">
        <v>329</v>
      </c>
      <c r="C261" t="inlineStr">
        <is>
          <t>宝子稍等片刻，资源正在路上</t>
        </is>
      </c>
      <c r="D261"/>
      <c r="E261" t="inlineStr">
        <is>
          <t>✅40套省国奖获奖案例最新24年
✅6000份商业计划案例Word和PPT
✅399套创赛类通用高端PPT模板
✅精选26套完整案例配套Word+PPT
✅24小时自动秒发百度网盘
✅任何不满意可直接退款
✅预览图对应相应源文件名字
✅没有任何额外费用如果不会使用可以咨询解决</t>
        </is>
      </c>
      <c r="F261" s="2" t="str">
        <f>=HYPERLINK("https://img.alicdn.com/bao/uploaded/i4/O1CN01PImTSA1dZ5yGGT51L_!!4611686018427387605-0-fleamarket.jpg_790x10000Q90.jpg_.webp", "https://img.alicdn.com/bao/uploaded/i4/O1CN01PImTSA1dZ5yGGT51L_!!4611686018427387605-0-fleamarket.jpg_790x10000Q90.jpg_.webp")</f>
        <v>https://img.alicdn.com/bao/uploaded/i4/O1CN01PImTSA1dZ5yGGT51L_!!4611686018427387605-0-fleamarket.jpg_790x10000Q90.jpg_.webp</v>
      </c>
      <c r="G261"/>
      <c r="H261" s="2" t="str">
        <f>=HYPERLINK("https://www.goofish.com/item?spm=a21ybx.search.searchFeedList.23.22e26c82v4o1nV&amp;id=1018149740987&amp;categoryId=201454708", "https://www.goofish.com/item?spm=a21ybx.search.searchFeedList.23.22e26c82v4o1nV&amp;id=1018149740987&amp;categoryId=201454708")</f>
        <v>https://www.goofish.com/item?spm=a21ybx.search.searchFeedList.23.22e26c82v4o1nV&amp;id=1018149740987&amp;categoryId=201454708</v>
      </c>
      <c r="I261">
        <v>1018149740987</v>
      </c>
      <c r="J261"/>
      <c r="K261"/>
      <c r="L261"/>
    </row>
    <row r="262" ht="25.5" customHeight="1">
      <c r="A262" t="inlineStr">
        <is>
          <t>【秒发】399套竞赛国赛PPT模板</t>
        </is>
      </c>
      <c r="B262">
        <v>331</v>
      </c>
      <c r="C262" t="inlineStr">
        <is>
          <t>宝子稍等片刻，资源正在路上</t>
        </is>
      </c>
      <c r="D262"/>
      <c r="E262" t="inlineStr">
        <is>
          <t>✅399套竞赛PPT国赛模板互联网+大学生创新创业大赛
✅挑战杯创赛等各类比赛各色系PPT案例
✅高端模板国金水平可编辑源文件
✅赠送500+套互联网+大创挑战杯往届获奖作品
✅赠送大学生创新创业计划书Word成品
✅赠送100个专业大学生职业生涯规划书Word范文
✅24小时发货标价就是卖价
✅资源整理不易收取的费用只是整理费用
✅版权归原作者所有侵权联系删除</t>
        </is>
      </c>
      <c r="F262" s="2" t="str">
        <f>=HYPERLINK("https://img.alicdn.com/bao/uploaded/i4/O1CN01JbmD3x1IFlJJ4FH59_!!4611686018427383856-53-fleamarket.heic_790x10000Q90.jpg_.webp", "https://img.alicdn.com/bao/uploaded/i4/O1CN01JbmD3x1IFlJJ4FH59_!!4611686018427383856-53-fleamarket.heic_790x10000Q90.jpg_.webp")</f>
        <v>https://img.alicdn.com/bao/uploaded/i4/O1CN01JbmD3x1IFlJJ4FH59_!!4611686018427383856-53-fleamarket.heic_790x10000Q90.jpg_.webp</v>
      </c>
      <c r="G262"/>
      <c r="H262" s="2" t="str">
        <f>=HYPERLINK("https://www.goofish.com/item?spm=a21ybx.search.searchFeedList.25.22e26c82v4o1nV&amp;id=1001936052648&amp;categoryId=201454708", "https://www.goofish.com/item?spm=a21ybx.search.searchFeedList.25.22e26c82v4o1nV&amp;id=1001936052648&amp;categoryId=201454708")</f>
        <v>https://www.goofish.com/item?spm=a21ybx.search.searchFeedList.25.22e26c82v4o1nV&amp;id=1001936052648&amp;categoryId=201454708</v>
      </c>
      <c r="I262">
        <v>1001936052648</v>
      </c>
      <c r="J262"/>
      <c r="K262"/>
      <c r="L262"/>
    </row>
    <row r="263" ht="25.5" customHeight="1">
      <c r="A263" t="inlineStr">
        <is>
          <t>【秒发】600款设计师作品集模板</t>
        </is>
      </c>
      <c r="B263">
        <v>332</v>
      </c>
      <c r="C263" t="inlineStr">
        <is>
          <t>宝子稍等片刻，资源正在路上</t>
        </is>
      </c>
      <c r="D263"/>
      <c r="E263" t="inlineStr">
        <is>
          <t>✅600款设计师作品集品牌电商海报插画UI界面
✅适合毕设作业面试个人简历UI界面AI电商PSD素材
✅24小时自动秒发百度网盘
✅预览图对应相应源文件名字不是卖图片
✅没有任何额外费用不会使用可以咨询解决
✅每套风格模版精心挑选精选质量高
✅适用于任何场合每个风格单独归类编号
✅任何不满意直接退款</t>
        </is>
      </c>
      <c r="F263" s="2" t="str">
        <f>=HYPERLINK("https://img.alicdn.com/bao/uploaded/i4/O1CN01MyDvtg1dZ5x4MNzra_!!4611686018427387605-0-fleamarket.jpg_790x10000Q90.jpg_.webp", "https://img.alicdn.com/bao/uploaded/i4/O1CN01MyDvtg1dZ5x4MNzra_!!4611686018427387605-0-fleamarket.jpg_790x10000Q90.jpg_.webp")</f>
        <v>https://img.alicdn.com/bao/uploaded/i4/O1CN01MyDvtg1dZ5x4MNzra_!!4611686018427387605-0-fleamarket.jpg_790x10000Q90.jpg_.webp</v>
      </c>
      <c r="G263"/>
      <c r="H263" s="2" t="str">
        <f>=HYPERLINK("https://www.goofish.com/item?spm=a21ybx.search.searchFeedList.23.22e26c82v4o1nV&amp;id=991558660076&amp;categoryId=201454708", "https://www.goofish.com/item?spm=a21ybx.search.searchFeedList.23.22e26c82v4o1nV&amp;id=991558660076&amp;categoryId=201454708")</f>
        <v>https://www.goofish.com/item?spm=a21ybx.search.searchFeedList.23.22e26c82v4o1nV&amp;id=991558660076&amp;categoryId=201454708</v>
      </c>
      <c r="I263">
        <v>991558660076</v>
      </c>
      <c r="J263"/>
      <c r="K263"/>
      <c r="L263"/>
    </row>
    <row r="264" ht="25.5" customHeight="1">
      <c r="A264" t="inlineStr">
        <is>
          <t>【秒发】95套述职报告年终总结PPT</t>
        </is>
      </c>
      <c r="B264">
        <v>333</v>
      </c>
      <c r="C264" t="inlineStr">
        <is>
          <t>宝子稍等片刻，资源正在路上</t>
        </is>
      </c>
      <c r="D264"/>
      <c r="E264" t="inlineStr">
        <is>
          <t>✅95套述职报告PPT模板工作汇报年终总结
✅年中计划简约商务通用部门岗位述职
✅精选岗位述职年终总结年中汇报都有
✅每套模板精挑细选放心拍
✅WPS和office编辑简单编辑就能用
✅在线发货拍下即发
✅网盘发货
✅产品具有可复制性发货后不退换
✅产品价低利润微薄请勿随意差评</t>
        </is>
      </c>
      <c r="F264" s="2" t="str">
        <f>=HYPERLINK("https://img.alicdn.com/bao/uploaded/i2/O1CN01gEDNJ127ygNBqDL6F_!!53-fleamarket.heic_790x10000Q90.jpg_.webp", "https://img.alicdn.com/bao/uploaded/i2/O1CN01gEDNJ127ygNBqDL6F_!!53-fleamarket.heic_790x10000Q90.jpg_.webp")</f>
        <v>https://img.alicdn.com/bao/uploaded/i2/O1CN01gEDNJ127ygNBqDL6F_!!53-fleamarket.heic_790x10000Q90.jpg_.webp</v>
      </c>
      <c r="G264"/>
      <c r="H264" s="2" t="str">
        <f>=HYPERLINK("https://www.goofish.com/item?spm=a21ybx.search.searchFeedList.18.22e26c82jlohwD&amp;id=763948096914&amp;categoryId=201453706", "https://www.goofish.com/item?spm=a21ybx.search.searchFeedList.18.22e26c82jlohwD&amp;id=763948096914&amp;categoryId=201453706")</f>
        <v>https://www.goofish.com/item?spm=a21ybx.search.searchFeedList.18.22e26c82jlohwD&amp;id=763948096914&amp;categoryId=201453706</v>
      </c>
      <c r="I264">
        <v>763948096914</v>
      </c>
      <c r="J264"/>
      <c r="K264"/>
      <c r="L264"/>
    </row>
    <row r="265" ht="25.5" customHeight="1">
      <c r="A265" t="inlineStr">
        <is>
          <t>【秒发】300页结构化PPT模板</t>
        </is>
      </c>
      <c r="B265">
        <v>334</v>
      </c>
      <c r="C265" t="inlineStr">
        <is>
          <t>【超级会员V2】通过百度网盘分享的文件：逻辑可视化.zi…
链接:https://pan.baidu.com/s/1DZXJSNop6rMXvK_pj0c1ww 
提取码:q744
复制这段内容打开「百度网盘APP 即可获取」</t>
        </is>
      </c>
      <c r="D265"/>
      <c r="E265" t="inlineStr">
        <is>
          <t>✅300页高级逻辑数据PPT赠500页汇报PPT
✅述职汇报工作汇报实习汇报论文答辩
✅财务分析市场调研日常报告数据分析
✅黄金曲线SWOT冰山模型鱼骨图应有尽有
✅6种配色替换可编辑数据
✅精美数据图精美逻辑图可视化图表
✅拍后赠送图标素材工作汇报图标库字体包
✅发送百度网盘链接发后不退
✅建议看清楚再下单</t>
        </is>
      </c>
      <c r="F265" s="2" t="str">
        <f>=HYPERLINK("https://img.alicdn.com/bao/uploaded/i2/O1CN01R36nyf1SnKTcyh1TG_!!4611686018427381555-0-fleamarket.jpg_790x10000Q90.jpg_.webp", "https://img.alicdn.com/bao/uploaded/i2/O1CN01R36nyf1SnKTcyh1TG_!!4611686018427381555-0-fleamarket.jpg_790x10000Q90.jpg_.webp")</f>
        <v>https://img.alicdn.com/bao/uploaded/i2/O1CN01R36nyf1SnKTcyh1TG_!!4611686018427381555-0-fleamarket.jpg_790x10000Q90.jpg_.webp</v>
      </c>
      <c r="G265"/>
      <c r="H265" s="2" t="str">
        <f>=HYPERLINK("https://www.goofish.com/item?spm=a21ybx.search.searchFeedList.18.22e26c82jlohwD&amp;id=976139278954&amp;categoryId=201453706", "https://www.goofish.com/item?spm=a21ybx.search.searchFeedList.18.22e26c82jlohwD&amp;id=976139278954&amp;categoryId=201453706")</f>
        <v>https://www.goofish.com/item?spm=a21ybx.search.searchFeedList.18.22e26c82jlohwD&amp;id=976139278954&amp;categoryId=201453706</v>
      </c>
      <c r="I265">
        <v>976139278954</v>
      </c>
      <c r="J265"/>
      <c r="K265"/>
      <c r="L265"/>
    </row>
    <row r="266" ht="25.5" customHeight="1">
      <c r="A266" t="inlineStr">
        <is>
          <t>【秒发】560页高端PPT模板</t>
        </is>
      </c>
      <c r="B266">
        <v>335</v>
      </c>
      <c r="C266" t="inlineStr">
        <is>
          <t>【超级会员V2】通过百度网盘分享的文件：领导喜欢的PPT…
链接:https://pan.baidu.com/s/1nCrC4qFTuhfEeZmglsxsQQ 
提取码:htv1
复制这段内容打开「百度网盘APP 即可获取」</t>
        </is>
      </c>
      <c r="D266"/>
      <c r="E266" t="inlineStr">
        <is>
          <t>✅560页高端PPT模板领导喜欢
✅7色逻辑架构图数据分析可视化模板
✅专业职场通用年终总结汇报必备
✅内容丰富有逻辑有颜值适合各类工作汇报
✅自动发货拍下秒发24小时发货
✅包含完整PPT源文件可以直接使用
✅文件格式PPTX网盘发送
✅电子虚拟商品售出不退不换</t>
        </is>
      </c>
      <c r="F266" s="2" t="str">
        <f>=HYPERLINK("https://img.alicdn.com/bao/uploaded/i2/O1CN0179nwvl1VQNTXESH79_!!4611686018427382007-53-fleamarket.heic_790x10000Q90.jpg_.webp", "https://img.alicdn.com/bao/uploaded/i2/O1CN0179nwvl1VQNTXESH79_!!4611686018427382007-53-fleamarket.heic_790x10000Q90.jpg_.webp")</f>
        <v>https://img.alicdn.com/bao/uploaded/i2/O1CN0179nwvl1VQNTXESH79_!!4611686018427382007-53-fleamarket.heic_790x10000Q90.jpg_.webp</v>
      </c>
      <c r="G266"/>
      <c r="H266" s="2" t="str">
        <f>=HYPERLINK("https://www.goofish.com/item?spm=a21ybx.search.searchFeedList.5.22e26c82jlohwD&amp;id=974574219628&amp;categoryId=201454708", "https://www.goofish.com/item?spm=a21ybx.search.searchFeedList.5.22e26c82jlohwD&amp;id=974574219628&amp;categoryId=201454708")</f>
        <v>https://www.goofish.com/item?spm=a21ybx.search.searchFeedList.5.22e26c82jlohwD&amp;id=974574219628&amp;categoryId=201454708</v>
      </c>
      <c r="I266">
        <v>974574219628</v>
      </c>
      <c r="J266"/>
      <c r="K266"/>
      <c r="L266"/>
    </row>
    <row r="267" ht="25.5" customHeight="1">
      <c r="A267" t="inlineStr">
        <is>
          <t>【秒发】229套红色商务PPT模板</t>
        </is>
      </c>
      <c r="B267">
        <v>336</v>
      </c>
      <c r="C267" t="inlineStr">
        <is>
          <t>宝子稍等片刻，资源正在路上</t>
        </is>
      </c>
      <c r="D267"/>
      <c r="E267" t="inlineStr">
        <is>
          <t>✅229套红色商务PPT模板
✅适合年终总结述职汇报工作计划
✅涵盖年度工作总结项目展示工作进度计划
✅红色商务风格图文并茂专业规范
✅适合企业单位个人使用
✅直接拍下自动秒发网盘链接
✅手机平板电脑都能用
✅资料为电子版不是实物不退不换
✅资料来源网络仅供学习交流
✅版权归原作者所有感谢理解</t>
        </is>
      </c>
      <c r="F267" s="2" t="str">
        <f>=HYPERLINK("https://img.alicdn.com/bao/uploaded/i4/O1CN01A9IGqw1IFlJB4zfSK_!!4611686018427383856-0-fleamarket.jpg_790x10000Q90.jpg_.webp", "https://img.alicdn.com/bao/uploaded/i4/O1CN01A9IGqw1IFlJB4zfSK_!!4611686018427383856-0-fleamarket.jpg_790x10000Q90.jpg_.webp")</f>
        <v>https://img.alicdn.com/bao/uploaded/i4/O1CN01A9IGqw1IFlJB4zfSK_!!4611686018427383856-0-fleamarket.jpg_790x10000Q90.jpg_.webp</v>
      </c>
      <c r="G267"/>
      <c r="H267" s="2" t="str">
        <f>=HYPERLINK("https://www.goofish.com/item?spm=a21ybx.search.searchFeedList.3.22e26c82v4o1nV&amp;id=999620272606&amp;categoryId=201454708", "https://www.goofish.com/item?spm=a21ybx.search.searchFeedList.3.22e26c82v4o1nV&amp;id=999620272606&amp;categoryId=201454708")</f>
        <v>https://www.goofish.com/item?spm=a21ybx.search.searchFeedList.3.22e26c82v4o1nV&amp;id=999620272606&amp;categoryId=201454708</v>
      </c>
      <c r="I267">
        <v>999620272606</v>
      </c>
      <c r="J267"/>
      <c r="K267"/>
      <c r="L267"/>
    </row>
    <row r="268" ht="25.5" customHeight="1">
      <c r="A268" t="inlineStr">
        <is>
          <t>【秒发】2026年寒假安全教育PPT</t>
        </is>
      </c>
      <c r="B268">
        <v>337</v>
      </c>
      <c r="C268" t="inlineStr">
        <is>
          <t>宝子稍等片刻，资源正在路上</t>
        </is>
      </c>
      <c r="D268"/>
      <c r="E268" t="inlineStr">
        <is>
          <t>✅中小学寒假安全教育家长会主题班会PPT模板
✅成品课件一封信资料齐全内容丰富
✅适合寒假安全教育家长会主题班会
✅直接套用省时省力
✅电子版非实物拍下自动发网盘链接
✅24小时内秒发
✅虚拟商品不发快递不发物流不发邮箱
✅资料具有可复制性售出不退不换</t>
        </is>
      </c>
      <c r="F268" s="2" t="str">
        <f>=HYPERLINK("https://img.alicdn.com/bao/uploaded/i1/2200545133819/O1CN011p1EYz1e59h3i7fBh_!!4611686018427380987-53-xy_item.heic_790x10000Q90.jpg_.webp", "https://img.alicdn.com/bao/uploaded/i1/2200545133819/O1CN011p1EYz1e59h3i7fBh_!!4611686018427380987-53-xy_item.heic_790x10000Q90.jpg_.webp")</f>
        <v>https://img.alicdn.com/bao/uploaded/i1/2200545133819/O1CN011p1EYz1e59h3i7fBh_!!4611686018427380987-53-xy_item.heic_790x10000Q90.jpg_.webp</v>
      </c>
      <c r="G268"/>
      <c r="H268" s="2" t="str">
        <f>=HYPERLINK("https://www.goofish.com/item?spm=a21ybx.search.searchFeedList.21.22e26c82v4o1nV&amp;id=1013558906432&amp;categoryId=201454708", "https://www.goofish.com/item?spm=a21ybx.search.searchFeedList.21.22e26c82v4o1nV&amp;id=1013558906432&amp;categoryId=201454708")</f>
        <v>https://www.goofish.com/item?spm=a21ybx.search.searchFeedList.21.22e26c82v4o1nV&amp;id=1013558906432&amp;categoryId=201454708</v>
      </c>
      <c r="I268">
        <v>1013558906432</v>
      </c>
      <c r="J268"/>
      <c r="K268"/>
      <c r="L268"/>
    </row>
    <row r="269" ht="25.5" customHeight="1">
      <c r="A269" t="inlineStr">
        <is>
          <t>【秒发】2026马年快闪PPT模板</t>
        </is>
      </c>
      <c r="B269">
        <v>338</v>
      </c>
      <c r="C269" t="inlineStr">
        <is>
          <t>宝子稍等片刻，资源正在路上</t>
        </is>
      </c>
      <c r="D269"/>
      <c r="E269" t="inlineStr">
        <is>
          <t>✅2026马年快闪PPT模板
✅新年年会LED背景视频
✅颁奖典礼晚会开场倒计时
✅全部打包网盘自动发货
✅购买后发送网盘链接
✅永久观看</t>
        </is>
      </c>
      <c r="F269" s="2" t="str">
        <f>=HYPERLINK("https://img.alicdn.com/bao/uploaded/i1/O1CN01Zg79dd2DGc9XYIGjR_!!4611686018427387046-0-fleamarket.jpg_790x10000Q90.jpg_.webp", "https://img.alicdn.com/bao/uploaded/i1/O1CN01Zg79dd2DGc9XYIGjR_!!4611686018427387046-0-fleamarket.jpg_790x10000Q90.jpg_.webp")</f>
        <v>https://img.alicdn.com/bao/uploaded/i1/O1CN01Zg79dd2DGc9XYIGjR_!!4611686018427387046-0-fleamarket.jpg_790x10000Q90.jpg_.webp</v>
      </c>
      <c r="G269"/>
      <c r="H269" s="2" t="str">
        <f>=HYPERLINK("https://www.goofish.com/item?spm=a21ybx.search.searchFeedList.28.22e26c82v4o1nV&amp;id=1009486555572&amp;categoryId=201454708", "https://www.goofish.com/item?spm=a21ybx.search.searchFeedList.28.22e26c82v4o1nV&amp;id=1009486555572&amp;categoryId=201454708")</f>
        <v>https://www.goofish.com/item?spm=a21ybx.search.searchFeedList.28.22e26c82v4o1nV&amp;id=1009486555572&amp;categoryId=201454708</v>
      </c>
      <c r="I269">
        <v>1009486555572</v>
      </c>
      <c r="J269"/>
      <c r="K269"/>
      <c r="L269"/>
    </row>
    <row r="270" ht="25.5" customHeight="1">
      <c r="A270" t="inlineStr">
        <is>
          <t>【秒发】900套企业宣传PPT模板</t>
        </is>
      </c>
      <c r="B270">
        <v>339</v>
      </c>
      <c r="C270" t="inlineStr">
        <is>
          <t>宝子稍等片刻，资源正在路上</t>
        </is>
      </c>
      <c r="D270"/>
      <c r="E270" t="inlineStr">
        <is>
          <t>✅900套企业宣传PPT模板
✅公司介绍PPT产品介绍PPT
✅涵盖各行各业适用于公司简介产品简介
✅可编辑可修改使用方便
✅24小时自动发货
✅精心挑选PPT高端模板简洁高效直观
✅每套模板精心挑选每款精品质量高
✅请下载后使用电脑端office和wps打开
✅虚拟物品售出不退不换</t>
        </is>
      </c>
      <c r="F270" s="2" t="str">
        <f>=HYPERLINK("https://img.alicdn.com/bao/uploaded/i3/O1CN01hAF0YS1Tsee9GkAo1_!!4611686018427386534-0-fleamarket.jpg_790x10000Q90.jpg_.webp", "https://img.alicdn.com/bao/uploaded/i3/O1CN01hAF0YS1Tsee9GkAo1_!!4611686018427386534-0-fleamarket.jpg_790x10000Q90.jpg_.webp")</f>
        <v>https://img.alicdn.com/bao/uploaded/i3/O1CN01hAF0YS1Tsee9GkAo1_!!4611686018427386534-0-fleamarket.jpg_790x10000Q90.jpg_.webp</v>
      </c>
      <c r="G270"/>
      <c r="H270" s="2" t="str">
        <f>=HYPERLINK("https://www.goofish.com/item?spm=a21ybx.search.searchFeedList.24.22e26c82v4o1nV&amp;id=894666835900&amp;categoryId=201453706", "https://www.goofish.com/item?spm=a21ybx.search.searchFeedList.24.22e26c82v4o1nV&amp;id=894666835900&amp;categoryId=201453706")</f>
        <v>https://www.goofish.com/item?spm=a21ybx.search.searchFeedList.24.22e26c82v4o1nV&amp;id=894666835900&amp;categoryId=201453706</v>
      </c>
      <c r="I270">
        <v>894666835900</v>
      </c>
      <c r="J270"/>
      <c r="K270"/>
      <c r="L270"/>
    </row>
    <row r="271" ht="25.5" customHeight="1">
      <c r="A271" t="inlineStr">
        <is>
          <t>【秒发】1000页四色商赛PPT模板</t>
        </is>
      </c>
      <c r="B271">
        <v>340</v>
      </c>
      <c r="C271" t="inlineStr">
        <is>
          <t>宝子稍等片刻，资源正在路上</t>
        </is>
      </c>
      <c r="D271"/>
      <c r="E271" t="inlineStr">
        <is>
          <t>✅1000页数据贝恩商赛PPT模板
✅适用工作总结财务分析市场调研
✅四色任选蓝色红色橙色绿色
✅高端双色设计模拟麦肯锡咨询风格
✅适用日常报告市场调研数据分析
✅内容可编辑24小时内秒发
✅网页端手机端可能有兼容问题
✅建议下载电脑端office和wps查看</t>
        </is>
      </c>
      <c r="F271" s="2" t="str">
        <f>=HYPERLINK("https://img.alicdn.com/bao/uploaded/i4/O1CN01rCLaWD1oMgvEUqrJX_!!4611686018427387179-53-fleamarket.heic_790x10000Q90.jpg_.webp", "https://img.alicdn.com/bao/uploaded/i4/O1CN01rCLaWD1oMgvEUqrJX_!!4611686018427387179-53-fleamarket.heic_790x10000Q90.jpg_.webp")</f>
        <v>https://img.alicdn.com/bao/uploaded/i4/O1CN01rCLaWD1oMgvEUqrJX_!!4611686018427387179-53-fleamarket.heic_790x10000Q90.jpg_.webp</v>
      </c>
      <c r="G271"/>
      <c r="H271" s="2" t="str">
        <f>=HYPERLINK("https://www.goofish.com/item?spm=a21ybx.search.searchFeedList.28.22e26c82v4o1nV&amp;id=867027686359&amp;categoryId=201453706", "https://www.goofish.com/item?spm=a21ybx.search.searchFeedList.28.22e26c82v4o1nV&amp;id=867027686359&amp;categoryId=201453706")</f>
        <v>https://www.goofish.com/item?spm=a21ybx.search.searchFeedList.28.22e26c82v4o1nV&amp;id=867027686359&amp;categoryId=201453706</v>
      </c>
      <c r="I271">
        <v>867027686359</v>
      </c>
      <c r="J271"/>
      <c r="K271"/>
      <c r="L271"/>
    </row>
    <row r="272" ht="25.5" customHeight="1">
      <c r="A272" t="inlineStr">
        <is>
          <t>【秒发】147套人工智能PPT模板</t>
        </is>
      </c>
      <c r="B272">
        <v>341</v>
      </c>
      <c r="C272" t="inlineStr">
        <is>
          <t>宝子稍等片刻，资源正在路上</t>
        </is>
      </c>
      <c r="D272"/>
      <c r="E272" t="inlineStr">
        <is>
          <t>✅147套人工智能PPT模板蓝色科技风
✅机器人主题动态效果大数据展示
✅涵盖机器人主题科技感动态
✅大数据分析人工智能介绍
✅科技工作汇报产品发布商务会议演示
✅未来科技展示动态图表科技报告
✅适合互联网大数据商务汇报
✅视觉冲击力强提升演示效果
✅拍下自动发网盘链接24小时内秒发
✅虚拟商品不退不换
✅资料来源网络公开渠道仅供学习交流</t>
        </is>
      </c>
      <c r="F272" s="2" t="str">
        <f>=HYPERLINK("https://img.alicdn.com/bao/uploaded/i1/O1CN01XVvPkb1IFlJQlRyKF_!!4611686018427383856-0-fleamarket.jpg_790x10000Q90.jpg_.webp", "https://img.alicdn.com/bao/uploaded/i1/O1CN01XVvPkb1IFlJQlRyKF_!!4611686018427383856-0-fleamarket.jpg_790x10000Q90.jpg_.webp")</f>
        <v>https://img.alicdn.com/bao/uploaded/i1/O1CN01XVvPkb1IFlJQlRyKF_!!4611686018427383856-0-fleamarket.jpg_790x10000Q90.jpg_.webp</v>
      </c>
      <c r="G272"/>
      <c r="H272" s="2" t="str">
        <f>=HYPERLINK("https://www.goofish.com/item?spm=a21ybx.search.searchFeedList.29.22e26c82v4o1nV&amp;id=1003448282930&amp;categoryId=201454708", "https://www.goofish.com/item?spm=a21ybx.search.searchFeedList.29.22e26c82v4o1nV&amp;id=1003448282930&amp;categoryId=201454708")</f>
        <v>https://www.goofish.com/item?spm=a21ybx.search.searchFeedList.29.22e26c82v4o1nV&amp;id=1003448282930&amp;categoryId=201454708</v>
      </c>
      <c r="I272">
        <v>1003448282930</v>
      </c>
      <c r="J272"/>
      <c r="K272"/>
      <c r="L272"/>
    </row>
    <row r="273" ht="25.5" customHeight="1">
      <c r="A273" t="inlineStr">
        <is>
          <t>【秒发】小学家长会PPT演讲稿视频</t>
        </is>
      </c>
      <c r="B273">
        <v>342</v>
      </c>
      <c r="C273" t="inlineStr">
        <is>
          <t>宝子稍等片刻，资源正在路上</t>
        </is>
      </c>
      <c r="D273"/>
      <c r="E273" t="inlineStr">
        <is>
          <t>✅小学家长会PPT成品模板演讲稿暖场视频
✅一二三四五六年级上下学期
✅24小时自动秒发百度网盘
✅2025年小学生家长会1-6年级上下分类
✅可编辑精选实用成品PPT+发言稿+暖场视频
✅任何不满意直接退款
✅预览图对应相应源文件名字不是卖图片
✅没有任何额外费用不会使用可以咨询解决
✅每套风格模版精心挑选每款精选质量高</t>
        </is>
      </c>
      <c r="F273" s="2" t="str">
        <f>=HYPERLINK("https://img.alicdn.com/bao/uploaded/i4/O1CN018ejMLH1dZ5xGmH2OR_!!4611686018427387605-0-fleamarket.jpg_790x10000Q90.jpg_.webp", "https://img.alicdn.com/bao/uploaded/i4/O1CN018ejMLH1dZ5xGmH2OR_!!4611686018427387605-0-fleamarket.jpg_790x10000Q90.jpg_.webp")</f>
        <v>https://img.alicdn.com/bao/uploaded/i4/O1CN018ejMLH1dZ5xGmH2OR_!!4611686018427387605-0-fleamarket.jpg_790x10000Q90.jpg_.webp</v>
      </c>
      <c r="G273"/>
      <c r="H273" s="2" t="str">
        <f>=HYPERLINK("https://www.goofish.com/item?spm=a21ybx.search.searchFeedList.12.22e26c82jlohwD&amp;id=995010492238&amp;categoryId=201454708", "https://www.goofish.com/item?spm=a21ybx.search.searchFeedList.12.22e26c82jlohwD&amp;id=995010492238&amp;categoryId=201454708")</f>
        <v>https://www.goofish.com/item?spm=a21ybx.search.searchFeedList.12.22e26c82jlohwD&amp;id=995010492238&amp;categoryId=201454708</v>
      </c>
      <c r="I273">
        <v>995010492238</v>
      </c>
      <c r="J273"/>
      <c r="K273"/>
      <c r="L273"/>
    </row>
    <row r="274" ht="25.5" customHeight="1">
      <c r="A274" t="inlineStr">
        <is>
          <t>【秒发】2025全套拼音学习课件</t>
        </is>
      </c>
      <c r="B274">
        <v>343</v>
      </c>
      <c r="C274" t="inlineStr">
        <is>
          <t>宝子稍等片刻，资源正在路上</t>
        </is>
      </c>
      <c r="D274"/>
      <c r="E274" t="inlineStr">
        <is>
          <t>✅2025全新整理拼音PPT课件动画视频练习
✅幼小衔接电子版全套资料
✅2025全套趣味拼音学习可打印
✅包含视频动漫游戏练习PPT
✅从0开始帮助小朋友轻松掌握
✅适合幼儿园小学阶段使用
✅电子版资料售出不退
✅如有问题请在客服聊天窗口留言</t>
        </is>
      </c>
      <c r="F274" s="2" t="str">
        <f>=HYPERLINK("https://img.alicdn.com/bao/uploaded/i1/O1CN01Fj9Fdg1IFlJJFM048_!!4611686018427383856-53-fleamarket.heic_790x10000Q90.jpg_.webp", "https://img.alicdn.com/bao/uploaded/i1/O1CN01Fj9Fdg1IFlJJFM048_!!4611686018427383856-53-fleamarket.heic_790x10000Q90.jpg_.webp")</f>
        <v>https://img.alicdn.com/bao/uploaded/i1/O1CN01Fj9Fdg1IFlJJFM048_!!4611686018427383856-53-fleamarket.heic_790x10000Q90.jpg_.webp</v>
      </c>
      <c r="G274"/>
      <c r="H274" s="2" t="str">
        <f>=HYPERLINK("https://www.goofish.com/item?spm=a21ybx.search.searchFeedList.15.22e26c82v4o1nV&amp;id=1001203797915&amp;categoryId=201454708", "https://www.goofish.com/item?spm=a21ybx.search.searchFeedList.15.22e26c82v4o1nV&amp;id=1001203797915&amp;categoryId=201454708")</f>
        <v>https://www.goofish.com/item?spm=a21ybx.search.searchFeedList.15.22e26c82v4o1nV&amp;id=1001203797915&amp;categoryId=201454708</v>
      </c>
      <c r="I274">
        <v>1001203797915</v>
      </c>
      <c r="J274"/>
      <c r="K274"/>
      <c r="L274"/>
    </row>
    <row r="275" ht="25.5" customHeight="1">
      <c r="A275" t="inlineStr">
        <is>
          <t>【秒发】170页高级感红色系PPT模板</t>
        </is>
      </c>
      <c r="B275">
        <v>344</v>
      </c>
      <c r="C275" t="inlineStr">
        <is>
          <t>宝子稍等片刻，资源正在路上</t>
        </is>
      </c>
      <c r="D275"/>
      <c r="E275" t="inlineStr">
        <is>
          <t>✅170页高级感红色系PPT模板图文排版超棒
✅全新更新到170页买即得最新版本
✅一图到多图各种形式都有
✅轻松做出高级感所有元素可编辑
✅图片可换一键换色超方便
✅直接套用效果赞标价即卖价
✅拍下自动发货白度网盘链接发货
✅不退不换</t>
        </is>
      </c>
      <c r="F275" s="2" t="str">
        <f>=HYPERLINK("https://img.alicdn.com/bao/uploaded/i1/O1CN012ggqM21svHMQ6z9f6_!!4611686018427381684-0-fleamarket.jpg_790x10000Q90.jpg_.webp", "https://img.alicdn.com/bao/uploaded/i1/O1CN012ggqM21svHMQ6z9f6_!!4611686018427381684-0-fleamarket.jpg_790x10000Q90.jpg_.webp")</f>
        <v>https://img.alicdn.com/bao/uploaded/i1/O1CN012ggqM21svHMQ6z9f6_!!4611686018427381684-0-fleamarket.jpg_790x10000Q90.jpg_.webp</v>
      </c>
      <c r="G275"/>
      <c r="H275" s="2" t="str">
        <f>=HYPERLINK("https://www.goofish.com/item?spm=a21ybx.search.searchFeedList.11.22e26c82jlohwD&amp;id=975639596553&amp;categoryId=201454708", "https://www.goofish.com/item?spm=a21ybx.search.searchFeedList.11.22e26c82jlohwD&amp;id=975639596553&amp;categoryId=201454708")</f>
        <v>https://www.goofish.com/item?spm=a21ybx.search.searchFeedList.11.22e26c82jlohwD&amp;id=975639596553&amp;categoryId=201454708</v>
      </c>
      <c r="I275">
        <v>975639596553</v>
      </c>
      <c r="J275"/>
      <c r="K275"/>
      <c r="L275"/>
    </row>
    <row r="276" ht="25.5" customHeight="1">
      <c r="A276" t="inlineStr">
        <is>
          <t>【秒发】4款年会游戏互动PPT</t>
        </is>
      </c>
      <c r="B276">
        <v>345</v>
      </c>
      <c r="C276" t="inlineStr">
        <is>
          <t>宝子稍等片刻，资源正在路上</t>
        </is>
      </c>
      <c r="D276"/>
      <c r="E276" t="inlineStr">
        <is>
          <t>✅4款年会游戏PPT模板元旦新年公司游戏互动
✅包你画我猜谁是卧底职场团建
✅谐音梗挑战+你画我猜+看emoji猜成语+谁是卧底
✅每款游戏配好详细规则素材和题目
✅无需自己费心找题写流程打开直接使用
✅活泼黄黑漫画风气氛十足
✅适用于企业年会部门团建尾牙宴
✅内容可编辑可修改轻松应对各种现场需求
✅拍下秒发百度网盘链接自动发货
✅本商品为虚拟资料版权归属原作者</t>
        </is>
      </c>
      <c r="F276" s="2" t="str">
        <f>=HYPERLINK("https://img.alicdn.com/bao/uploaded/i1/2221187899404/O1CN01MYtPzM2JL5imjGReM_!!4611686018427379724-53-xy_item.heic_790x10000Q90.jpg_.webp", "https://img.alicdn.com/bao/uploaded/i1/2221187899404/O1CN01MYtPzM2JL5imjGReM_!!4611686018427379724-53-xy_item.heic_790x10000Q90.jpg_.webp")</f>
        <v>https://img.alicdn.com/bao/uploaded/i1/2221187899404/O1CN01MYtPzM2JL5imjGReM_!!4611686018427379724-53-xy_item.heic_790x10000Q90.jpg_.webp</v>
      </c>
      <c r="G276"/>
      <c r="H276" s="2" t="str">
        <f>=HYPERLINK("https://www.goofish.com/item?spm=a21ybx.search.searchFeedList.27.22e26c82v4o1nV&amp;id=1015555988422&amp;categoryId=201454708", "https://www.goofish.com/item?spm=a21ybx.search.searchFeedList.27.22e26c82v4o1nV&amp;id=1015555988422&amp;categoryId=201454708")</f>
        <v>https://www.goofish.com/item?spm=a21ybx.search.searchFeedList.27.22e26c82v4o1nV&amp;id=1015555988422&amp;categoryId=201454708</v>
      </c>
      <c r="I276">
        <v>1015555988422</v>
      </c>
      <c r="J276"/>
      <c r="K276"/>
      <c r="L276"/>
    </row>
    <row r="277" ht="25.5" customHeight="1">
      <c r="A277" t="inlineStr">
        <is>
          <t>【秒发】2026马年元旦晚会PPT</t>
        </is>
      </c>
      <c r="B277">
        <v>346</v>
      </c>
      <c r="C277" t="inlineStr">
        <is>
          <t>宝子稍等片刻，资源正在路上</t>
        </is>
      </c>
      <c r="D277"/>
      <c r="E277" t="inlineStr">
        <is>
          <t>✅2026马年元旦游戏联欢晚会PPT课件
✅81页可修改编辑内容丰富
✅适合班级学校幼儿园元旦活动
✅互动性强包含多种小游戏和活动环节
✅目录清晰直接拿来用很方便
✅PPT文件可编辑修改
✅拍下发网盘链接标价即售价
✅直接拍就行能拍就是有货</t>
        </is>
      </c>
      <c r="F277" s="2" t="str">
        <f>=HYPERLINK("https://img.alicdn.com/bao/uploaded/i3/2221166003364/O1CN01vCpg6A1ailTioItVW_!!4611686018427380900-53-xy_item.heic_790x10000Q90.jpg_.webp", "https://img.alicdn.com/bao/uploaded/i3/2221166003364/O1CN01vCpg6A1ailTioItVW_!!4611686018427380900-53-xy_item.heic_790x10000Q90.jpg_.webp")</f>
        <v>https://img.alicdn.com/bao/uploaded/i3/2221166003364/O1CN01vCpg6A1ailTioItVW_!!4611686018427380900-53-xy_item.heic_790x10000Q90.jpg_.webp</v>
      </c>
      <c r="G277"/>
      <c r="H277" s="2" t="str">
        <f>=HYPERLINK("https://www.goofish.com/item?spm=a21ybx.search.searchFeedList.21.22e26c82v4o1nV&amp;id=1005840222093&amp;categoryId=201454708", "https://www.goofish.com/item?spm=a21ybx.search.searchFeedList.21.22e26c82v4o1nV&amp;id=1005840222093&amp;categoryId=201454708")</f>
        <v>https://www.goofish.com/item?spm=a21ybx.search.searchFeedList.21.22e26c82v4o1nV&amp;id=1005840222093&amp;categoryId=201454708</v>
      </c>
      <c r="I277">
        <v>1005840222093</v>
      </c>
      <c r="J277"/>
      <c r="K277"/>
      <c r="L277"/>
    </row>
  </sheetData>
  <dataValidations count="1">
    <dataValidation allowBlank="false" sqref="D2:D276" type="list">
      <formula1>"是,否"</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