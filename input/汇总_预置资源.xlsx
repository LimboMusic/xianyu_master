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预置资源"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DengXian"/>
      <family val="2"/>
    </font>
    <font>
      <sz val="10"/>
      <color/>
      <name val="Calibri"/>
      <family val="2"/>
    </font>
    <font>
      <u val="single"/>
      <sz val="11"/>
      <color rgb="FF0000FF"/>
      <name val="DengXian"/>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true" applyAlignment="true">
      <alignment vertical="center"/>
    </xf>
    <xf numFmtId="0" fontId="2" fillId="0" borderId="0" xfId="0" applyFont="true" applyAlignment="false">
      <alignment/>
    </xf>
  </cellXfs>
  <cellStyles count="1">
    <cellStyle name="Normal" xfId="0" builtinId="0" customBuiltin="true"/>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s>
  <sheetData>
    <row r="1" ht="13" customHeight="1">
      <c r="A1" s="1" t="inlineStr">
        <is>
          <t>id</t>
        </is>
      </c>
      <c r="B1" s="1" t="inlineStr">
        <is>
          <t>标题</t>
        </is>
      </c>
      <c r="C1" s="1" t="inlineStr">
        <is>
          <t>图片</t>
        </is>
      </c>
      <c r="D1" s="1" t="inlineStr">
        <is>
          <t>链接</t>
        </is>
      </c>
    </row>
    <row r="2" ht="25.5" customHeight="1">
      <c r="A2">
        <v>1007173688145</v>
      </c>
      <c r="B2" t="inlineStr">
        <is>
          <t>78套2026马年工作计划总结PPT模板78套2026马年工作计划PPT模板 年会总结述职汇报开门红|||PPT素材
[比心]内容包含
[右]78套适配2026马年的工作计划PPT模板
[右]马年主题元素：融入骏马、新年氛围等专属设计
[右]全场景适配：工作计划/年终总结/述职汇报/年会等均可使用
[右]一键编辑：文字、图片、图表均可修改，操作简单
[比心]售后说明
[比心]
[1]. 电子资料通过网盘发送，秒拍秒发，24小时自动发货；
[2]. 电子资料具有可复制性，一经售出不支持无理由退款，下单前先确认需求，避免不必要纠纷；
[3]. 所分享资源均来源于互联网，版权归原作者所有，若存在侵权问题，麻烦联系我处理。#闲鱼还能卖这个？ #发布技能来赚钱</t>
        </is>
      </c>
      <c r="C2" s="2" t="str">
        <f>=HYPERLINK("http://img.alicdn.com/bao/uploaded/i4/2218894703320/O1CN01TJcmFJ1aOc3FkOWzF_!!4611686018427386584-0-xy_item.jpg_790x10000Q90.jpg_.webp", "img.alicdn.com/bao/uploaded/i4/2218894703320/O1CN01TJcmFJ1aOc3FkOWzF_!!4611686018427386584-0-xy_item.jpg_790x10000Q90.jpg_.webp")</f>
        <v>img.alicdn.com/bao/uploaded/i4/2218894703320/O1CN01TJcmFJ1aOc3FkOWzF_!!4611686018427386584-0-xy_item.jpg_790x10000Q90.jpg_.webp</v>
      </c>
      <c r="D2" s="2" t="str">
        <f>=HYPERLINK("https://www.goofish.com/item?spm=a21ybx.search.searchFeedList.23.22e26c82v4o1nV&amp;id=1007173688145&amp;categoryId=201454708", "https://www.goofish.com/item?spm=a21ybx.search.searchFeedList.23.22e26c82v4o1nV&amp;id=1007173688145&amp;categoryId=201454708")</f>
        <v>https://www.goofish.com/item?spm=a21ybx.search.searchFeedList.23.22e26c82v4o1nV&amp;id=1007173688145&amp;categoryId=201454708</v>
      </c>
    </row>
    <row r="3" ht="25.5" customHeight="1">
      <c r="A3">
        <v>948022201397</v>
      </c>
      <c r="B3" t="inlineStr">
        <is>
          <t>【秒发】领导超爱的高级感工作汇报PPT模版 逻辑图 数据图|||
排版简洁干净，高端大气，打工人必备！
九个模版九种配色 每套160页
附赠：国外高端PPT模版（400p）、常用小图标、字体包
由于电子教程的可复制性，发货后不得退款，敬请谅解！
【免责声明】
上架资源均由个人亲自整理 且标注免责声明以及对应图片 具体内容如下:
1.所有文件均获取自网络公开渠道，仅供学习和交流使用，所有版权归版权人所有。
2.如版权方认为侵犯了您的版权，请及时联系小店删除
3.本店所有商品售价仅是对资源查找以及整理的加工费用，如喜欢作品，请支持正版哦~
4.本店所有商品不涉及商用，仅是以众筹的于提供给想要学习的极少部分人用于学习。</t>
        </is>
      </c>
      <c r="C3" s="2" t="str">
        <f>=HYPERLINK("http://img.alicdn.com/bao/uploaded/i2/O1CN01d3mCf01IFlGr7C5OY_!!4611686018427383856-53-fleamarket.heic_790x10000Q90.jpg_.webp", "img.alicdn.com/bao/uploaded/i2/O1CN01d3mCf01IFlGr7C5OY_!!4611686018427383856-53-fleamarket.heic_790x10000Q90.jpg_.webp")</f>
        <v>img.alicdn.com/bao/uploaded/i2/O1CN01d3mCf01IFlGr7C5OY_!!4611686018427383856-53-fleamarket.heic_790x10000Q90.jpg_.webp</v>
      </c>
      <c r="D3" s="2" t="str">
        <f>=HYPERLINK("https://www.goofish.com/item?spm=a21ybx.search.searchFeedList.17.22e26c82jlohwD&amp;id=948022201397&amp;categoryId=201454708", "https://www.goofish.com/item?spm=a21ybx.search.searchFeedList.17.22e26c82jlohwD&amp;id=948022201397&amp;categoryId=201454708")</f>
        <v>https://www.goofish.com/item?spm=a21ybx.search.searchFeedList.17.22e26c82jlohwD&amp;id=948022201397&amp;categoryId=201454708</v>
      </c>
    </row>
    <row r="4" ht="25.5" customHeight="1">
      <c r="A4">
        <v>1007252038443</v>
      </c>
      <c r="B4" t="inlineStr">
        <is>
          <t>1200页数据分析ppt模板工作汇报ppt述职报告ppt高级感ppt模板
素材包含工作报告21套，数据分析ppt不重复共1200页；
适用范围：日常报告，市场调研，数据分析，工作总结，工作汇报，述职报告等各种场景；
黄金曲线模型，SWOT模型，鱼骨图等可视化逻辑图表；
一份好的ppt可以助力您的事业，节省您的时间；
可编辑可修改，使用方便；
——————★24小时自动发货★——————
精心挑选ppt高端模板，简洁、高效、直观；
✨每套模板都是我精心挑选的；
✨每款精品质量高，助力您更加顺利～
✨小说明：网页端、手机端可能存在兼容问题，如碰到PPT显示异常，请下载后使用电脑端office和wps打开～
✨所有文件均获取自网络公开渠道，仅供学习和交流使用，如有侵权请及时联系小店删除。
</t>
        </is>
      </c>
      <c r="C4" s="2" t="str">
        <f>=HYPERLINK("http://img.alicdn.com/bao/uploaded/i1/O1CN01OPu8Ij1Tsej4lOraJ_!!4611686018427386534-0-fleamarket.jpg_790x10000Q90.jpg_.webp", "img.alicdn.com/bao/uploaded/i1/O1CN01OPu8Ij1Tsej4lOraJ_!!4611686018427386534-0-fleamarket.jpg_790x10000Q90.jpg_.webp")</f>
        <v>img.alicdn.com/bao/uploaded/i1/O1CN01OPu8Ij1Tsej4lOraJ_!!4611686018427386534-0-fleamarket.jpg_790x10000Q90.jpg_.webp</v>
      </c>
      <c r="D4" s="2" t="str">
        <f>=HYPERLINK("https://www.goofish.com/item?spm=a21ybx.search.searchFeedList.13.22e26c82jlohwD&amp;id=1007252038443&amp;categoryId=201453706", "https://www.goofish.com/item?spm=a21ybx.search.searchFeedList.13.22e26c82jlohwD&amp;id=1007252038443&amp;categoryId=201453706")</f>
        <v>https://www.goofish.com/item?spm=a21ybx.search.searchFeedList.13.22e26c82jlohwD&amp;id=1007252038443&amp;categoryId=201453706</v>
      </c>
    </row>
    <row r="5" ht="25.5" customHeight="1">
      <c r="A5">
        <v>1013420928028</v>
      </c>
      <c r="B5" t="inlineStr">
        <is>
          <t>【双盘秒发】期末表彰大会PPT模板可编辑小学初中通用含班主任致辞颁奖典礼寒假安全提示
期末表彰大会PPT模板来啦！适用于小学、初中、高中各年级，内容完整，氛围感十足。模板已设计好，可直接使用，轻松替换文字和图片，省时省力。
班主任致辞页面
颁奖典礼环节
寒假安全提示
假期安排建议
总结与展望模块
模板风格简洁大气，贴合校园主题，帮你高效组织期末表彰活动，传递鼓励与关怀。
【适用场景】
班级期末总结
学校表彰大会
年级集体会议
线上表彰活动
2025年辛勤耕耘，2026年继续努力！用一份用心制作的PPT，为学期画上圆满句号。
注：本商品为电子版PPT模板，购买后发送网盘链接，请及时下载。
免责声明：版权归属原作者。如认为侵犯版权，请及时通知小店删除。支持正版，敬请前往官方购买。
</t>
        </is>
      </c>
      <c r="C5" s="2" t="str">
        <f>=HYPERLINK("http://img.alicdn.com/bao/uploaded/i2/2221187899404/O1CN01GeWI572JL5ih8UiOo_!!4611686018427379724-53-xy_item.heic_790x10000Q90.jpg_.webp", "img.alicdn.com/bao/uploaded/i2/2221187899404/O1CN01GeWI572JL5ih8UiOo_!!4611686018427379724-53-xy_item.heic_790x10000Q90.jpg_.webp")</f>
        <v>img.alicdn.com/bao/uploaded/i2/2221187899404/O1CN01GeWI572JL5ih8UiOo_!!4611686018427379724-53-xy_item.heic_790x10000Q90.jpg_.webp</v>
      </c>
      <c r="D5" s="2" t="str">
        <f>=HYPERLINK("https://www.goofish.com/item?spm=a21ybx.search.searchFeedList.21.22e26c82v4o1nV&amp;id=1013420928028&amp;categoryId=201454708", "https://www.goofish.com/item?spm=a21ybx.search.searchFeedList.21.22e26c82v4o1nV&amp;id=1013420928028&amp;categoryId=201454708")</f>
        <v>https://www.goofish.com/item?spm=a21ybx.search.searchFeedList.21.22e26c82v4o1nV&amp;id=1013420928028&amp;categoryId=201454708</v>
      </c>
    </row>
    <row r="6" ht="25.5" customHeight="1">
      <c r="A6">
        <v>914239405011</v>
      </c>
      <c r="B6" t="inlineStr">
        <is>
          <t>结构化PPT模板：述职汇报PPT、工作汇报、实习汇报、论文答辩、财务分析、市场调研，模板内容可编辑
适用范围：日常报告，市场调研，数据分析，工作总结，工作汇报，品牌效应……等各种场景
黄金曲线模型，SWOT模型，冰山模型，鱼骨图……应有尽有
300页高级逻辑数据PPT（赠500页汇报PPT）｜6种配色替换｜工作汇报、数据复盘、年中总结、个人介绍均适用｜可编辑数据｜打包价出！
天蝎PPT，柠檬PPT，青云PPT，唐峰素材，荔枝PPT，物语PPT，小李在做PPT，物语PPT，狗哥在做PPT，芝士PPT 全都有
精美数据图
精美逻辑图
工作汇报
可视化图表（可编辑）持续更新ing
拍后赠送图标素材、工作汇报图标库、字体包
原价拍下只发一个博主随时可拍，发送百度网盘链接，发后不退！建议看清楚再下单。
</t>
        </is>
      </c>
      <c r="C6" s="2" t="str">
        <f>=HYPERLINK("http://img.alicdn.com/bao/uploaded/i2/O1CN01OzZTsM1SnKR67WAbL_!!4611686018427381555-53-fleamarket.heic_790x10000Q90.jpg_.webp", "img.alicdn.com/bao/uploaded/i2/O1CN01OzZTsM1SnKR67WAbL_!!4611686018427381555-53-fleamarket.heic_790x10000Q90.jpg_.webp")</f>
        <v>img.alicdn.com/bao/uploaded/i2/O1CN01OzZTsM1SnKR67WAbL_!!4611686018427381555-53-fleamarket.heic_790x10000Q90.jpg_.webp</v>
      </c>
      <c r="D6" s="2" t="str">
        <f>=HYPERLINK("https://www.goofish.com/item?spm=a21ybx.search.searchFeedList.24.22e26c82v4o1nV&amp;id=914239405011&amp;categoryId=201453706", "https://www.goofish.com/item?spm=a21ybx.search.searchFeedList.24.22e26c82v4o1nV&amp;id=914239405011&amp;categoryId=201453706")</f>
        <v>https://www.goofish.com/item?spm=a21ybx.search.searchFeedList.24.22e26c82v4o1nV&amp;id=914239405011&amp;categoryId=201453706</v>
      </c>
    </row>
    <row r="7" ht="25.5" customHeight="1">
      <c r="A7">
        <v>1015152429455</v>
      </c>
      <c r="B7" t="inlineStr">
        <is>
          <t>【马年企业年会PPT模板】红色大气风格，适合公司年会、员工表彰、颁奖典礼、团队荣誉展示等场合～
内容超全，包含数说辉煌、荣誉共襄、艺展芳华、乐启新章等模块，页数多，直接套用，省时省力！
高清PPT格式，支持编辑，图片文字都能改，内容可添加，适合企业、学校、个人年会用。
拍下秒发百度网盘链接，虚拟商品不退不换，有问题随时私聊，喜欢直接拍！
</t>
        </is>
      </c>
      <c r="C7" s="2" t="str">
        <f>=HYPERLINK("http://img.alicdn.com/bao/uploaded/i2/2215524546353/O1CN01TrMYWz1wnjKBlRUrN_!!4611686018427385649-0-xy_item.jpg_790x10000Q90.jpg_.webp", "img.alicdn.com/bao/uploaded/i2/2215524546353/O1CN01TrMYWz1wnjKBlRUrN_!!4611686018427385649-0-xy_item.jpg_790x10000Q90.jpg_.webp")</f>
        <v>img.alicdn.com/bao/uploaded/i2/2215524546353/O1CN01TrMYWz1wnjKBlRUrN_!!4611686018427385649-0-xy_item.jpg_790x10000Q90.jpg_.webp</v>
      </c>
      <c r="D7" s="2" t="str">
        <f>=HYPERLINK("https://www.goofish.com/item?spm=a21ybx.search.searchFeedList.19.22e26c82v4o1nV&amp;id=1015152429455&amp;categoryId=201453706", "https://www.goofish.com/item?spm=a21ybx.search.searchFeedList.19.22e26c82v4o1nV&amp;id=1015152429455&amp;categoryId=201453706")</f>
        <v>https://www.goofish.com/item?spm=a21ybx.search.searchFeedList.19.22e26c82v4o1nV&amp;id=1015152429455&amp;categoryId=201453706</v>
      </c>
    </row>
    <row r="8" ht="25.5" customHeight="1">
      <c r="A8">
        <v>1005329106185</v>
      </c>
      <c r="B8" t="inlineStr">
        <is>
          <t>2026马年年会活动邀请函长图年终总结答谢会海报模板PSD设计素材
——★12小时自动秒发网盘 ★——
——★12小时自动秒发网盘 ★——
——★12小时自动秒发网盘 ★——
秒拍秒发，拍下即发全部素材！各类所需素材一站式配齐，若不满意可直接退款～
若未及时回复，可先下单查看内容，无需或不满意直接申请退款即可，上线后会第一时间处理，放心购买！
预览图与源文件一一对应，仅售模板本身，无任何隐藏费用；使用过程中遇问题可随时咨询，如果不会使用可以咨询解决～
每套模板均经过精心筛选，品质优质，适配学习展示、工作汇报、教学课件、商务提案等多场景，覆盖大学生、上班族、教师等不同人群，按风格单独归类并标注文档编号，查找更便捷～</t>
        </is>
      </c>
      <c r="C8" s="2" t="str">
        <f>=HYPERLINK("http://img.alicdn.com/bao/uploaded/i4/O1CN01NvWvM81IFlJUuRqRF_!!4611686018427383856-0-fleamarket.jpg_790x10000Q90.jpg_.webp", "img.alicdn.com/bao/uploaded/i4/O1CN01NvWvM81IFlJUuRqRF_!!4611686018427383856-0-fleamarket.jpg_790x10000Q90.jpg_.webp")</f>
        <v>img.alicdn.com/bao/uploaded/i4/O1CN01NvWvM81IFlJUuRqRF_!!4611686018427383856-0-fleamarket.jpg_790x10000Q90.jpg_.webp</v>
      </c>
      <c r="D8" s="2" t="str">
        <f>=HYPERLINK("https://www.goofish.com/item?spm=a21ybx.search.searchFeedList.3.22e26c82jlohwD&amp;id=1005329106185&amp;categoryId=201454708", "https://www.goofish.com/item?spm=a21ybx.search.searchFeedList.3.22e26c82jlohwD&amp;id=1005329106185&amp;categoryId=201454708")</f>
        <v>https://www.goofish.com/item?spm=a21ybx.search.searchFeedList.3.22e26c82jlohwD&amp;id=1005329106185&amp;categoryId=201454708</v>
      </c>
    </row>
    <row r="9" ht="25.5" customHeight="1">
      <c r="A9">
        <v>879493972051</v>
      </c>
      <c r="B9" t="inlineStr">
        <is>
          <t>【自动发货】120套个人作品集ppt模板高级感作品集ppt
适用于作品汇报、方案汇报ppt模板；
艺术、创意、设计行业作品集；
一份好的ppt可以助力您的事业，节省您的时间；
每一款都设计精美，可编辑可修改，使用方便；
———---★ 24小时自动发货 ★---———
精心挑选ppt高端模板，简洁、高效、直观；
✨每套模板都是我精心挑选的；
✨每款精品质量高，助力您更加顺利～
✨每一款都有预览图；
虚拟物品售出不退不换噢！
感兴趣的话快点击“我想要”来私聊吧！
</t>
        </is>
      </c>
      <c r="C9" s="2" t="str">
        <f>=HYPERLINK("http://img.alicdn.com/bao/uploaded/i4/O1CN0166n2vp1Tseddj6ATL_!!4611686018427386534-0-fleamarket.jpg_790x10000Q90.jpg_.webp", "img.alicdn.com/bao/uploaded/i4/O1CN0166n2vp1Tseddj6ATL_!!4611686018427386534-0-fleamarket.jpg_790x10000Q90.jpg_.webp")</f>
        <v>img.alicdn.com/bao/uploaded/i4/O1CN0166n2vp1Tseddj6ATL_!!4611686018427386534-0-fleamarket.jpg_790x10000Q90.jpg_.webp</v>
      </c>
      <c r="D9" s="2" t="str">
        <f>=HYPERLINK("https://www.goofish.com/item?spm=a21ybx.search.searchFeedList.2.22e26c82v4o1nV&amp;id=879493972051&amp;categoryId=201453706", "https://www.goofish.com/item?spm=a21ybx.search.searchFeedList.2.22e26c82v4o1nV&amp;id=879493972051&amp;categoryId=201453706")</f>
        <v>https://www.goofish.com/item?spm=a21ybx.search.searchFeedList.2.22e26c82v4o1nV&amp;id=879493972051&amp;categoryId=201453706</v>
      </c>
    </row>
    <row r="10" ht="25.5" customHeight="1">
      <c r="A10">
        <v>877213055621</v>
      </c>
      <c r="B10" t="inlineStr">
        <is>
          <t>7 色 560 页！数据分析可视化PPT模板，年终述职必备！
主页置顶商品全店会员6.6，包含全店所有素材和以后更新的素材
格式：PPT，可编辑，一键换色超便捷！
丰富配色：精心调配7种时尚配色，深蓝、浅蓝、浅绿、橙蓝、红蓝、黑红、蓝橙灰，每种配色80页，共560页海量内容，满足多样审美。
应用广泛：适用于日常报告、市场调研、数据分析、工作总结、工作汇报等各类场景，轻松应对职场各种展示需求。
极速发货：全店24小时自动发货，拍下即发，百度网盘瞬间送达，无需漫长等待。
#学习提升 #PPT模板 #数据分析 #年终述职
</t>
        </is>
      </c>
      <c r="C10" s="2" t="str">
        <f>=HYPERLINK("http://img.alicdn.com/bao/uploaded/i2/O1CN018X8aPx1RRyKcFtJPb_!!4611686018427380973-53-fleamarket.heic_790x10000Q90.jpg_.webp", "img.alicdn.com/bao/uploaded/i2/O1CN018X8aPx1RRyKcFtJPb_!!4611686018427380973-53-fleamarket.heic_790x10000Q90.jpg_.webp")</f>
        <v>img.alicdn.com/bao/uploaded/i2/O1CN018X8aPx1RRyKcFtJPb_!!4611686018427380973-53-fleamarket.heic_790x10000Q90.jpg_.webp</v>
      </c>
      <c r="D10" s="2" t="str">
        <f>=HYPERLINK("https://www.goofish.com/item?spm=a21ybx.search.searchFeedList.4.22e26c82v4o1nV&amp;id=877213055621&amp;categoryId=201453706", "https://www.goofish.com/item?spm=a21ybx.search.searchFeedList.4.22e26c82v4o1nV&amp;id=877213055621&amp;categoryId=201453706")</f>
        <v>https://www.goofish.com/item?spm=a21ybx.search.searchFeedList.4.22e26c82v4o1nV&amp;id=877213055621&amp;categoryId=201453706</v>
      </c>
    </row>
    <row r="11" ht="25.5" customHeight="1">
      <c r="A11">
        <v>1003949358886</v>
      </c>
      <c r="B11" t="inlineStr">
        <is>
          <t>【自动发货】2026马年年会元旦晚会互动小游戏ppt模板幼儿园小学新年晚会班会ppt模版
2026马年年会小游戏PPT模板合集108款金马贺岁主题，适合企业年会、元旦晚会、幼儿园小学新年晚会等，互动性强，动画效果，现场气氛拉满！PPT成品直接用，规则和素材齐全，轻松搞定活动策划电子资料，拍下自动发，不用问在不在，直接下单即可，已开通自动发货
25小时在线，拍下自动发货
#年会礼品 #教学演示 #学习资料教材
</t>
        </is>
      </c>
      <c r="C11" s="2" t="str">
        <f>=HYPERLINK("http://img.alicdn.com/bao/uploaded/i2/2205299011153/O1CN013oSQQh1KO7mB9LnH4_!!4611686018427383377-53-xy_item.heic_790x10000Q90.jpg_.webp", "img.alicdn.com/bao/uploaded/i2/2205299011153/O1CN013oSQQh1KO7mB9LnH4_!!4611686018427383377-53-xy_item.heic_790x10000Q90.jpg_.webp")</f>
        <v>img.alicdn.com/bao/uploaded/i2/2205299011153/O1CN013oSQQh1KO7mB9LnH4_!!4611686018427383377-53-xy_item.heic_790x10000Q90.jpg_.webp</v>
      </c>
      <c r="D11" s="2" t="str">
        <f>=HYPERLINK("https://www.goofish.com/item?spm=a21ybx.search.searchFeedList.3.22e26c82v4o1nV&amp;id=1003949358886&amp;categoryId=201453706", "https://www.goofish.com/item?spm=a21ybx.search.searchFeedList.3.22e26c82v4o1nV&amp;id=1003949358886&amp;categoryId=201453706")</f>
        <v>https://www.goofish.com/item?spm=a21ybx.search.searchFeedList.3.22e26c82v4o1nV&amp;id=1003949358886&amp;categoryId=201453706</v>
      </c>
    </row>
    <row r="12" ht="25.5" customHeight="1">
      <c r="A12">
        <v>1001056572221</v>
      </c>
      <c r="B12" t="inlineStr">
        <is>
          <t>蓝色高级PPT模板年终汇报总结述职报告工作汇报甘特图项目计划书
——★12小时自动秒发网盘 ★——
——★12小时自动秒发网盘 ★——
——★12小时自动秒发网盘 ★——
秒拍秒发，拍下即发全部素材！各类所需素材一站式配齐，若不满意可直接退款～
若未及时回复，可先下单查看内容，无需或不满意直接申请退款即可，上线后会第一时间处理，放心购买！
预览图与源文件一一对应，仅售模板本身，无任何隐藏费用；使用过程中遇问题可随时咨询，如果不会使用可以咨询解决～
每套模板均经过精心筛选，品质优质，适配学习展示、工作汇报、教学课件、商务提案等多场景，覆盖大学生、上班族、教师等不同人群，按风格单独归类并标注文档编号，查找更便捷～
</t>
        </is>
      </c>
      <c r="C12" s="2" t="str">
        <f>=HYPERLINK("http://img.alicdn.com/bao/uploaded/i3/O1CN01suWb7l1IFlJHOz7yn_!!4611686018427383856-53-fleamarket.heic_790x10000Q90.jpg_.webp", "img.alicdn.com/bao/uploaded/i3/O1CN01suWb7l1IFlJHOz7yn_!!4611686018427383856-53-fleamarket.heic_790x10000Q90.jpg_.webp")</f>
        <v>img.alicdn.com/bao/uploaded/i3/O1CN01suWb7l1IFlJHOz7yn_!!4611686018427383856-53-fleamarket.heic_790x10000Q90.jpg_.webp</v>
      </c>
      <c r="D12" s="2" t="str">
        <f>=HYPERLINK("https://www.goofish.com/item?spm=a21ybx.search.searchFeedList.17.22e26c82v4o1nV&amp;id=1001056572221&amp;categoryId=201454708", "https://www.goofish.com/item?spm=a21ybx.search.searchFeedList.17.22e26c82v4o1nV&amp;id=1001056572221&amp;categoryId=201454708")</f>
        <v>https://www.goofish.com/item?spm=a21ybx.search.searchFeedList.17.22e26c82v4o1nV&amp;id=1001056572221&amp;categoryId=201454708</v>
      </c>
    </row>
    <row r="13" ht="25.5" customHeight="1">
      <c r="A13">
        <v>1018149740987</v>
      </c>
      <c r="B13" t="inlineStr">
        <is>
          <t>挑战杯小挑省国奖获奖作品创赛PPT模板大学生创业计划竞赛计划书
——★24小时自动秒发百度网盘 ★——
——★24小时自动秒发百度网盘 ★——
——★24小时自动秒发百度网盘 ★——
✨大赛资料包-2026年更新 挑战杯小挑
✨40套省国奖-获奖案例[最新24年)
✨6000份商业计划案例-word和PPT
✨399套创赛类通用高端PPT模板
✨精选26套完整案例配套Word+PPT
评价有礼店铺内任选一个宝贝！！！
任何不满意可直接退款！！！
预览图对应相应源文件名字！！！！！
没有任何额外费用，如果不会使用可以咨询解决！！！！
</t>
        </is>
      </c>
      <c r="C13" s="2" t="str">
        <f>=HYPERLINK("http://img.alicdn.com/bao/uploaded/i4/O1CN01PImTSA1dZ5yGGT51L_!!4611686018427387605-0-fleamarket.jpg_790x10000Q90.jpg_.webp", "img.alicdn.com/bao/uploaded/i4/O1CN01PImTSA1dZ5yGGT51L_!!4611686018427387605-0-fleamarket.jpg_790x10000Q90.jpg_.webp")</f>
        <v>img.alicdn.com/bao/uploaded/i4/O1CN01PImTSA1dZ5yGGT51L_!!4611686018427387605-0-fleamarket.jpg_790x10000Q90.jpg_.webp</v>
      </c>
      <c r="D13" s="2" t="str">
        <f>=HYPERLINK("https://www.goofish.com/item?spm=a21ybx.search.searchFeedList.23.22e26c82v4o1nV&amp;id=1018149740987&amp;categoryId=201454708", "https://www.goofish.com/item?spm=a21ybx.search.searchFeedList.23.22e26c82v4o1nV&amp;id=1018149740987&amp;categoryId=201454708")</f>
        <v>https://www.goofish.com/item?spm=a21ybx.search.searchFeedList.23.22e26c82v4o1nV&amp;id=1018149740987&amp;categoryId=201454708</v>
      </c>
    </row>
    <row r="14" ht="25.5" customHeight="1">
      <c r="A14">
        <v>991471168227</v>
      </c>
      <c r="B14" t="inlineStr">
        <is>
          <t>500页创意图文PPT模板，一键换图超实用！适合工作汇报、项目报告、策划方案等场景。包含多图排版、截图展示、人物介绍等多种模板，100%可编辑，用更少时间做出更高级的图文页面。标价就是卖价，24小时自动发货，网盘链接永久有效。
[钉子][红圆][红圆][红圆][红圆][红圆][红圆][cool]网盘发货
免责声明:
[1].本店均通过网络等渠道合法获得，仅作为阅读交流使用，无任何商业目的。
[2].本店商品价格是网盘储存费用和人工整理资料费用，并非资料本身价格。
[3].本店为广大朋友提供音频视频资料学习，特此声明，版权归原作者所有，如有侵权请联系客服删除，谢谢!</t>
        </is>
      </c>
      <c r="C14" s="2" t="str">
        <f>=HYPERLINK("http://img.alicdn.com/bao/uploaded/i1/O1CN01YP4zKm1vRSQfpAWCy_!!4611686018427386441-0-fleamarket.jpg_790x10000Q90.jpg_.webp", "img.alicdn.com/bao/uploaded/i1/O1CN01YP4zKm1vRSQfpAWCy_!!4611686018427386441-0-fleamarket.jpg_790x10000Q90.jpg_.webp")</f>
        <v>img.alicdn.com/bao/uploaded/i1/O1CN01YP4zKm1vRSQfpAWCy_!!4611686018427386441-0-fleamarket.jpg_790x10000Q90.jpg_.webp</v>
      </c>
      <c r="D14" s="2" t="str">
        <f>=HYPERLINK("https://www.goofish.com/item?spm=a21ybx.search.searchFeedList.26.22e26c82v4o1nV&amp;id=991471168227&amp;categoryId=201454708", "https://www.goofish.com/item?spm=a21ybx.search.searchFeedList.26.22e26c82v4o1nV&amp;id=991471168227&amp;categoryId=201454708")</f>
        <v>https://www.goofish.com/item?spm=a21ybx.search.searchFeedList.26.22e26c82v4o1nV&amp;id=991471168227&amp;categoryId=201454708</v>
      </c>
    </row>
    <row r="15" ht="25.5" customHeight="1">
      <c r="A15">
        <v>1001936052648</v>
      </c>
      <c r="B15" t="inlineStr">
        <is>
          <t>399套竞赛PPT国赛模板互联网+大学生创新创|||业大赛||| 挑战杯创赛等各类比赛各色系PPT案例PPT高端模板国金水平可以直接拍
各种各样的高级精美模板都有需要的私信发模板图给你看，一共399套PPT全部带走，都是可编辑的源文件，主图个别不可编辑款已删除，每份都是超值的。
【赠送】[1]500+套互联网＋，大创，挑战杯，往届获奖作品等资料参考，部分附带演示视频，
【赠送】[2]大学生创新创业计划书word成品互联网+大赛ppt模板商业策划书撰写
【赠送】[3]100个专业大学生职业生涯规划书Word范文赠送PPT
拍下后网盘给您发货。标价就是卖价，不为赚米，交个朋友，24小时发货,标价就是卖价
各类电子课程,资源。资源整理不易，收取的费用只是整理费用，版权归原作者所有，侵权联系删除。#学习资料教材</t>
        </is>
      </c>
      <c r="C15" s="2" t="str">
        <f>=HYPERLINK("http://img.alicdn.com/bao/uploaded/i4/O1CN01JbmD3x1IFlJJ4FH59_!!4611686018427383856-53-fleamarket.heic_790x10000Q90.jpg_.webp", "img.alicdn.com/bao/uploaded/i4/O1CN01JbmD3x1IFlJJ4FH59_!!4611686018427383856-53-fleamarket.heic_790x10000Q90.jpg_.webp")</f>
        <v>img.alicdn.com/bao/uploaded/i4/O1CN01JbmD3x1IFlJJ4FH59_!!4611686018427383856-53-fleamarket.heic_790x10000Q90.jpg_.webp</v>
      </c>
      <c r="D15" s="2" t="str">
        <f>=HYPERLINK("https://www.goofish.com/item?spm=a21ybx.search.searchFeedList.25.22e26c82v4o1nV&amp;id=1001936052648&amp;categoryId=201454708", "https://www.goofish.com/item?spm=a21ybx.search.searchFeedList.25.22e26c82v4o1nV&amp;id=1001936052648&amp;categoryId=201454708")</f>
        <v>https://www.goofish.com/item?spm=a21ybx.search.searchFeedList.25.22e26c82v4o1nV&amp;id=1001936052648&amp;categoryId=201454708</v>
      </c>
    </row>
    <row r="16" ht="25.5" customHeight="1">
      <c r="A16">
        <v>991558660076</v>
      </c>
      <c r="B16" t="inlineStr">
        <is>
          <t>平面设计作品集模板毕设作业面试个人简历UI界面AI电商PSD素材PPT
——★24小时自动秒发百度网盘 ★——
——★24小时自动秒发百度网盘 ★——
——★24小时自动秒发百度网盘 ★——
600款设计师作品集 品牌电商 海报插画 U界面 面试求职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t>
        </is>
      </c>
      <c r="C16" s="2" t="str">
        <f>=HYPERLINK("http://img.alicdn.com/bao/uploaded/i4/O1CN01MyDvtg1dZ5x4MNzra_!!4611686018427387605-0-fleamarket.jpg_790x10000Q90.jpg_.webp", "img.alicdn.com/bao/uploaded/i4/O1CN01MyDvtg1dZ5x4MNzra_!!4611686018427387605-0-fleamarket.jpg_790x10000Q90.jpg_.webp")</f>
        <v>img.alicdn.com/bao/uploaded/i4/O1CN01MyDvtg1dZ5x4MNzra_!!4611686018427387605-0-fleamarket.jpg_790x10000Q90.jpg_.webp</v>
      </c>
      <c r="D16" s="2" t="str">
        <f>=HYPERLINK("https://www.goofish.com/item?spm=a21ybx.search.searchFeedList.23.22e26c82v4o1nV&amp;id=991558660076&amp;categoryId=201454708", "https://www.goofish.com/item?spm=a21ybx.search.searchFeedList.23.22e26c82v4o1nV&amp;id=991558660076&amp;categoryId=201454708")</f>
        <v>https://www.goofish.com/item?spm=a21ybx.search.searchFeedList.23.22e26c82v4o1nV&amp;id=991558660076&amp;categoryId=201454708</v>
      </c>
    </row>
    <row r="17" ht="25.5" customHeight="1">
      <c r="A17">
        <v>763948096914</v>
      </c>
      <c r="B17" t="inlineStr">
        <is>
          <t>述职PPT模板精选推荐95套述职报告ppt模板工作汇报年终总结PPT年中计划简约商务通用部门岗位述职
精选述职报告PPT，岗位述职，年终总结，年中汇报等都有
年终总结PPT模板 述职答辩PPT模板
红色商务PPT模板
每套模板都是精挑细选的，放心拍放心拍
WPS和office编辑，简单编辑就能用
在线发货，拍下即发。
发货方式： b d 网盘发货
因为产品具有可复制性，发货后不退换。
产品价低，利润微薄，不满意可以联系客服，请不要随意差评，谢谢</t>
        </is>
      </c>
      <c r="C17" s="2" t="str">
        <f>=HYPERLINK("http://img.alicdn.com/bao/uploaded/i2/O1CN01gEDNJ127ygNBqDL6F_!!53-fleamarket.heic_790x10000Q90.jpg_.webp", "img.alicdn.com/bao/uploaded/i2/O1CN01gEDNJ127ygNBqDL6F_!!53-fleamarket.heic_790x10000Q90.jpg_.webp")</f>
        <v>img.alicdn.com/bao/uploaded/i2/O1CN01gEDNJ127ygNBqDL6F_!!53-fleamarket.heic_790x10000Q90.jpg_.webp</v>
      </c>
      <c r="D17" s="2" t="str">
        <f>=HYPERLINK("https://www.goofish.com/item?spm=a21ybx.search.searchFeedList.18.22e26c82jlohwD&amp;id=763948096914&amp;categoryId=201453706", "https://www.goofish.com/item?spm=a21ybx.search.searchFeedList.18.22e26c82jlohwD&amp;id=763948096914&amp;categoryId=201453706")</f>
        <v>https://www.goofish.com/item?spm=a21ybx.search.searchFeedList.18.22e26c82jlohwD&amp;id=763948096914&amp;categoryId=201453706</v>
      </c>
    </row>
    <row r="18" ht="25.5" customHeight="1">
      <c r="A18">
        <v>976139278954</v>
      </c>
      <c r="B18" t="inlineStr">
        <is>
          <t>结构化PPT模板：述职汇报PPT、工作汇报、实习汇报、论文答辩、财务分析、市场调研，模板内容可编辑
适用范围：日常报告，市场调研，数据分析，工作总结，工作汇报，品牌效应……等各种场景
黄金曲线模型，SWOT模型，冰山模型，鱼骨图……应有尽有
300页高级逻辑数据PPT（赠500页汇报PPT）｜6种配色替换｜工作汇报、数据复盘、年中总结、个人介绍均适用｜可编辑数据｜打包价出！
天蝎PPT，柠檬PPT，青云职场素材，唐峰素材，荔枝PPT，物语PPT，小李在做PPT，狗哥在做PPT，芝士PPT 全都有
精美数据图
精美逻辑图
工作汇报
可视化图表（可编辑）持续更新ing
拍后赠送图标素材、工作汇报图标库、字体包
原价拍下只发一个博主随时可拍，发送百度网盘链接，发后不退！建议看清楚再下单。
</t>
        </is>
      </c>
      <c r="C18" s="2" t="str">
        <f>=HYPERLINK("http://img.alicdn.com/bao/uploaded/i2/O1CN01R36nyf1SnKTcyh1TG_!!4611686018427381555-0-fleamarket.jpg_790x10000Q90.jpg_.webp", "img.alicdn.com/bao/uploaded/i2/O1CN01R36nyf1SnKTcyh1TG_!!4611686018427381555-0-fleamarket.jpg_790x10000Q90.jpg_.webp")</f>
        <v>img.alicdn.com/bao/uploaded/i2/O1CN01R36nyf1SnKTcyh1TG_!!4611686018427381555-0-fleamarket.jpg_790x10000Q90.jpg_.webp</v>
      </c>
      <c r="D18" s="2" t="str">
        <f>=HYPERLINK("https://www.goofish.com/item?spm=a21ybx.search.searchFeedList.18.22e26c82jlohwD&amp;id=976139278954&amp;categoryId=201453706", "https://www.goofish.com/item?spm=a21ybx.search.searchFeedList.18.22e26c82jlohwD&amp;id=976139278954&amp;categoryId=201453706")</f>
        <v>https://www.goofish.com/item?spm=a21ybx.search.searchFeedList.18.22e26c82jlohwD&amp;id=976139278954&amp;categoryId=201453706</v>
      </c>
    </row>
    <row r="19" ht="25.5" customHeight="1">
      <c r="A19">
        <v>974574219628</v>
      </c>
      <c r="B19" t="inlineStr">
        <is>
          <t>560页高端PPT模板，领导喜欢的7色逻辑架构图，数据分析可视化模板
专业职场通用，年终总结汇报必备
内容丰富，有逻辑有颜值，适合各类工作汇报
自动发货，拍下秒发，24小时发货
包含完整PPT源文件，可以直接使用
文件格式：PPTX
发货方式：网盘发送
拍下自动发货，无需等待
电子虚拟商品，售出不退不换
</t>
        </is>
      </c>
      <c r="C19" s="2" t="str">
        <f>=HYPERLINK("http://img.alicdn.com/bao/uploaded/i2/O1CN0179nwvl1VQNTXESH79_!!4611686018427382007-53-fleamarket.heic_790x10000Q90.jpg_.webp", "img.alicdn.com/bao/uploaded/i2/O1CN0179nwvl1VQNTXESH79_!!4611686018427382007-53-fleamarket.heic_790x10000Q90.jpg_.webp")</f>
        <v>img.alicdn.com/bao/uploaded/i2/O1CN0179nwvl1VQNTXESH79_!!4611686018427382007-53-fleamarket.heic_790x10000Q90.jpg_.webp</v>
      </c>
      <c r="D19" s="2" t="str">
        <f>=HYPERLINK("https://www.goofish.com/item?spm=a21ybx.search.searchFeedList.5.22e26c82jlohwD&amp;id=974574219628&amp;categoryId=201454708", "https://www.goofish.com/item?spm=a21ybx.search.searchFeedList.5.22e26c82jlohwD&amp;id=974574219628&amp;categoryId=201454708")</f>
        <v>https://www.goofish.com/item?spm=a21ybx.search.searchFeedList.5.22e26c82jlohwD&amp;id=974574219628&amp;categoryId=201454708</v>
      </c>
    </row>
    <row r="20" ht="25.5" customHeight="1">
      <c r="A20">
        <v>999620272606</v>
      </c>
      <c r="B20" t="inlineStr">
        <is>
          <t>【红色商务】PPT模板述职汇报年中年终总结工作计划商务通用高端
内容亮点：
- 229套红色商务PPT模板，适合年终总结、述职汇报、工作计划等场景
- 内容涵盖年度工作总结、项目展示、工作进度计划等模块
- 红色商务风格，图文并茂，专业规范，适合企业、单位、个人使用
获取方式：
- 直接拍下，自动秒发网盘链接，手机平板电脑都能用
- 资料为电子版，不是实物，不退不换
版权声明：
- 资料来源网络，仅供学习交流，版权归原作者所有
- 电子资料售出不退不换，感谢理解
有问题随时私聊，喜欢直接拍！</t>
        </is>
      </c>
      <c r="C20" s="2" t="str">
        <f>=HYPERLINK("http://img.alicdn.com/bao/uploaded/i4/O1CN01A9IGqw1IFlJB4zfSK_!!4611686018427383856-0-fleamarket.jpg_790x10000Q90.jpg_.webp", "img.alicdn.com/bao/uploaded/i4/O1CN01A9IGqw1IFlJB4zfSK_!!4611686018427383856-0-fleamarket.jpg_790x10000Q90.jpg_.webp")</f>
        <v>img.alicdn.com/bao/uploaded/i4/O1CN01A9IGqw1IFlJB4zfSK_!!4611686018427383856-0-fleamarket.jpg_790x10000Q90.jpg_.webp</v>
      </c>
      <c r="D20" s="2" t="str">
        <f>=HYPERLINK("https://www.goofish.com/item?spm=a21ybx.search.searchFeedList.3.22e26c82v4o1nV&amp;id=999620272606&amp;categoryId=201454708", "https://www.goofish.com/item?spm=a21ybx.search.searchFeedList.3.22e26c82v4o1nV&amp;id=999620272606&amp;categoryId=201454708")</f>
        <v>https://www.goofish.com/item?spm=a21ybx.search.searchFeedList.3.22e26c82v4o1nV&amp;id=999620272606&amp;categoryId=201454708</v>
      </c>
    </row>
    <row r="21" ht="25.5" customHeight="1">
      <c r="A21">
        <v>1013558906432</v>
      </c>
      <c r="B21" t="inlineStr">
        <is>
          <t>【秒发】2026年中小学寒假安全教育家长会主题班会PPT模板成品课件一封信
佰渡盘自动发货
资料齐全，内容丰富，适合中小学寒假安全教育家长会、主题班会、家长一封信等场景，直接套用省时省力！
资料为电子版，非实物，拍下自动发网盘链接，24小时内秒发，不会用网盘的可以私聊我～
本店所有商品均为虚拟商品，不发快递、不发物流、不发邮箱，因资料具有可复制性，售出不退不换！
需要直接拍，有问题随时私聊，喜欢就拍吧～
</t>
        </is>
      </c>
      <c r="C21" s="2" t="str">
        <f>=HYPERLINK("http://img.alicdn.com/bao/uploaded/i1/2200545133819/O1CN011p1EYz1e59h3i7fBh_!!4611686018427380987-53-xy_item.heic_790x10000Q90.jpg_.webp", "img.alicdn.com/bao/uploaded/i1/2200545133819/O1CN011p1EYz1e59h3i7fBh_!!4611686018427380987-53-xy_item.heic_790x10000Q90.jpg_.webp")</f>
        <v>img.alicdn.com/bao/uploaded/i1/2200545133819/O1CN011p1EYz1e59h3i7fBh_!!4611686018427380987-53-xy_item.heic_790x10000Q90.jpg_.webp</v>
      </c>
      <c r="D21" s="2" t="str">
        <f>=HYPERLINK("https://www.goofish.com/item?spm=a21ybx.search.searchFeedList.21.22e26c82v4o1nV&amp;id=1013558906432&amp;categoryId=201454708", "https://www.goofish.com/item?spm=a21ybx.search.searchFeedList.21.22e26c82v4o1nV&amp;id=1013558906432&amp;categoryId=201454708")</f>
        <v>https://www.goofish.com/item?spm=a21ybx.search.searchFeedList.21.22e26c82v4o1nV&amp;id=1013558906432&amp;categoryId=201454708</v>
      </c>
    </row>
    <row r="22" ht="25.5" customHeight="1">
      <c r="A22">
        <v>1009486555572</v>
      </c>
      <c r="B22" t="inlineStr">
        <is>
          <t>2026马年快闪ppt模板新年年会led背景视频颁奖典礼晚会开场倒计时
下面图片介绍资源全部打包发你非常超值
【全部打包网盘自动发货】需要的直接点我想要，购买就可以，然后我发你课程网盘链接，你打开链接保存到自己网盘，永久观看哦
</t>
        </is>
      </c>
      <c r="C22" s="2" t="str">
        <f>=HYPERLINK("http://img.alicdn.com/bao/uploaded/i1/O1CN01Zg79dd2DGc9XYIGjR_!!4611686018427387046-0-fleamarket.jpg_790x10000Q90.jpg_.webp", "img.alicdn.com/bao/uploaded/i1/O1CN01Zg79dd2DGc9XYIGjR_!!4611686018427387046-0-fleamarket.jpg_790x10000Q90.jpg_.webp")</f>
        <v>img.alicdn.com/bao/uploaded/i1/O1CN01Zg79dd2DGc9XYIGjR_!!4611686018427387046-0-fleamarket.jpg_790x10000Q90.jpg_.webp</v>
      </c>
      <c r="D22" s="2" t="str">
        <f>=HYPERLINK("https://www.goofish.com/item?spm=a21ybx.search.searchFeedList.28.22e26c82v4o1nV&amp;id=1009486555572&amp;categoryId=201454708", "https://www.goofish.com/item?spm=a21ybx.search.searchFeedList.28.22e26c82v4o1nV&amp;id=1009486555572&amp;categoryId=201454708")</f>
        <v>https://www.goofish.com/item?spm=a21ybx.search.searchFeedList.28.22e26c82v4o1nV&amp;id=1009486555572&amp;categoryId=201454708</v>
      </c>
    </row>
    <row r="23" ht="25.5" customHeight="1">
      <c r="A23">
        <v>894666835900</v>
      </c>
      <c r="B23" t="inlineStr">
        <is>
          <t>900套企业宣传ppt模板公司介绍ppt产品介绍ppt
涵盖各行各业，适用于公司简介、产品简介等场景；
一份好的ppt可以助力您的事业，节省您的时间；
可编辑可修改，使用方便；
——————★24小时自动发货★——————
精心挑选ppt高端模板，简洁、高效、直观；
✨每套模板都是我精心挑选的；
✨每款精品质量高，助力您更加顺利～
✨小说明：网页端、手机端可能存在兼容问题，如碰到PPT显示异常，请下载后使用电脑端office和wps打开～
虚拟物品售出不退不换噢！
感兴趣的话快点击“我想要”来私聊吧！
</t>
        </is>
      </c>
      <c r="C23" s="2" t="str">
        <f>=HYPERLINK("http://img.alicdn.com/bao/uploaded/i3/O1CN01hAF0YS1Tsee9GkAo1_!!4611686018427386534-0-fleamarket.jpg_790x10000Q90.jpg_.webp", "img.alicdn.com/bao/uploaded/i3/O1CN01hAF0YS1Tsee9GkAo1_!!4611686018427386534-0-fleamarket.jpg_790x10000Q90.jpg_.webp")</f>
        <v>img.alicdn.com/bao/uploaded/i3/O1CN01hAF0YS1Tsee9GkAo1_!!4611686018427386534-0-fleamarket.jpg_790x10000Q90.jpg_.webp</v>
      </c>
      <c r="D23" s="2" t="str">
        <f>=HYPERLINK("https://www.goofish.com/item?spm=a21ybx.search.searchFeedList.24.22e26c82v4o1nV&amp;id=894666835900&amp;categoryId=201453706", "https://www.goofish.com/item?spm=a21ybx.search.searchFeedList.24.22e26c82v4o1nV&amp;id=894666835900&amp;categoryId=201453706")</f>
        <v>https://www.goofish.com/item?spm=a21ybx.search.searchFeedList.24.22e26c82v4o1nV&amp;id=894666835900&amp;categoryId=201453706</v>
      </c>
    </row>
    <row r="24" ht="25.5" customHeight="1">
      <c r="A24">
        <v>867027686359</v>
      </c>
      <c r="B24" t="inlineStr">
        <is>
          <t>四色1000页数据贝恩商赛PPT模板，适用工作总结、财务分析、市场调研，内容可编辑。24小时内秒发！
【好模板，值得拥有】
- 四色任选：蓝色、红色、橙色、绿色
- 高端双色设计，模拟麦肯锡等咨询公司风格
- 适用范围广：日常报告、市场调研、数据分析等
【注意】：网页端、手机端可能有兼容性问题，如显示异常请下载电脑端office和wps查看。
需要的朋友直接拍下，我会第一时间发货。
###发布技能来赚钱</t>
        </is>
      </c>
      <c r="C24" s="2" t="str">
        <f>=HYPERLINK("http://img.alicdn.com/bao/uploaded/i4/O1CN01rCLaWD1oMgvEUqrJX_!!4611686018427387179-53-fleamarket.heic_790x10000Q90.jpg_.webp", "img.alicdn.com/bao/uploaded/i4/O1CN01rCLaWD1oMgvEUqrJX_!!4611686018427387179-53-fleamarket.heic_790x10000Q90.jpg_.webp")</f>
        <v>img.alicdn.com/bao/uploaded/i4/O1CN01rCLaWD1oMgvEUqrJX_!!4611686018427387179-53-fleamarket.heic_790x10000Q90.jpg_.webp</v>
      </c>
      <c r="D24" s="2" t="str">
        <f>=HYPERLINK("https://www.goofish.com/item?spm=a21ybx.search.searchFeedList.28.22e26c82v4o1nV&amp;id=867027686359&amp;categoryId=201453706", "https://www.goofish.com/item?spm=a21ybx.search.searchFeedList.28.22e26c82v4o1nV&amp;id=867027686359&amp;categoryId=201453706")</f>
        <v>https://www.goofish.com/item?spm=a21ybx.search.searchFeedList.28.22e26c82v4o1nV&amp;id=867027686359&amp;categoryId=201453706</v>
      </c>
    </row>
    <row r="25" ht="25.5" customHeight="1">
      <c r="A25">
        <v>1003448282930</v>
      </c>
      <c r="B25" t="inlineStr">
        <is>
          <t>147套人工智能PPT模板｜蓝色科技风｜机器人主题｜动态效果｜大数据展示
人工智能PPT机器人AI高科技感互联网大数据大气动态商务PPT模板
内容涵盖机器人主题、科技感动态、大数据分析、人工智能介绍、科技工作汇报、产品发布、商务会议演示、未来科技展示、动态图表、科技报告等，适合互联网、大数据、商务汇报、产品发布、会议演示等多种场景，视觉冲击力强，提升演示效果。
电子资料，拍下自动发网盘链接，24小时内秒发，虚拟商品不退不换。
资料来源网络公开渠道，仅供学习交流，如有侵权请联系删除。</t>
        </is>
      </c>
      <c r="C25" s="2" t="str">
        <f>=HYPERLINK("http://img.alicdn.com/bao/uploaded/i1/O1CN01XVvPkb1IFlJQlRyKF_!!4611686018427383856-0-fleamarket.jpg_790x10000Q90.jpg_.webp", "img.alicdn.com/bao/uploaded/i1/O1CN01XVvPkb1IFlJQlRyKF_!!4611686018427383856-0-fleamarket.jpg_790x10000Q90.jpg_.webp")</f>
        <v>img.alicdn.com/bao/uploaded/i1/O1CN01XVvPkb1IFlJQlRyKF_!!4611686018427383856-0-fleamarket.jpg_790x10000Q90.jpg_.webp</v>
      </c>
      <c r="D25" s="2" t="str">
        <f>=HYPERLINK("https://www.goofish.com/item?spm=a21ybx.search.searchFeedList.29.22e26c82v4o1nV&amp;id=1003448282930&amp;categoryId=201454708", "https://www.goofish.com/item?spm=a21ybx.search.searchFeedList.29.22e26c82v4o1nV&amp;id=1003448282930&amp;categoryId=201454708")</f>
        <v>https://www.goofish.com/item?spm=a21ybx.search.searchFeedList.29.22e26c82v4o1nV&amp;id=1003448282930&amp;categoryId=201454708</v>
      </c>
    </row>
    <row r="26" ht="25.5" customHeight="1">
      <c r="A26">
        <v>995010492238</v>
      </c>
      <c r="B26" t="inlineStr">
        <is>
          <t>小学家长会ppt成品模板演讲稿暖场视频一二三四五六年级上下学期
——★24小时自动秒发百度网盘 ★——
——★24小时自动秒发百度网盘 ★——
——★24小时自动秒发百度网盘 ★——
2025年小学生家长会1-6年级上/下分类
可编辑 精选实用
成品PPT+发言稿+暖场视频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t>
        </is>
      </c>
      <c r="C26" s="2" t="str">
        <f>=HYPERLINK("http://img.alicdn.com/bao/uploaded/i4/O1CN018ejMLH1dZ5xGmH2OR_!!4611686018427387605-0-fleamarket.jpg_790x10000Q90.jpg_.webp", "img.alicdn.com/bao/uploaded/i4/O1CN018ejMLH1dZ5xGmH2OR_!!4611686018427387605-0-fleamarket.jpg_790x10000Q90.jpg_.webp")</f>
        <v>img.alicdn.com/bao/uploaded/i4/O1CN018ejMLH1dZ5xGmH2OR_!!4611686018427387605-0-fleamarket.jpg_790x10000Q90.jpg_.webp</v>
      </c>
      <c r="D26" s="2" t="str">
        <f>=HYPERLINK("https://www.goofish.com/item?spm=a21ybx.search.searchFeedList.12.22e26c82jlohwD&amp;id=995010492238&amp;categoryId=201454708", "https://www.goofish.com/item?spm=a21ybx.search.searchFeedList.12.22e26c82jlohwD&amp;id=995010492238&amp;categoryId=201454708")</f>
        <v>https://www.goofish.com/item?spm=a21ybx.search.searchFeedList.12.22e26c82jlohwD&amp;id=995010492238&amp;categoryId=201454708</v>
      </c>
    </row>
    <row r="27" ht="25.5" customHeight="1">
      <c r="A27">
        <v>1001203797915</v>
      </c>
      <c r="B27" t="inlineStr">
        <is>
          <t>2025全新整理拼音PPT课件动画视频练习 幼小衔接电子版全|||
套资料
2025全套趣味拼音学习｜可打印
有一种“苦”叫带娃学拼音，拼音是汉字发音的基础，往往是一大难点；
这次精心整理了一套非常全面的资源，包含拼音的全部知识点；
内有视频、动漫、游戏、练习、PPT等，从O开始，帮助小朋友轻松掌握基础内容；
适合幼儿园、小学阶段使用；
只要用心坚持，孩子一定会兴趣盎然，事半功倍！
温馨提示：电子版资料，售出不退，如有问题，请在客服聊天窗口留言，看到后第一时间回复，谢谢！
#早教神器来啦﻿ ﻿#9#拼音天练习﻿ ﻿#幼小衔接拼音拼音启蒙﻿ ﻿#幼儿园﻿ ﻿#在家早教﻿ ﻿#儿童拼音学习﻿</t>
        </is>
      </c>
      <c r="C27" s="2" t="str">
        <f>=HYPERLINK("http://img.alicdn.com/bao/uploaded/i1/O1CN01Fj9Fdg1IFlJJFM048_!!4611686018427383856-53-fleamarket.heic_790x10000Q90.jpg_.webp", "img.alicdn.com/bao/uploaded/i1/O1CN01Fj9Fdg1IFlJJFM048_!!4611686018427383856-53-fleamarket.heic_790x10000Q90.jpg_.webp")</f>
        <v>img.alicdn.com/bao/uploaded/i1/O1CN01Fj9Fdg1IFlJJFM048_!!4611686018427383856-53-fleamarket.heic_790x10000Q90.jpg_.webp</v>
      </c>
      <c r="D27" s="2" t="str">
        <f>=HYPERLINK("https://www.goofish.com/item?spm=a21ybx.search.searchFeedList.15.22e26c82v4o1nV&amp;id=1001203797915&amp;categoryId=201454708", "https://www.goofish.com/item?spm=a21ybx.search.searchFeedList.15.22e26c82v4o1nV&amp;id=1001203797915&amp;categoryId=201454708")</f>
        <v>https://www.goofish.com/item?spm=a21ybx.search.searchFeedList.15.22e26c82v4o1nV&amp;id=1001203797915&amp;categoryId=201454708</v>
      </c>
    </row>
    <row r="28" ht="25.5" customHeight="1">
      <c r="A28">
        <v>975639596553</v>
      </c>
      <c r="B28" t="inlineStr">
        <is>
          <t>170页高级感红色系PPT模板，图文排版超棒！
全新更新到170页，买即得最新版本！
一图到多图，各种形式都有，轻松做出高级感！
所有元素可编辑，图片可换，一键换色超方便！
直接套用，效果赞！标价即卖价哦～
拍下自动发货，白度网盘链接发货，不退不换哈～
学习资料教材 办公家具
</t>
        </is>
      </c>
      <c r="C28" s="2" t="str">
        <f>=HYPERLINK("http://img.alicdn.com/bao/uploaded/i1/O1CN012ggqM21svHMQ6z9f6_!!4611686018427381684-0-fleamarket.jpg_790x10000Q90.jpg_.webp", "img.alicdn.com/bao/uploaded/i1/O1CN012ggqM21svHMQ6z9f6_!!4611686018427381684-0-fleamarket.jpg_790x10000Q90.jpg_.webp")</f>
        <v>img.alicdn.com/bao/uploaded/i1/O1CN012ggqM21svHMQ6z9f6_!!4611686018427381684-0-fleamarket.jpg_790x10000Q90.jpg_.webp</v>
      </c>
      <c r="D28" s="2" t="str">
        <f>=HYPERLINK("https://www.goofish.com/item?spm=a21ybx.search.searchFeedList.11.22e26c82jlohwD&amp;id=975639596553&amp;categoryId=201454708", "https://www.goofish.com/item?spm=a21ybx.search.searchFeedList.11.22e26c82jlohwD&amp;id=975639596553&amp;categoryId=201454708")</f>
        <v>https://www.goofish.com/item?spm=a21ybx.search.searchFeedList.11.22e26c82jlohwD&amp;id=975639596553&amp;categoryId=201454708</v>
      </c>
    </row>
    <row r="29" ht="25.5" customHeight="1">
      <c r="A29">
        <v>1015555988422</v>
      </c>
      <c r="B29" t="inlineStr">
        <is>
          <t>4款年会游戏PPT模板 元旦新年公司游戏互动包你画我猜谁是卧底职场团建
职场人办年会团建不用愁！一套搞定现场互动游戏PPT模板，直接拿来就能用。
互动游戏PPT：谐音梗挑战 + 你画我猜 + 看emoji猜成语 + 谁是卧底。
每款游戏均已配好详细规则、素材和题目，无需自己费心找题写流程，打开即可直接使用。
活泼黄黑漫画风，气氛十足，适用于企业年会、部门团建、尾牙宴等多种场合。
内容可编辑可修改，拿到后可根据需要进行调整，轻松应对各种现场需求。
【获取方式】
拍下后秒发百度网盘链接，自动发货，即时到手。
省时省力，帮你高效搞定年会游戏环节，活跃气氛不冷场！
免责声明： 本商品为虚拟资料，版权归属原作者。如认为侵犯版权，请及时通知小店删除。支持正版，敬请前往官方购买。
</t>
        </is>
      </c>
      <c r="C29" s="2" t="str">
        <f>=HYPERLINK("http://img.alicdn.com/bao/uploaded/i1/2221187899404/O1CN01MYtPzM2JL5imjGReM_!!4611686018427379724-53-xy_item.heic_790x10000Q90.jpg_.webp", "img.alicdn.com/bao/uploaded/i1/2221187899404/O1CN01MYtPzM2JL5imjGReM_!!4611686018427379724-53-xy_item.heic_790x10000Q90.jpg_.webp")</f>
        <v>img.alicdn.com/bao/uploaded/i1/2221187899404/O1CN01MYtPzM2JL5imjGReM_!!4611686018427379724-53-xy_item.heic_790x10000Q90.jpg_.webp</v>
      </c>
      <c r="D29" s="2" t="str">
        <f>=HYPERLINK("https://www.goofish.com/item?spm=a21ybx.search.searchFeedList.27.22e26c82v4o1nV&amp;id=1015555988422&amp;categoryId=201454708", "https://www.goofish.com/item?spm=a21ybx.search.searchFeedList.27.22e26c82v4o1nV&amp;id=1015555988422&amp;categoryId=201454708")</f>
        <v>https://www.goofish.com/item?spm=a21ybx.search.searchFeedList.27.22e26c82v4o1nV&amp;id=1015555988422&amp;categoryId=201454708</v>
      </c>
    </row>
    <row r="30" ht="25.5" customHeight="1">
      <c r="A30">
        <v>1005840222093</v>
      </c>
      <c r="B30" t="inlineStr">
        <is>
          <t>【0.1双盘秒发】2026马年元旦游戏联欢晚会PPT
2026马年元旦游戏联欢晚会PPT课件，81页 可修改编辑
内容丰富，适合班级、学校、幼儿园元旦活动，互动性强，包含多种小游戏和活动环节，目录清晰，直接拿来用很方便
PPT文件，可编辑修改
拍下发网盘链接
标价即售价 直接拍就行 能拍就是有货
不用问在不在 拼单看到就会点免拼
</t>
        </is>
      </c>
      <c r="C30" s="2" t="str">
        <f>=HYPERLINK("http://img.alicdn.com/bao/uploaded/i3/2221166003364/O1CN01vCpg6A1ailTioItVW_!!4611686018427380900-53-xy_item.heic_790x10000Q90.jpg_.webp", "img.alicdn.com/bao/uploaded/i3/2221166003364/O1CN01vCpg6A1ailTioItVW_!!4611686018427380900-53-xy_item.heic_790x10000Q90.jpg_.webp")</f>
        <v>img.alicdn.com/bao/uploaded/i3/2221166003364/O1CN01vCpg6A1ailTioItVW_!!4611686018427380900-53-xy_item.heic_790x10000Q90.jpg_.webp</v>
      </c>
      <c r="D30" s="2" t="str">
        <f>=HYPERLINK("https://www.goofish.com/item?spm=a21ybx.search.searchFeedList.21.22e26c82v4o1nV&amp;id=1005840222093&amp;categoryId=201454708", "https://www.goofish.com/item?spm=a21ybx.search.searchFeedList.21.22e26c82v4o1nV&amp;id=1005840222093&amp;categoryId=201454708")</f>
        <v>https://www.goofish.com/item?spm=a21ybx.search.searchFeedList.21.22e26c82v4o1nV&amp;id=1005840222093&amp;categoryId=201454708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