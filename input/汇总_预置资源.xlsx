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预置资源"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s>
  <sheetData>
    <row r="1" ht="13" customHeight="1">
      <c r="A1" s="1" t="inlineStr">
        <is>
          <t>id</t>
        </is>
      </c>
      <c r="B1" s="1" t="inlineStr">
        <is>
          <t>标题</t>
        </is>
      </c>
      <c r="C1" s="1" t="inlineStr">
        <is>
          <t>图片</t>
        </is>
      </c>
    </row>
    <row r="2" ht="25.5" customHeight="1">
      <c r="A2">
        <v>997651001481</v>
      </c>
      <c r="B2" t="inlineStr">
        <is>
          <t>26年AI归来考研英语一英二全套电子版资料PDF来啦！英一英二通用，大作文+小作文模板+历年主题词汇+答题卡全都有，备考冲刺必备！
内容包括：2026考研英语作文模板PDF（英一英二通用）、大作文模板、小作文模板、历年主题词汇、答题卡等，数字资源，拍下自动发网盘链接，秒下不用等！
需要具体资料内容可以私聊，欢迎咨询，喜欢直接拍，有问题随时问我～
免责声明：资料只限学习用途，不得用于商业，标价为收集整理资料的辛苦费，虚拟商品售出不退不换，介意勿拍！
学习资料定制，喜欢就拍，细节私聊！
</t>
        </is>
      </c>
      <c r="C2" s="2" t="str">
        <f>=HYPERLINK("http://img.alicdn.com/bao/uploaded/i2/2219202947442/O1CN01K9902U24qUd1Jl87q_!!4611686018427382130-0-xy_item.jpg_790x10000Q90.jpg_.webp", "img.alicdn.com/bao/uploaded/i2/2219202947442/O1CN01K9902U24qUd1Jl87q_!!4611686018427382130-0-xy_item.jpg_790x10000Q90.jpg_.webp")</f>
        <v>img.alicdn.com/bao/uploaded/i2/2219202947442/O1CN01K9902U24qUd1Jl87q_!!4611686018427382130-0-xy_item.jpg_790x10000Q90.jpg_.webp</v>
      </c>
    </row>
    <row r="3" ht="25.5" customHeight="1">
      <c r="A3">
        <v>950132739399</v>
      </c>
      <c r="B3" t="inlineStr">
        <is>
          <t>【BEC商务英语】2025最新整理版初级➕中级➕高级全部课程
[号外][号外][号外][号外]
35个学习文档资料
真题+解析+音频+视频
BEC高级、中级、初级课程
高级、中级、初级全程通关
格式：PDF、Word、MP3等
适用对象：
准备参加BEC考试的考生
商务英语学习者
希望提升商务英语水平的专业人士
发货方式：百度网盘自动发货
价格：标价即卖价，直接拍即可
特点：
最新整理：2025年最新整理版，确保内容的时效性和准确性。
多种资源：包括讲义、笔记、真题、解析、音频等多种学习资源。
[火][火][火]内容概述
1. 35个学习文档资料：
包括词汇表、语法讲解、写作模板、口语练习材料等。
详细的备考指南和复习计划。
[钉子][钉子][钉子]真题+解析+音频：
近年的BEC考试真题及详细解析。
配套的听力音频文件，方便进行听力训练。
[钉子][钉子][钉子]
4. 高级、中级、初级全程通关课。
全面的备考指导和技巧分享。
注意事项
虚拟商品：由于是电子文件，具有可复制性，一经售出概不退换，请谨慎购买。
安全提示：请从信誉良好的卖家处购买，并确保下载的文件来源可靠，以避免潜在的安全风险。
链接失效：如果下载链接失效，可以联系卖家补发新的链接。
[[号外][号外][号外]祝您学习顺利，取得优异成绩！火火火火火火666
资料仅做分享，赚的是整理资料的辛苦费用</t>
        </is>
      </c>
      <c r="C3" s="2" t="str">
        <f>=HYPERLINK("http://img.alicdn.com/bao/uploaded/i4/1732655361/O1CN01unLIqv1pTOPuiW3ep_!!4611686018427386113-0-xy_item.jpg_790x10000Q90.jpg_.webp", "img.alicdn.com/bao/uploaded/i4/1732655361/O1CN01unLIqv1pTOPuiW3ep_!!4611686018427386113-0-xy_item.jpg_790x10000Q90.jpg_.webp")</f>
        <v>img.alicdn.com/bao/uploaded/i4/1732655361/O1CN01unLIqv1pTOPuiW3ep_!!4611686018427386113-0-xy_item.jpg_790x10000Q90.jpg_.webp</v>
      </c>
    </row>
    <row r="4" ht="25.5" customHeight="1">
      <c r="A4">
        <v>799657546298</v>
      </c>
      <c r="B4" t="inlineStr">
        <is>
          <t>2025年高考一二轮总复习资料电子版高三英语文数学物理化学模拟真题PPT讲义历史生物地理政/治
包括新高考23+24+2025全套总复习资料。
2025年一二轮九科已更新到蕞新内容，后续持续更新，免费更新2026版新资料。
送老高考23-24一轮+二轮+专项复习
送模拟试卷
内容有：PPT课件、讲义、习题、知识梳理、难点突破、真题汇编与模拟题等
直接拍，无需等待，佰度䋞盘24h-自动秒发货。
收货自动送：2025某pin牌教辅，榀牌知识点、知识手册、高考前蕞后一课等
</t>
        </is>
      </c>
      <c r="C4" s="2" t="str">
        <f>=HYPERLINK("http://img.alicdn.com/bao/uploaded/i1/O1CN01GoRlal1zbJMvhYkYa_!!4611686018427384060-0-fleamarket.jpg_790x10000Q90.jpg_.webp", "img.alicdn.com/bao/uploaded/i1/O1CN01GoRlal1zbJMvhYkYa_!!4611686018427384060-0-fleamarket.jpg_790x10000Q90.jpg_.webp")</f>
        <v>img.alicdn.com/bao/uploaded/i1/O1CN01GoRlal1zbJMvhYkYa_!!4611686018427384060-0-fleamarket.jpg_790x10000Q90.jpg_.webp</v>
      </c>
    </row>
    <row r="5" ht="25.5" customHeight="1">
      <c r="A5">
        <v>959038414781</v>
      </c>
      <c r="B5" t="inlineStr">
        <is>
          <t>【0.1 自动秒发】黄夫人物理高一高二 高三同步课视频 包含500多个视频，一轮复习讲义网义，高一高二高三讲义等
黄夫人全集包含
1.高一高二高三同步课视频
2.高三电子版讲义，专题讲解
3.选修合集，黄夫人高一高二高三讲义
4.高三一轮复习
5.必修1-4（文案图片均来自真实资料）
拍下后百度网盘24小时自动发货，仅收取整理费用，如有侵权联系删除
</t>
        </is>
      </c>
      <c r="C5" s="2" t="str">
        <f>=HYPERLINK("http://img.alicdn.com/bao/uploaded/i1/O1CN01FpvIab26jjzdIFUfX_!!4611686018427387058-0-fleamarket.jpg_790x10000Q90.jpg_.webp", "img.alicdn.com/bao/uploaded/i1/O1CN01FpvIab26jjzdIFUfX_!!4611686018427387058-0-fleamarket.jpg_790x10000Q90.jpg_.webp")</f>
        <v>img.alicdn.com/bao/uploaded/i1/O1CN01FpvIab26jjzdIFUfX_!!4611686018427387058-0-fleamarket.jpg_790x10000Q90.jpg_.webp</v>
      </c>
    </row>
    <row r="6" ht="25.5" customHeight="1">
      <c r="A6">
        <v>790614146039</v>
      </c>
      <c r="B6" t="inlineStr">
        <is>
          <t>《C语言》 重点 考点 题库 资料合集 全部发！就是标价！
期末复习资料 抱佛脚必备
【直接拍下发全部，网盘发货】
内容包括
①C语言常考知识点大总结[14页】
②C语言程序设计知识点总结【11页】
③C语言课件（精华版）【629张】
④C语言学习笔记[110页】
⑤C语言知识点总结【14页】
⑥题库1-C语言分章习题库附答案【90页】
⑦题库2-C语言分章习题集附答案【50页】
⑧题库3-c语言10套卷含答案【32页】
⑨题库4-C语言程序改错题库【80页】
10-题库5-大学C语言期末试题与答案【55页】
11-题库6-C语言程序填空题库【28页】
12-题库7-C语言程序设计模拟试题及答案【6页】
13-题库8-C语言程序模拟试题【8页】
14-题库9-c语言经典程序题目【12页】
15-题库10-C语言复习题库【18页】
--
适用于考研初试学习，考研复试面试，保研面笔试、夏令营面试、九推复试面试、自考、期末考试等情况，也避免出现老师进行专业问答时你不懂你尴尬，他尴尬，最后导致结果尴尬的局面
Tag：考研专业课资料&amp;保研资料&amp;自考资料&amp;期末复习资料
马上涨价，想要赶紧！（标价就是实价，直接拍）
</t>
        </is>
      </c>
      <c r="C6" s="2" t="str">
        <f>=HYPERLINK("http://img.alicdn.com/bao/uploaded/i3/O1CN01vLz6cV2JnU9eV6oKs_!!0-fleamarket.jpg_790x10000Q90.jpg_.webp", "img.alicdn.com/bao/uploaded/i3/O1CN01vLz6cV2JnU9eV6oKs_!!0-fleamarket.jpg_790x10000Q90.jpg_.webp")</f>
        <v>img.alicdn.com/bao/uploaded/i3/O1CN01vLz6cV2JnU9eV6oKs_!!0-fleamarket.jpg_790x10000Q90.jpg_.webp</v>
      </c>
    </row>
    <row r="7" ht="25.5" customHeight="1">
      <c r="A7">
        <v>942018152068</v>
      </c>
      <c r="B7" t="inlineStr">
        <is>
          <t>人教版1-6年级小学数学知识点考点归纳汇总（彩色版共92页）非实物
1. 完整的 1-6 年级数学上册+下册知识点。
2. 彩色高清手写字体，分单元呈现清晰。
3. 知识点、复习要点清晰可见超详细。
一年级上下册共9页
二年级上下册共10页
三年级上下册共15页
四年级上下册共16页
五年级上下册共19页
六年级上下册共23页
额外赠送1-6年级复习提纲、易错清单、预习要点等，赠送的东西太多，物超所值。
[1]标价全套价格，拍下自动发货
[2电孑资料，无实物，【度盘+夸盘】自动发送
[3]电孑文档的可复制性，一经拍下概不退换</t>
        </is>
      </c>
      <c r="C7" s="2" t="str">
        <f>=HYPERLINK("http://img.alicdn.com/bao/uploaded/i4/O1CN01m22qEs1lijAkrIAnt_!!4611686018427384645-0-fleamarket.jpg_790x10000Q90.jpg_.webp", "img.alicdn.com/bao/uploaded/i4/O1CN01m22qEs1lijAkrIAnt_!!4611686018427384645-0-fleamarket.jpg_790x10000Q90.jpg_.webp")</f>
        <v>img.alicdn.com/bao/uploaded/i4/O1CN01m22qEs1lijAkrIAnt_!!4611686018427384645-0-fleamarket.jpg_790x10000Q90.jpg_.webp</v>
      </c>
    </row>
    <row r="8" ht="25.5" customHeight="1">
      <c r="A8">
        <v>948726934630</v>
      </c>
      <c r="B8" t="inlineStr">
        <is>
          <t>2025新版七年级上册语文人教版复习预习全套资料
还在为孩子七年级上册语文的复习和预习发愁吗？看这里，全套资料来袭，让孩子学习无忧！
总共473个文件 ，内容超全，几乎都是按照课文或者单元编写。预习资料帮孩子在开学前抢占先机，早背晚默资料助力基础知识的积累，知识点梳理类、重点归纳资料让孩子对知识掌握更透彻。古诗文文言文专题、名著专题，让孩子深入理解经典。期中期末复习专题帮孩子在考试前高效冲刺，作文提分指导和阅读答题技巧更是提升语文综合素养的关键。
内容太多，无法一一展示，要是有需要可以私信我预览文件！
下面给大家罗列一下顶层文件夹的名字，让大家更直观了解资料内容：
- 七上语文必背内容汇总 - 2025
- 七上语文基础字词句成语
- 七上语文每课一练 - 2025
- 七上语文一课一附 - 2025
- 七上语文早背晚默写 - 2025
- 七上语文重点知识归纳总结 - 2025
- 七上语文单元知识清单 - 2025
- 七上语文单元检测卷 - 2025
- 七上语文古诗文 + 文言文训练 - 2025
- 七上语文必读名著《朝花夕拾》+《西游记》-2025
- 七上语文月考测试卷 - 2025
- 七上语文期中复习专题
- 七上语文期末复习专题
- 七上语文单元主题阅读 + 理解技巧 - 2025
- 七上语文作文提分指导 - 2025
拍下后，百度网盘链接发送，自动发货，标价就是卖价，需要直接拍！让孩子快人一步，轻松学好七年级上册语文！
</t>
        </is>
      </c>
      <c r="C8" s="2" t="str">
        <f>=HYPERLINK("http://img.alicdn.com/bao/uploaded/i4/O1CN01IAjcpA1U0RPdTUXmq_!!4611686018427386903-0-fleamarket.jpg_790x10000Q90.jpg_.webp", "img.alicdn.com/bao/uploaded/i4/O1CN01IAjcpA1U0RPdTUXmq_!!4611686018427386903-0-fleamarket.jpg_790x10000Q90.jpg_.webp")</f>
        <v>img.alicdn.com/bao/uploaded/i4/O1CN01IAjcpA1U0RPdTUXmq_!!4611686018427386903-0-fleamarket.jpg_790x10000Q90.jpg_.webp</v>
      </c>
    </row>
    <row r="9" ht="25.5" customHeight="1">
      <c r="A9">
        <v>977151259449</v>
      </c>
      <c r="B9" t="inlineStr">
        <is>
          <t>新人教a版高中数学选修必修课件教案，包含必修一二三和选修一二三全套电子版资料。
专业整理：特聘100名一线特级教师参与整理编撰，更懂课堂！
内容保障：优质PPT课件，精品教案，学习资料，紧跟教学前沿
符合课改：符合新课改，教学设计规范标准，轻松应对检查！
不论是老师备课，还是学生自学亦或是家长辅导，这份资料都是不二之选！
注意事项：
①电子资料，百度网盘发货
②虚拟资料非实物，一经售出不退不换
③支持百度网盘在线播放
④标价仅为整理资料的辛苦费
温馨提示：
本店资料来源于网络公开渠道，仅供学习交流使用。资料不用于商业用途，仅作学习参考。如涉及侵权，请及时联系删除。
喜欢的朋友可以直接下单哦～
</t>
        </is>
      </c>
      <c r="C9" s="2" t="str">
        <f>=HYPERLINK("http://img.alicdn.com/bao/uploaded/i1/O1CN01eOIf1s2EIjZp6SeEI_!!4611686018427385506-53-fleamarket.heic_790x10000Q90.jpg_.webp", "img.alicdn.com/bao/uploaded/i1/O1CN01eOIf1s2EIjZp6SeEI_!!4611686018427385506-53-fleamarket.heic_790x10000Q90.jpg_.webp")</f>
        <v>img.alicdn.com/bao/uploaded/i1/O1CN01eOIf1s2EIjZp6SeEI_!!4611686018427385506-53-fleamarket.heic_790x10000Q90.jpg_.webp</v>
      </c>
    </row>
    <row r="10" ht="25.5" customHeight="1">
      <c r="A10">
        <v>993356819001</v>
      </c>
      <c r="B10" t="inlineStr">
        <is>
          <t>【自动发货】2025新中特PDF及课后答案复习资料
新时代中国特色社会主义理论与实践2024＋2021完整电子版复习资料PDF
主要适用于研究生研一期末政治考试而定制。也适用于本科生，博士生，或者跟这个课程相关的人员。
本人所用一手资料，资料更多。其他店铺盗取我的资料进行二次加工售卖的，资料内部含有他们自己店铺名称的广告图片或者链接，请大家注意甄别。
资料更加完整，资料更多，基本涵盖了研究生政治考试所有的新中特复习资料。
[1]所发文件包含2024和2021新中特复习资料考试总结整理知识点。其中，新中特重点资料文件夹共有5个文件，包含学校老师公布重点的pdf文件。
[2]另外包括教材课后习题答案，二十大pdf，思考题答案，整理的考试重难点资料，开卷考试资料，某些大牛整理的资料
[3]包含且不止如下资料
1. 2024新中特单选题题库＋答案
2. 2024新中特多选题题库＋答案
3. 2024新中特课后习题及答案
4. 2024新中特考试重难点
5. 2024新中特考试论述题
6. 2024新中特复习提纲
7. 2024新中特电子书PDF
8. 2024新中特复习重点笔记、复习要点、思考题等（补充资料）
9. 附2021版新中特课件＋电子书＋课后思考题及答案
10. 下面这两个都有哦
新时代中国特色社会主义理论与实践PDF
a.2021版新中特PDF+课后思考题重点及答案
b.2024版新中特PDF+课后思考题重点及答案
等等
需要直接拍下秒发货，发百度网盘和夸克网盘链接，付款后7*24小时自动发送链接，无需等待。</t>
        </is>
      </c>
      <c r="C10" s="2" t="str">
        <f>=HYPERLINK("http://img.alicdn.com/bao/uploaded/i4/3408357231/O1CN01U9A4VL23Hr3Y0jyK0_!!4611686018427381615-0-xy_item.jpg_790x10000Q90.jpg_.webp", "img.alicdn.com/bao/uploaded/i4/3408357231/O1CN01U9A4VL23Hr3Y0jyK0_!!4611686018427381615-0-xy_item.jpg_790x10000Q90.jpg_.webp")</f>
        <v>img.alicdn.com/bao/uploaded/i4/3408357231/O1CN01U9A4VL23Hr3Y0jyK0_!!4611686018427381615-0-xy_item.jpg_790x10000Q90.jpg_.webp</v>
      </c>
    </row>
    <row r="11" ht="25.5" customHeight="1">
      <c r="A11">
        <v>937046458029</v>
      </c>
      <c r="B11" t="inlineStr">
        <is>
          <t>【自动发货】毛概2025版 期末题库 最新版 24h秒发
是大学老师给的
有选择题、大题，简答题，有课后习题答案和复习笔记
全部八章内容</t>
        </is>
      </c>
      <c r="C11" s="2" t="str">
        <f>=HYPERLINK("http://img.alicdn.com/bao/uploaded/i4/O1CN01MPDI8822gkvuH9DtD_!!4611686018427385278-0-fleamarket.jpg_790x10000Q90.jpg_.webp", "img.alicdn.com/bao/uploaded/i4/O1CN01MPDI8822gkvuH9DtD_!!4611686018427385278-0-fleamarket.jpg_790x10000Q90.jpg_.webp")</f>
        <v>img.alicdn.com/bao/uploaded/i4/O1CN01MPDI8822gkvuH9DtD_!!4611686018427385278-0-fleamarket.jpg_790x10000Q90.jpg_.webp</v>
      </c>
    </row>
    <row r="12" ht="25.5" customHeight="1">
      <c r="A12">
        <v>903850991084</v>
      </c>
      <c r="B12" t="inlineStr">
        <is>
          <t>【电网资料】打包出【财会类】国家电网考试电子版资料。
国网财会类专业包含财务管理、会计类、税务类、审计类、财务类等，具体专业见图。
【更新】刚更新了25届题库、讲义和模拟卷！
[1]含泪吐血整理，有多家机构，【独家】筛选并分类【最新】【核心】资料，即拿即用，节省复习时间。
[2]网课视频、讲义、题库、真题模拟题和笔记，按需复习。更新25届大纲和解析版的企业文化（快速记忆方法），时政已更新到25年1月，含押题题库和重点题库。
[3]拍前必看：图里的资料都有，需要就拍。
</t>
        </is>
      </c>
      <c r="C12" s="2" t="str">
        <f>=HYPERLINK("http://img.alicdn.com/bao/uploaded/i1/O1CN01C9pSWT1Kgtx4TD0wi_!!4611686018427380330-0-fleamarket.jpg_790x10000Q90.jpg_.webp", "img.alicdn.com/bao/uploaded/i1/O1CN01C9pSWT1Kgtx4TD0wi_!!4611686018427380330-0-fleamarket.jpg_790x10000Q90.jpg_.webp")</f>
        <v>img.alicdn.com/bao/uploaded/i1/O1CN01C9pSWT1Kgtx4TD0wi_!!4611686018427380330-0-fleamarket.jpg_790x10000Q90.jpg_.webp</v>
      </c>
    </row>
    <row r="13" ht="25.5" customHeight="1">
      <c r="A13">
        <v>939071072800</v>
      </c>
      <c r="B13" t="inlineStr">
        <is>
          <t>【非常全面】自考15040《新思想概论》
资料很全含2504精讲视频、2504串讲、历年真题（更新到最新）、讲义、复习资料！
发货：拍下速发度盘。
退换：电子版资料，一经售出，不退不换，敬请谅解！
赠送：复习资料
拍下默认自动发本科目全部资料
全部为高清版，可网盘在线观看！
格式排版清晰，可直接打印！
有遗漏或者链接失效请私信我，看到后立即解决！！！
祝所有考生顺利通关，拿本科证！
</t>
        </is>
      </c>
      <c r="C13" s="2" t="str">
        <f>=HYPERLINK("http://img.alicdn.com/bao/uploaded/i3/O1CN01qe8hFN29PXLyXHCQD_!!4611686018427385676-0-fleamarket.jpg_790x10000Q90.jpg_.webp", "img.alicdn.com/bao/uploaded/i3/O1CN01qe8hFN29PXLyXHCQD_!!4611686018427385676-0-fleamarket.jpg_790x10000Q90.jpg_.webp")</f>
        <v>img.alicdn.com/bao/uploaded/i3/O1CN01qe8hFN29PXLyXHCQD_!!4611686018427385676-0-fleamarket.jpg_790x10000Q90.jpg_.webp</v>
      </c>
    </row>
    <row r="14" ht="25.5" customHeight="1">
      <c r="A14">
        <v>946001438110</v>
      </c>
      <c r="B14" t="inlineStr">
        <is>
          <t>25新版《一本小学知识大盘点》电子PDF语文数学英语基本知识点复习一二三四五六年级全国通用
小学1-6年级知识点全面盘点梳理。适合预习、复习使用，实用性强，性价比高。不分年级、版本，全国通用！
高清pdf扫描版本，可自行打印！
扫马看视频讲解，听音频
2025最新版，不分版本，全国通用
包含：（3科打包1元）
语文：小学知识大盘点＋高频必刷题
数学：小学知识大盘点＋思维导图
英语：小学知识大盘点＋高频必刷题
[绿圆]请看清说明，标价可以直接拍！
[红圆]发百du网盘，链接永久有效，可随时查看转存下载！
[蓝圆]pdf扫描版，非纸质，自行打印！
免责申明:本店所有资料版权归原作者和出版社所有，标价仅为自己收集整理的辛苦费，不代表原实物价格。如有侵权，立删。
</t>
        </is>
      </c>
      <c r="C14" s="2" t="str">
        <f>=HYPERLINK("http://img.alicdn.com/bao/uploaded/i2/O1CN01sEDqHb2EK6kMmoWi4_!!4611686018427380485-0-fleamarket.jpg_790x10000Q90.jpg_.webp", "img.alicdn.com/bao/uploaded/i2/O1CN01sEDqHb2EK6kMmoWi4_!!4611686018427380485-0-fleamarket.jpg_790x10000Q90.jpg_.webp")</f>
        <v>img.alicdn.com/bao/uploaded/i2/O1CN01sEDqHb2EK6kMmoWi4_!!4611686018427380485-0-fleamarket.jpg_790x10000Q90.jpg_.webp</v>
      </c>
    </row>
    <row r="15" ht="25.5" customHeight="1">
      <c r="A15">
        <v>857227411020</v>
      </c>
      <c r="B15" t="inlineStr">
        <is>
          <t>【秒发】2026年初级护师历年考试真题库答案解析彩色考点笔记难点资料汇总电子版pdf可下载可打印
直接拍就行，秒发货，描述的都包含，bai度网盘发
备考【26年初级护师】的姐妹们可以复习了。
真题年份：2010-2025年都包含
（题目与答案分开）
2025年真题已更新，认准小雅资料，只有我这更新了，答案和题目也都是分开版，方便下载打印做题
资料包含：
1.真题【2010-2025年】+答案解析
2.彩色考点笔记
3.口诀速记
4.计算公式
5.模拟文档题
6.送高频考题
具体资料可以看下面图片上的文件夹，描述的都有，全部都发
直接拍就行，秒发，整理不易，发出不退换，希望理解，记得给个好平哦
</t>
        </is>
      </c>
      <c r="C15" s="2" t="str">
        <f>=HYPERLINK("http://img.alicdn.com/bao/uploaded/i2/O1CN01Czbgnb1RcxutKvZjZ_!!4611686018427380133-0-fleamarket.jpg_790x10000Q90.jpg_.webp", "img.alicdn.com/bao/uploaded/i2/O1CN01Czbgnb1RcxutKvZjZ_!!4611686018427380133-0-fleamarket.jpg_790x10000Q90.jpg_.webp")</f>
        <v>img.alicdn.com/bao/uploaded/i2/O1CN01Czbgnb1RcxutKvZjZ_!!4611686018427380133-0-fleamarket.jpg_790x10000Q90.jpg_.webp</v>
      </c>
    </row>
    <row r="16" ht="25.5" customHeight="1">
      <c r="A16">
        <v>975519024031</v>
      </c>
      <c r="B16" t="inlineStr">
        <is>
          <t>最新版思想课期末冲刺包！复习笔记 考试题库 习题答案 知识点总结 大一到大三全覆盖
标价直接拍
考研政治笔试/考研马理论复试/期末课后习题复习均适用
包括
【重点复习笔记】
2023版思想课重点笔记，期末重点一目了然
【课后习题答案】
每个章节的课后习题答案全收录，帮你巩固知识点，查漏补缺
【题库及答案汇总】
【知识点总结+思维导图】
期末知识点和思维导图，大总结让你的复习更有针对性
</t>
        </is>
      </c>
      <c r="C16" s="2" t="str">
        <f>=HYPERLINK("http://img.alicdn.com/bao/uploaded/i4/O1CN01Iz9Xxm1XV4lmU929S_!!4611686018427380176-53-fleamarket.heic_790x10000Q90.jpg_.webp", "img.alicdn.com/bao/uploaded/i4/O1CN01Iz9Xxm1XV4lmU929S_!!4611686018427380176-53-fleamarket.heic_790x10000Q90.jpg_.webp")</f>
        <v>img.alicdn.com/bao/uploaded/i4/O1CN01Iz9Xxm1XV4lmU929S_!!4611686018427380176-53-fleamarket.heic_790x10000Q90.jpg_.webp</v>
      </c>
    </row>
    <row r="17" ht="25.5" customHeight="1">
      <c r="A17">
        <v>807129218718</v>
      </c>
      <c r="B17" t="inlineStr">
        <is>
          <t>
沪科版初中数学，七到九年级讲义
讲义按照课本章节整理，每章分为基础版和提高版，两版都有知识点讲解和配套巩固练习。
适合在校老师课堂知识专题讲解、课外辅导一对一或班课直接使用。
其中一册为1元，全套5元（送一个中考总复习）。
需要直接拍，系统会自动发货。
新教材新题，版权所有，有完整创作时间线，禁止翻卖，资料翻卖会追究。认准正版，根据新教材更新资料。
</t>
        </is>
      </c>
      <c r="C17" s="2" t="str">
        <f>=HYPERLINK("http://img.alicdn.com/bao/uploaded/i2/O1CN01PSr6AZ1WMXeruIeiu_!!0-fleamarket.jpg_790x10000Q90.jpg_.webp", "img.alicdn.com/bao/uploaded/i2/O1CN01PSr6AZ1WMXeruIeiu_!!0-fleamarket.jpg_790x10000Q90.jpg_.webp")</f>
        <v>img.alicdn.com/bao/uploaded/i2/O1CN01PSr6AZ1WMXeruIeiu_!!0-fleamarket.jpg_790x10000Q90.jpg_.webp</v>
      </c>
    </row>
    <row r="18" ht="25.5" customHeight="1">
      <c r="A18">
        <v>887267029712</v>
      </c>
      <c r="B18" t="inlineStr">
        <is>
          <t>黄夫人物理讲义新版旧版➕笔记电子版➕视频
*拍下发货
*发 度/夸
一轮复习 一轮讲义 高一高二 高三复习 选修
【免责声明】
本店资源均通过网络等公开合法渠道获取，该资料仅作为阅读交流使用，并无任何商业目的，其版权归作者或出版社所有，本店不对所涉及的版权问题负法律责任。
如版权方、出版社认为本店行为侵权、请立即通知本店删除物品。 商品所收取的费用，用于本店搜索整理，加工整改资料。
</t>
        </is>
      </c>
      <c r="C18" s="2" t="str">
        <f>=HYPERLINK("http://img.alicdn.com/bao/uploaded/i4/O1CN01WhNlX61MCKjVEzdC0_!!4611686018427382374-53-fleamarket.heic_790x10000Q90.jpg_.webp", "img.alicdn.com/bao/uploaded/i4/O1CN01WhNlX61MCKjVEzdC0_!!4611686018427382374-53-fleamarket.heic_790x10000Q90.jpg_.webp")</f>
        <v>img.alicdn.com/bao/uploaded/i4/O1CN01WhNlX61MCKjVEzdC0_!!4611686018427382374-53-fleamarket.heic_790x10000Q90.jpg_.webp</v>
      </c>
    </row>
    <row r="19" ht="25.5" customHeight="1">
      <c r="A19">
        <v>948092826007</v>
      </c>
      <c r="B19" t="inlineStr">
        <is>
          <t>2023版马克思主义基本原理PDF电子版，
高等教育出版社正版教材，
本科考研政治必备。
baidu网盘直接发链接，速度超快，其他相关资料也可以咨询我。
［秒发］
</t>
        </is>
      </c>
      <c r="C19" s="2" t="str">
        <f>=HYPERLINK("http://img.alicdn.com/bao/uploaded/i4/O1CN01J5ejnk2KKv8sKdusi_!!4611686018427387555-53-fleamarket.heic_790x10000Q90.jpg_.webp", "img.alicdn.com/bao/uploaded/i4/O1CN01J5ejnk2KKv8sKdusi_!!4611686018427387555-53-fleamarket.heic_790x10000Q90.jpg_.webp")</f>
        <v>img.alicdn.com/bao/uploaded/i4/O1CN01J5ejnk2KKv8sKdusi_!!4611686018427387555-53-fleamarket.heic_790x10000Q90.jpg_.webp</v>
      </c>
    </row>
    <row r="20" ht="25.5" customHeight="1">
      <c r="A20">
        <v>973706589536</v>
      </c>
      <c r="B20" t="inlineStr">
        <is>
          <t>【非常全面】自考15040《新思想概论》
资料很全含2504精讲视频、2504串讲、历年真题（更新到最新）、讲义、复习资料！
发货：拍下速发度盘。
退换：电子版资料，一经售出，不退不换，敬请谅解！
赠送：复习资料
拍下默认自动发本科目全部资料
全部为高清版，可网盘在线观看！
格式排版清晰，可直接打印！
有遗漏或者链接失效请私信我，看到后立即解决！！！
祝所有考生顺利通关，拿本科证！
</t>
        </is>
      </c>
      <c r="C20" s="2" t="str">
        <f>=HYPERLINK("http://img.alicdn.com/bao/uploaded/i4/O1CN01BQCkTH1dcl6himpqe_!!4611686018427382637-53-fleamarket.heic_790x10000Q90.jpg_.webp", "img.alicdn.com/bao/uploaded/i4/O1CN01BQCkTH1dcl6himpqe_!!4611686018427382637-53-fleamarket.heic_790x10000Q90.jpg_.webp")</f>
        <v>img.alicdn.com/bao/uploaded/i4/O1CN01BQCkTH1dcl6himpqe_!!4611686018427382637-53-fleamarket.heic_790x10000Q90.jpg_.webp</v>
      </c>
    </row>
    <row r="21" ht="25.5" customHeight="1">
      <c r="A21">
        <v>945296404459</v>
      </c>
      <c r="B21" t="inlineStr">
        <is>
          <t>【秒发】2025高一高二高三全国各地名校试卷真题库 语文数学英语物理化学生物政治地理历史试卷电子版
[红圆]详情
[1]高一：2024.7-2025.7，目前已整理至25年5月，包更新至25年7月。
[2]高二：2024.7-2025.7，目前已整理至25年5月，包更新至25年7月。
[3]高三：2024.6-2025.6，目前已整理至25年5月，包更新至25年6月。
[红圆]高考9科，按月整理，收录各地区名校试卷，掌握最新考试动态，助力高中学习冲刺。
让你毫不费力就能搞定你想要的名校试卷，
最重要的是我们为试卷配有详细的答案解析。
[红圆]标价就是几个年级打包价。每个年级几千套试卷帮你掌握各地考试动态，适合教学工作者研究试题，也适合学生刷题！高中生必备试卷题库。试卷海量，不排除个别无答案，介意勿拍。
❤️垫子资料，不发快递，如有需要自行打印，24小时自动发货，永久保存，随时打印，方便学习使用。
❤️价格展示并非文件价值，而是资料整理费用，如有侵权，联系客服删除即可。
⭕ 渡盘，自动秒发货！
⭕️借搜TAG：
教材，教辅，高考资料，高中复习资料，高考复习资料，期末考试资料，资料汇总，期末复习资料，资料总结，高中语文复习资料，高中数学复习资料，高中英语复习资料，高中物理化学生物复习资料，高中政治历史地理复习资料，重点，笔记，题库，知识点归纳，大题总结，资料合集，高考语文模拟卷，高考数学模拟卷，高考英语模拟卷，高考物理模拟卷，高考化学模拟卷，高考生物模拟卷，高考政治模拟卷，高考历史模拟卷，高考地理模拟卷，
#学习资料教材</t>
        </is>
      </c>
      <c r="C21" s="2" t="str">
        <f>=HYPERLINK("http://img.alicdn.com/bao/uploaded/i4/O1CN01jwt8Fo2G0X2plNJAN_!!4611686018427381593-0-fleamarket.jpg_790x10000Q90.jpg_.webp", "img.alicdn.com/bao/uploaded/i4/O1CN01jwt8Fo2G0X2plNJAN_!!4611686018427381593-0-fleamarket.jpg_790x10000Q90.jpg_.webp")</f>
        <v>img.alicdn.com/bao/uploaded/i4/O1CN01jwt8Fo2G0X2plNJAN_!!4611686018427381593-0-fleamarket.jpg_790x10000Q90.jpg_.webp</v>
      </c>
    </row>
    <row r="22" ht="25.5" customHeight="1">
      <c r="A22">
        <v>941464310692</v>
      </c>
      <c r="B22" t="inlineStr">
        <is>
          <t>小学英语语法小升初语法知识点练习题，复习整理，小升初衔接巩固【自动免拼发货】
58页电子版练习资料，PDF直接打印，含语法知识点和专项练习，讲解很全面，通熟易懂，巩固语法的不二之选！
全国教材通用，不管是人教版，外研版，牛津版等都适用的！
有需要直接拍下，百。度。网。盘。分。享！
虚拟商品 不接受退换哦！
发的是百 度 网 盘 链 接，永不失效，售出不退。
-----★24小时自动发货，直接拍秒发★-----因素材具有可复制性，一经发货，概不退款！
</t>
        </is>
      </c>
      <c r="C22" s="2" t="str">
        <f>=HYPERLINK("http://img.alicdn.com/bao/uploaded/i2/O1CN014SSFGI2JBvkNJlebQ_!!4611686018427386760-0-fleamarket.jpg_790x10000Q90.jpg_.webp", "img.alicdn.com/bao/uploaded/i2/O1CN014SSFGI2JBvkNJlebQ_!!4611686018427386760-0-fleamarket.jpg_790x10000Q90.jpg_.webp")</f>
        <v>img.alicdn.com/bao/uploaded/i2/O1CN014SSFGI2JBvkNJlebQ_!!4611686018427386760-0-fleamarket.jpg_790x10000Q90.jpg_.webp</v>
      </c>
    </row>
    <row r="23" ht="25.5" customHeight="1">
      <c r="A23">
        <v>991304162422</v>
      </c>
      <c r="B23" t="inlineStr">
        <is>
          <t>计算机408考研资料合集，包含408八套卷答案解析、26竟成模拟题及解析、26零壹模拟卷，灰灰考研八套26年模拟题等。
百度网盘发货，包含完整电子版资料，按年份分类整理。
拍下稍等一会即可获得链接，后续会一直更新。
</t>
        </is>
      </c>
      <c r="C23" s="2" t="str">
        <f>=HYPERLINK("http://img.alicdn.com/bao/uploaded/i4/O1CN01lYbcAp1n4XgnbSNrB_!!4611686018427380556-0-fleamarket.jpg_790x10000Q90.jpg_.webp", "img.alicdn.com/bao/uploaded/i4/O1CN01lYbcAp1n4XgnbSNrB_!!4611686018427380556-0-fleamarket.jpg_790x10000Q90.jpg_.webp")</f>
        <v>img.alicdn.com/bao/uploaded/i4/O1CN01lYbcAp1n4XgnbSNrB_!!4611686018427380556-0-fleamarket.jpg_790x10000Q90.jpg_.webp</v>
      </c>
    </row>
    <row r="24" ht="25.5" customHeight="1">
      <c r="A24">
        <v>974278541118</v>
      </c>
      <c r="B24" t="inlineStr">
        <is>
          <t>出高中匠心地理课件 高中全部包含[上]
❗️人教版[hot]
包含：
匠心必修一课件
匠心必修二课件
匠心选择性必修一课件
匠心选择性必修二课件
匠心选择性必修三课件
匠心区域地理课件（中国和世界地理）
匠心高三复习课件一轮二轮
赠送：匠心微专题课件
标价就是打包价
特殊商品
不退不换
感兴趣的话点“我想要”，直接下单～
</t>
        </is>
      </c>
      <c r="C24" s="2" t="str">
        <f>=HYPERLINK("http://img.alicdn.com/bao/uploaded/i2/O1CN01sDL8ym2K1E84FFNj7_!!4611686018427386056-0-fleamarket.jpg_790x10000Q90.jpg_.webp", "img.alicdn.com/bao/uploaded/i2/O1CN01sDL8ym2K1E84FFNj7_!!4611686018427386056-0-fleamarket.jpg_790x10000Q90.jpg_.webp")</f>
        <v>img.alicdn.com/bao/uploaded/i2/O1CN01sDL8ym2K1E84FFNj7_!!4611686018427386056-0-fleamarket.jpg_790x10000Q90.jpg_.webp</v>
      </c>
    </row>
    <row r="25" ht="25.5" customHeight="1">
      <c r="A25">
        <v>953373572384</v>
      </c>
      <c r="B25" t="inlineStr">
        <is>
          <t>宏观经济学第十版第十一版曼昆pdf笔记、教材➕练习题➕课后习题答案期末考试重点复习
标价即拍价
价格绝对市面最低
#学习资料教材 #笔记学习资料
</t>
        </is>
      </c>
      <c r="C25" s="2" t="str">
        <f>=HYPERLINK("http://img.alicdn.com/bao/uploaded/i2/O1CN01cZnkyT1ZuqGfzWFgv_!!4611686018427383943-53-fleamarket.heic_790x10000Q90.jpg_.webp", "img.alicdn.com/bao/uploaded/i2/O1CN01cZnkyT1ZuqGfzWFgv_!!4611686018427383943-53-fleamarket.heic_790x10000Q90.jpg_.webp")</f>
        <v>img.alicdn.com/bao/uploaded/i2/O1CN01cZnkyT1ZuqGfzWFgv_!!4611686018427383943-53-fleamarket.heic_790x10000Q90.jpg_.webp</v>
      </c>
    </row>
    <row r="26" ht="25.5" customHeight="1">
      <c r="A26">
        <v>947259655001</v>
      </c>
      <c r="B26" t="inlineStr">
        <is>
          <t>2026新高考数学题型全解Word版学生版和教师版
讲义覆盖高考所有题型， 选用的例题和练习题大多来自历年新高考真题以及各省市的优质模拟题，让学生在练习过程中熟悉高考的命题风格和难度，提前适应高考节奏
同时，对真题进行详细的分类和解析，帮助学生把握高考的重点和热点，明确复习方向。知识系统梳理：在讲解题型的同时，对相关的数学知识进行系统梳理，帮助学生构建完整的知识体系。
讲义分学生版+教师版
提供原版Word，可编辑，可打印。
适用于高考数学一轮复习，高中数学必备！
</t>
        </is>
      </c>
      <c r="C26" s="2" t="str">
        <f>=HYPERLINK("http://img.alicdn.com/bao/uploaded/i4/O1CN01l4QwAz1wFNZU4tTBb_!!4611686018427382502-0-fleamarket.jpg_790x10000Q90.jpg_.webp", "img.alicdn.com/bao/uploaded/i4/O1CN01l4QwAz1wFNZU4tTBb_!!4611686018427382502-0-fleamarket.jpg_790x10000Q90.jpg_.webp")</f>
        <v>img.alicdn.com/bao/uploaded/i4/O1CN01l4QwAz1wFNZU4tTBb_!!4611686018427382502-0-fleamarket.jpg_790x10000Q90.jpg_.webp</v>
      </c>
    </row>
    <row r="27" ht="25.5" customHeight="1">
      <c r="A27">
        <v>1002329045198</v>
      </c>
      <c r="B27" t="inlineStr">
        <is>
          <t>最新版思想课期末冲刺包！复习笔记+考题+答案+知识点总结，大一到大三全覆盖！
考研政治笔试/考研马理论复试/期末课后习题复习都能用！
标价直接拍，拍下秒发网盘链接，自动发货，15秒到手！
【重点复习笔记】
2023版思想课重点笔记，期末冲刺一目了然！
【课后习题答案】
每个章节课后习题答案全收录，查漏补缺，巩固知识点！
【题库+答案汇总】
题库+答案汇总，刷题必备！
【知识点总结+思维导图】
期末知识点+思维导图，总结复习更高效！
资料为电子版，网盘自动发货，拍下即发，虚拟商品，售出不退不换！
需要直接拍，喜欢私聊，细节可问！
</t>
        </is>
      </c>
      <c r="C27" s="2" t="str">
        <f>=HYPERLINK("http://img.alicdn.com/bao/uploaded/i4/O1CN01jwXvXb2Kw1GICKvHj_!!4611686018427386580-0-fleamarket.jpg_790x10000Q90.jpg_.webp", "img.alicdn.com/bao/uploaded/i4/O1CN01jwXvXb2Kw1GICKvHj_!!4611686018427386580-0-fleamarket.jpg_790x10000Q90.jpg_.webp")</f>
        <v>img.alicdn.com/bao/uploaded/i4/O1CN01jwXvXb2Kw1GICKvHj_!!4611686018427386580-0-fleamarket.jpg_790x10000Q90.jpg_.webp</v>
      </c>
    </row>
    <row r="28" ht="25.5" customHeight="1">
      <c r="A28">
        <v>953038530018</v>
      </c>
      <c r="B28" t="inlineStr">
        <is>
          <t>【B170秒发货】[火]2025新人教版版高中高考政治必背知识点清单梳理选必修一二三四选修123电子资料高考总复习一轮复习二轮复习
高中全年级必修+选修7册知识点梳理（填空版+背诵版）
[钉子]word格式，每单元两份，一份挖空版一份背诵版有答案
[红圆]课本是新人教版才可以用，如图所示，课本不一样勿拍！！！
[右]点击“直接刀成”5秒内发货
发摆渡
页数如图四所示</t>
        </is>
      </c>
      <c r="C28" s="2" t="str">
        <f>=HYPERLINK("http://img.alicdn.com/bao/uploaded/i3/O1CN01gt0E3U2L9l6nysNUy_!!4611686018427380306-0-fleamarket.jpg_790x10000Q90.jpg_.webp", "img.alicdn.com/bao/uploaded/i3/O1CN01gt0E3U2L9l6nysNUy_!!4611686018427380306-0-fleamarket.jpg_790x10000Q90.jpg_.webp")</f>
        <v>img.alicdn.com/bao/uploaded/i3/O1CN01gt0E3U2L9l6nysNUy_!!4611686018427380306-0-fleamarket.jpg_790x10000Q90.jpg_.webp</v>
      </c>
    </row>
    <row r="29" ht="25.5" customHeight="1">
      <c r="A29">
        <v>989632758919</v>
      </c>
      <c r="B29" t="inlineStr">
        <is>
          <t>26➕25武忠祥选填技巧课，选填技巧课26
26【视频课】讲解持续实时更新中，25视频课完整版
26更新没那么快，复习进度快着急学习的孩子们，可以考虑看25版哦！
视频mp4格式（没有sz格式），不需要播放器播放
网盘（百度网盘、夸克网盘）自动发货
链接清单
一、26选填技巧【视频课】+【视频板书】（实时更新中）
二、25选填技巧【视频课】+【视频板书】（完整版）
三、25武忠祥《解题密码 选填题》练习题详解
武忠祥选填技巧课质量极高，考生不能错过哦~~
祝广大学子学业有成！
</t>
        </is>
      </c>
      <c r="C29" s="2" t="str">
        <f>=HYPERLINK("http://img.alicdn.com/bao/uploaded/i2/O1CN01bO1Uby23XQWFiOyU0_!!4611686018427379761-0-fleamarket.jpg_790x10000Q90.jpg_.webp", "img.alicdn.com/bao/uploaded/i2/O1CN01bO1Uby23XQWFiOyU0_!!4611686018427379761-0-fleamarket.jpg_790x10000Q90.jpg_.webp")</f>
        <v>img.alicdn.com/bao/uploaded/i2/O1CN01bO1Uby23XQWFiOyU0_!!4611686018427379761-0-fleamarket.jpg_790x10000Q90.jpg_.webp</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