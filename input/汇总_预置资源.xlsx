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预置资源"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0" fontId="2" fillId="0" borderId="0" xfId="0" applyFon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s>
  <sheetData>
    <row r="1" ht="13" customHeight="1">
      <c r="A1" s="1" t="inlineStr">
        <is>
          <t>id</t>
        </is>
      </c>
      <c r="B1" s="1" t="inlineStr">
        <is>
          <t>标题</t>
        </is>
      </c>
      <c r="C1" s="1" t="inlineStr">
        <is>
          <t>图片</t>
        </is>
      </c>
      <c r="D1" s="1" t="inlineStr">
        <is>
          <t>链接</t>
        </is>
      </c>
    </row>
    <row r="2" ht="25.5" customHeight="1">
      <c r="A2">
        <v>1025211276021</v>
      </c>
      <c r="B2" t="inlineStr">
        <is>
          <t>【秒发】1980-2026年考研英语真题 英语一＋英语二pdf电子版真题+黄皮书解析+词汇、答题卡一应俱全！ 26考研英语真题已更新！
现有多规格英语可选（赠送真题词汇）
——用不了 不满意 有包退——
英语一 英语二 发给你 无水印可直接打印！
2025.12月21日考研的英语真题已更新
英语一 英语二真题和解析都有
赠送2005-2024年的英语逐词翻译！英一/英二
真题试卷和答案是分开的，可直接打印做！
无水印高清 可直接拍，适合二刷 三刷，也可打印出试卷，进行模拟测试！
真题有详细的 答案解析，拍下可以直接打印！
-----★24小时自动发货，直接拍，标价就是卖价，秒发网盘链接★-----
</t>
        </is>
      </c>
      <c r="C2" s="2" t="str">
        <f>=HYPERLINK("http://img.alicdn.com/bao/uploaded/i3/O1CN01M8flum1Exx4kUJUr2_!!4611686018427384691-53-fleamarket.heic_790x10000Q90.jpg_.webp", "img.alicdn.com/bao/uploaded/i3/O1CN01M8flum1Exx4kUJUr2_!!4611686018427384691-53-fleamarket.heic_790x10000Q90.jpg_.webp")</f>
        <v>img.alicdn.com/bao/uploaded/i3/O1CN01M8flum1Exx4kUJUr2_!!4611686018427384691-53-fleamarket.heic_790x10000Q90.jpg_.webp</v>
      </c>
      <c r="D2" s="2" t="str">
        <f>=HYPERLINK("https://www.goofish.com/item?spm=a21ybx.search.searchFeedList.2.428b3984Nd7G6J&amp;id=1025211276021&amp;categoryId=201459411", "https://www.goofish.com/item?spm=a21ybx.search.searchFeedList.2.428b3984Nd7G6J&amp;id=1025211276021&amp;categoryId=201459411")</f>
        <v>https://www.goofish.com/item?spm=a21ybx.search.searchFeedList.2.428b3984Nd7G6J&amp;id=1025211276021&amp;categoryId=201459411</v>
      </c>
    </row>
    <row r="3" ht="25.5" customHeight="1">
      <c r="A3">
        <v>1017340899058</v>
      </c>
      <c r="B3" t="inlineStr">
        <is>
          <t>2026系统班680事业编联考A类B类C类D类E类事业单位考试资料职测真题视频｜2026版事业编笔试系统班 | 一站式备考上岸
全科覆盖：职测+综应+公基+时政等核心科目，一次搞定事业编笔试所有考点
配套齐全：高清视频+电子讲义+历年真题+行测2000题+公基6000题，从基础到冲刺一站式备考
持续更新：2026全年动态更新，紧跟考纲变化，内容永不落伍
无二次收费：一次购买，后续新增资料免费同步，性价比拉满
注意：
标价直拍是26版配套视频的价格，虚拟商品售出概不退换
一分价格一分货，大家莫要因为几块钱耽误了考试，因小失大
 祝大家金榜题名，顺利上岸！
</t>
        </is>
      </c>
      <c r="C3" s="2" t="str">
        <f>=HYPERLINK("http://img.alicdn.com/bao/uploaded/i2/1081457074/O1CN015Yqd0g227wtGkpg20_!!4611686018427386290-53-xy_item.heic_790x10000Q90.jpg_.webp", "img.alicdn.com/bao/uploaded/i2/1081457074/O1CN015Yqd0g227wtGkpg20_!!4611686018427386290-53-xy_item.heic_790x10000Q90.jpg_.webp")</f>
        <v>img.alicdn.com/bao/uploaded/i2/1081457074/O1CN015Yqd0g227wtGkpg20_!!4611686018427386290-53-xy_item.heic_790x10000Q90.jpg_.webp</v>
      </c>
      <c r="D3" s="2" t="str">
        <f>=HYPERLINK("https://www.goofish.com/item?spm=a21ybx.search.searchFeedList.22.428b3984Nd7G6J&amp;id=1017340899058&amp;categoryId=202036301", "https://www.goofish.com/item?spm=a21ybx.search.searchFeedList.22.428b3984Nd7G6J&amp;id=1017340899058&amp;categoryId=202036301")</f>
        <v>https://www.goofish.com/item?spm=a21ybx.search.searchFeedList.22.428b3984Nd7G6J&amp;id=1017340899058&amp;categoryId=202036301</v>
      </c>
    </row>
    <row r="4" ht="25.5" customHeight="1">
      <c r="A4">
        <v>905336832010</v>
      </c>
      <c r="B4" t="inlineStr">
        <is>
          <t>（秒发）2026江苏事业编真题➕网课，2026江苏事业单位真题网课【源头资源，全网更全】
内含备考江苏事业编管理岗和专技岗（经济类、法律类、计算机岗、其他类）重要课程
2012-2025江苏事业单位管理岗笔试真题及解析
2026最新江苏事业编网课资料持续更新
2023-2025综应小题考官阅卷标准回忆版
职测、综应三色笔记等
真题类：
计算机（2012-2023）真题及解析视频
计算机主流讲师（北欧、小林、土豆）视频课
经济类(2021-2025)真题及解析文字版
法律类(2016-2024)真题及解析文字版
赠送：经济类、法律类、计算机岗专业课资料。
重磅赠送：国考、省考、事业单位三考笔试名师课程资料。助力各位早日上岸。
2026江苏事业编课程已更新，放心拍，拍这一个就够了，全网Zui全。
江苏事业编管理岗，专技岗适用。
度盘夸克盘双盘发货，放心拍
凡购买笔试资料进面后，免费赠送面试重磅备考资料，祝各位一举上岸！
▼ 免责声明 ▼
◈ 本资源为视频资料整理服务，内容源自网络公开
◈ 标价仅包含网盘存储租赁费及人工整理成本费
◈ 版权属原作者，购买即视为同意仅作个人交流使用
◈ 如有异议请联系店家秒删，共同维护知识产权
</t>
        </is>
      </c>
      <c r="C4" s="2" t="str">
        <f>=HYPERLINK("http://img.alicdn.com/bao/uploaded/i2/3399355765/O1CN01AJrfV61sSQROeYbis_!!4611686018427383157-53-xy_item.heic_790x10000Q90.jpg_.webp", "img.alicdn.com/bao/uploaded/i2/3399355765/O1CN01AJrfV61sSQROeYbis_!!4611686018427383157-53-xy_item.heic_790x10000Q90.jpg_.webp")</f>
        <v>img.alicdn.com/bao/uploaded/i2/3399355765/O1CN01AJrfV61sSQROeYbis_!!4611686018427383157-53-xy_item.heic_790x10000Q90.jpg_.webp</v>
      </c>
      <c r="D4" s="2" t="str">
        <f>=HYPERLINK("https://www.goofish.com/item?spm=a21ybx.search.searchFeedList.6.428b3984Nd7G6J&amp;id=905336832010&amp;categoryId=202036301", "https://www.goofish.com/item?spm=a21ybx.search.searchFeedList.6.428b3984Nd7G6J&amp;id=905336832010&amp;categoryId=202036301")</f>
        <v>https://www.goofish.com/item?spm=a21ybx.search.searchFeedList.6.428b3984Nd7G6J&amp;id=905336832010&amp;categoryId=202036301</v>
      </c>
    </row>
    <row r="5" ht="25.5" customHeight="1">
      <c r="A5">
        <v>1022851656458</v>
      </c>
      <c r="B5" t="inlineStr">
        <is>
          <t>26年最新14套计算机二级WPS Office真题+答案PDF版，可打印，带答案解析！
26年3月全国计算机二级等级考试（NCRE)
考试时间：3月28日、3月29日
25年9月最新两套已更新，我这14套最全，别家只有12套，内容超全！
操作题+选择题都有，考生文件夹+答案解析，自己练习很方便，搭配选择题库背完就没问题～
送26年3月新版题库，可实操可评分，电子文件，直接拍付款秒发！
【关于发货】
拍下秒发！系统自动发货！可直接拍！
白度和夸可网盘同时发货，可沟通！
能拍就是有货！标价就是售价！
手机、平板、电脑多端可以使用哦！
【售后承诺】
因电子资料的可复制和传播，发货后不退不换。当出现排版、导入阅读不清晰、错版等品质问题，我们将提供无理由退款。
祝大家考试顺利过过过！
</t>
        </is>
      </c>
      <c r="C5" s="2" t="str">
        <f>=HYPERLINK("http://img.alicdn.com/bao/uploaded/i2/2220368930019/O1CN01Wweyri1C0keFeBuj1_!!4611686018427380963-53-xy_item.heic_790x10000Q90.jpg_.webp", "img.alicdn.com/bao/uploaded/i2/2220368930019/O1CN01Wweyri1C0keFeBuj1_!!4611686018427380963-53-xy_item.heic_790x10000Q90.jpg_.webp")</f>
        <v>img.alicdn.com/bao/uploaded/i2/2220368930019/O1CN01Wweyri1C0keFeBuj1_!!4611686018427380963-53-xy_item.heic_790x10000Q90.jpg_.webp</v>
      </c>
      <c r="D5" s="2" t="str">
        <f>=HYPERLINK("https://www.goofish.com/item?spm=a21ybx.search.searchFeedList.17.428b3984Nd7G6J&amp;id=1022851656458&amp;categoryId=202036301", "https://www.goofish.com/item?spm=a21ybx.search.searchFeedList.17.428b3984Nd7G6J&amp;id=1022851656458&amp;categoryId=202036301")</f>
        <v>https://www.goofish.com/item?spm=a21ybx.search.searchFeedList.17.428b3984Nd7G6J&amp;id=1022851656458&amp;categoryId=202036301</v>
      </c>
    </row>
    <row r="6" ht="25.5" customHeight="1">
      <c r="A6">
        <v>1027053650782</v>
      </c>
      <c r="B6" t="inlineStr">
        <is>
          <t>2025高考历年真题试卷电子版，全国卷+34省地方卷，包含数|||学英语语文生物化学等9科，原卷+解析版，Word+PDF格式，可编辑打印。下单自动发货，百度网盘分享，价格可小刀，欢迎咨询！
百度网盘/夸克网盘发货，看清楚哦，介意勿拍！
内容比较齐全，所以文件比较大。你们选择你需要的内容转存，或者一次转存一部分就行。永玖有效的，不用担心找不见。
2025年的也有！陆续更新中！
【温馨提示】:
该分享内容为电子资料，看好，再拍!
本声明作为投诉的申述，恕不退换!
免责声明:
本材料仅供交流使用，非商业用途，价格仅为整理费，资料来源于网络公开合法渠道获取，如有侵权，联系本店删除，百度网盘/夸克网盘自动发货，拍下即可！
</t>
        </is>
      </c>
      <c r="C6" s="2" t="str">
        <f>=HYPERLINK("http://img.alicdn.com/bao/uploaded/i2/O1CN01WL8FS61Exx4lqIY3P_!!4611686018427384691-53-fleamarket.heic_790x10000Q90.jpg_.webp", "img.alicdn.com/bao/uploaded/i2/O1CN01WL8FS61Exx4lqIY3P_!!4611686018427384691-53-fleamarket.heic_790x10000Q90.jpg_.webp")</f>
        <v>img.alicdn.com/bao/uploaded/i2/O1CN01WL8FS61Exx4lqIY3P_!!4611686018427384691-53-fleamarket.heic_790x10000Q90.jpg_.webp</v>
      </c>
      <c r="D6" s="2" t="str">
        <f>=HYPERLINK("https://www.goofish.com/item?spm=a21ybx.search.searchFeedList.28.428b3984Nd7G6J&amp;id=1027053650782&amp;categoryId=201459411", "https://www.goofish.com/item?spm=a21ybx.search.searchFeedList.28.428b3984Nd7G6J&amp;id=1027053650782&amp;categoryId=201459411")</f>
        <v>https://www.goofish.com/item?spm=a21ybx.search.searchFeedList.28.428b3984Nd7G6J&amp;id=1027053650782&amp;categoryId=201459411</v>
      </c>
    </row>
    <row r="7" ht="25.5" customHeight="1">
      <c r="A7">
        <v>1013677923240</v>
      </c>
      <c r="B7" t="inlineStr">
        <is>
          <t>【考研英语黄皮书全套资料】PDF电子版，夸克网盘秒发！
2026版《黄皮书》全套+27考研《黄皮书》都有，内容超全，历年真题、写作题、阅读题、模拟卷、配套课书、自测手译本、导学版、真题解析、复习思路、知识总结等，适合考研英语一、英语二备考，资料整理清晰，直接发网盘链接，不用等快递，省心省力！
电子资料，虚拟商品，售出不退不换。价格可聊，喜欢直接拍，细节随时问我～</t>
        </is>
      </c>
      <c r="C7" s="2" t="str">
        <f>=HYPERLINK("http://img.alicdn.com/bao/uploaded/i1/2220864791724/O1CN01N48uSK1Obdw1vC450_!!4611686018427380908-0-xy_item.jpg_790x10000Q90.jpg_.webp", "img.alicdn.com/bao/uploaded/i1/2220864791724/O1CN01N48uSK1Obdw1vC450_!!4611686018427380908-0-xy_item.jpg_790x10000Q90.jpg_.webp")</f>
        <v>img.alicdn.com/bao/uploaded/i1/2220864791724/O1CN01N48uSK1Obdw1vC450_!!4611686018427380908-0-xy_item.jpg_790x10000Q90.jpg_.webp</v>
      </c>
      <c r="D7" s="2" t="str">
        <f>=HYPERLINK("https://www.goofish.com/item?spm=a21ybx.search.searchFeedList.2.428b3984Nd7G6J&amp;id=1013677923240&amp;categoryId=202036301", "https://www.goofish.com/item?spm=a21ybx.search.searchFeedList.2.428b3984Nd7G6J&amp;id=1013677923240&amp;categoryId=202036301")</f>
        <v>https://www.goofish.com/item?spm=a21ybx.search.searchFeedList.2.428b3984Nd7G6J&amp;id=1013677923240&amp;categoryId=202036301</v>
      </c>
    </row>
    <row r="8" ht="25.5" customHeight="1">
      <c r="A8">
        <v>1032443270954</v>
      </c>
      <c r="B8" t="inlineStr">
        <is>
          <t>2027考研电路电气资料网课合集PDF｜全网最全！电子版PDF，内容超全，适合备考电气的同学！可订阅到27资料更新，拍一份享两份资料，零基础课+讲义+视频课全网最全！！！
资料包含宝典A各大院校真题、宝典B 330题、宝典S配套课程、宝典S上下册、电路基础课、电路强化课、零基础2027版+配套课程等，题型全，配套课程讲解清楚，刷题查漏补缺很方便，备考冲刺用很实用！
资料整理清晰，直接发网盘链接，拍下秒发，方便快捷！
虚拟商品，一经售出不退不换，价格可聊，有需要的同学私聊～
需要目录或细节可以私聊，喜欢直接拍，随时聊～
</t>
        </is>
      </c>
      <c r="C8" s="2" t="str">
        <f>=HYPERLINK("http://img.alicdn.com/bao/uploaded/i2/2222118795247/O1CN01m5FaU21odBHgpeG3Y_!!4611686018427385839-0-xy_item.jpg_790x10000Q90.jpg_.webp", "img.alicdn.com/bao/uploaded/i2/2222118795247/O1CN01m5FaU21odBHgpeG3Y_!!4611686018427385839-0-xy_item.jpg_790x10000Q90.jpg_.webp")</f>
        <v>img.alicdn.com/bao/uploaded/i2/2222118795247/O1CN01m5FaU21odBHgpeG3Y_!!4611686018427385839-0-xy_item.jpg_790x10000Q90.jpg_.webp</v>
      </c>
      <c r="D8" s="2" t="str">
        <f>=HYPERLINK("https://www.goofish.com/item?spm=a21ybx.search.searchFeedList.26.428b3984Nd7G6J&amp;id=1032443270954&amp;categoryId=201454414", "https://www.goofish.com/item?spm=a21ybx.search.searchFeedList.26.428b3984Nd7G6J&amp;id=1032443270954&amp;categoryId=201454414")</f>
        <v>https://www.goofish.com/item?spm=a21ybx.search.searchFeedList.26.428b3984Nd7G6J&amp;id=1032443270954&amp;categoryId=201454414</v>
      </c>
    </row>
    <row r="9" ht="25.5" customHeight="1">
      <c r="A9">
        <v>1013264157333</v>
      </c>
      <c r="B9" t="inlineStr">
        <is>
          <t>【2026软考中级网络工程师】Summer网工最新全套资料！2026年5月开课，同步更新到2026全年，内容超90G，持续增加中～
资料里有2025年新版教材（第6版），还有补充内容、视频、课件、历年真题解析、华为设备配置重点实验，刷题软件、小程序、直播录播课、冲刺模拟全都有，重点笔记、章节习题、考点难点、案例专题啥都有，内容很全，适合备考软考网络工程师！
还送网工老姜的课程！！！！！拍下自动发货，百度网盘链接秒发，不用等，全程无忧～
其他卖家可能是旧版课程，我们同步更新到11月课程，拍下就能用最新资料，省心省力！
有问题随时私聊，学习建议、资料细节都可以问我，喜欢直接拍，欢迎来聊！
</t>
        </is>
      </c>
      <c r="C9" s="2" t="str">
        <f>=HYPERLINK("http://img.alicdn.com/bao/uploaded/i2/3714554192/O1CN01Iu2kno1gpzQPywd5m_!!4611686018427386192-53-xy_item.heic_790x10000Q90.jpg_.webp", "img.alicdn.com/bao/uploaded/i2/3714554192/O1CN01Iu2kno1gpzQPywd5m_!!4611686018427386192-53-xy_item.heic_790x10000Q90.jpg_.webp")</f>
        <v>img.alicdn.com/bao/uploaded/i2/3714554192/O1CN01Iu2kno1gpzQPywd5m_!!4611686018427386192-53-xy_item.heic_790x10000Q90.jpg_.webp</v>
      </c>
      <c r="D9" s="2" t="str">
        <f>=HYPERLINK("https://www.goofish.com/item?spm=a21ybx.search.searchFeedList.29.428b3984Nd7G6J&amp;id=1013264157333&amp;categoryId=202036301", "https://www.goofish.com/item?spm=a21ybx.search.searchFeedList.29.428b3984Nd7G6J&amp;id=1013264157333&amp;categoryId=202036301")</f>
        <v>https://www.goofish.com/item?spm=a21ybx.search.searchFeedList.29.428b3984Nd7G6J&amp;id=1013264157333&amp;categoryId=202036301</v>
      </c>
    </row>
    <row r="10" ht="25.5" customHeight="1">
      <c r="A10">
        <v>1033594104531</v>
      </c>
      <c r="B10" t="inlineStr">
        <is>
          <t>【2027考研物理化学全程资料】哈哥物化/振宇物化/有机化全套，零基础到自测题全都有，视频+讲义+习题+真题解析，内容超全！27/26哈哥物化资料，保证永不断更，持续更新到考研结束！26哈哥完整版可看
资料齐全不跑路，手机电脑平板都能用，百度网盘+夸克网盘双通道发货，拍下秒发链接，水印小，随时可学！
百度网盘+夸克网盘双通道发货，拍下秒发链接，手机电脑都能用，随时学习，水印小，自动更新无需保存。
很多同学到处找资源，时间浪费不少，资料不全，太麻烦了。。。专业的事情交给专业团队来做！一手课程资源，保证课程完整，更新及时，安心复习！
25年以后，一般基础不加密，强化冲刺部分加密，全网都一样 需要播放器，需要补差价，课程有部分sz格式加密，我们提供播放器，直接下单的不提供播放器，只发27+26课源，播放器需要补差价，低价都是没有播放器的，播放器进价成本高～
温馨提示：
电子资料为虚拟商品，发出后不退不换，链接发出后不支持退款，因资料具有可复制性，还请理解。
</t>
        </is>
      </c>
      <c r="C10" s="2" t="str">
        <f>=HYPERLINK("http://img.alicdn.com/bao/uploaded/i3/2220610526804/O1CN01HAiodG208HxZUrhTr_!!4611686018427387476-0-xy_item.jpg_790x10000Q90.jpg_.webp", "img.alicdn.com/bao/uploaded/i3/2220610526804/O1CN01HAiodG208HxZUrhTr_!!4611686018427387476-0-xy_item.jpg_790x10000Q90.jpg_.webp")</f>
        <v>img.alicdn.com/bao/uploaded/i3/2220610526804/O1CN01HAiodG208HxZUrhTr_!!4611686018427387476-0-xy_item.jpg_790x10000Q90.jpg_.webp</v>
      </c>
      <c r="D10" s="2" t="str">
        <f>=HYPERLINK("https://www.goofish.com/item?spm=a21ybx.search.searchFeedList.7.428b3984Nd7G6J&amp;id=1033594104531&amp;categoryId=202036301", "https://www.goofish.com/item?spm=a21ybx.search.searchFeedList.7.428b3984Nd7G6J&amp;id=1033594104531&amp;categoryId=202036301")</f>
        <v>https://www.goofish.com/item?spm=a21ybx.search.searchFeedList.7.428b3984Nd7G6J&amp;id=1033594104531&amp;categoryId=202036301</v>
      </c>
    </row>
    <row r="11" ht="25.5" customHeight="1">
      <c r="A11">
        <v>1009816926682</v>
      </c>
      <c r="B11" t="inlineStr">
        <is>
          <t>2026金考卷高考45套语数英理化生政史地 新高考冲刺汇编真题卷
【新高考Ⅰ卷适用省份】：河南、河北、广东、山东、湖南、湖北、江西、浙江、江苏、福建、安徽、北京、天津
【资料内容】
 45套精选模拟试卷
 6套保分卷+14套提分卷1+20套提分卷2+5套满分卷
 6维解析法 详细讲解每道题
【资料特点】
 2026高考适用 新高考Ⅰ卷
 全面覆盖高考考点
 高三学生冲刺备考专用
【发货说明】
✅ 电子版PDF资料
✅ 拍下秒发货 无需等待
✅ 虚拟商品 售出不退不换
✅ 下单前请确认需求
需要的同学直接拍下即可～
</t>
        </is>
      </c>
      <c r="C11" s="2" t="str">
        <f>=HYPERLINK("http://img.alicdn.com/bao/uploaded/i3/2215464206432/O1CN01Gs8Wub1xNubxzZoBC_!!4611686018427379808-53-xy_item.heic_790x10000Q90.jpg_.webp", "img.alicdn.com/bao/uploaded/i3/2215464206432/O1CN01Gs8Wub1xNubxzZoBC_!!4611686018427379808-53-xy_item.heic_790x10000Q90.jpg_.webp")</f>
        <v>img.alicdn.com/bao/uploaded/i3/2215464206432/O1CN01Gs8Wub1xNubxzZoBC_!!4611686018427379808-53-xy_item.heic_790x10000Q90.jpg_.webp</v>
      </c>
      <c r="D11" s="2" t="str">
        <f>=HYPERLINK("https://www.goofish.com/item?spm=a21ybx.search.searchFeedList.5.428b3984Nd7G6J&amp;id=1009816926682&amp;categoryId=202036301", "https://www.goofish.com/item?spm=a21ybx.search.searchFeedList.5.428b3984Nd7G6J&amp;id=1009816926682&amp;categoryId=202036301")</f>
        <v>https://www.goofish.com/item?spm=a21ybx.search.searchFeedList.5.428b3984Nd7G6J&amp;id=1009816926682&amp;categoryId=202036301</v>
      </c>
    </row>
    <row r="12" ht="25.5" customHeight="1">
      <c r="A12">
        <v>1013080939624</v>
      </c>
      <c r="B12" t="inlineStr">
        <is>
          <t>最新2026年国考 2025省考真题和答案解析，以及往年真题、答案、解析
✅✅国考26年已更，省考大部分到25了
具体参考表格图片
2026国考+2025省考！！！
2026国考+2025省考！！！
2026国考真题行政执法类、副省级、地级市行测申论以及答案、解析（抢先版，带一点点水印，介意勿拍！后续会持续更新）
申论材料独家，放心拍下（题目解析答案都有）
2025行测真题答案解析有重庆，江苏，浙江，安徽，云南，深圳，上海，山西，宁夏，湖南，黑龙江，河南，河北，贵州，广西，广东，福建等
标价即售价，不闲聊，合适直接拍，双网盘自动发货。
</t>
        </is>
      </c>
      <c r="C12" s="2" t="str">
        <f>=HYPERLINK("http://img.alicdn.com/bao/uploaded/i3/2220296414903/O1CN01l9UJOm1m5d1rQLaFT_!!4611686018427381431-53-xy_item.heic_790x10000Q90.jpg_.webp", "img.alicdn.com/bao/uploaded/i3/2220296414903/O1CN01l9UJOm1m5d1rQLaFT_!!4611686018427381431-53-xy_item.heic_790x10000Q90.jpg_.webp")</f>
        <v>img.alicdn.com/bao/uploaded/i3/2220296414903/O1CN01l9UJOm1m5d1rQLaFT_!!4611686018427381431-53-xy_item.heic_790x10000Q90.jpg_.webp</v>
      </c>
      <c r="D12" s="2" t="str">
        <f>=HYPERLINK("https://www.goofish.com/item?spm=a21ybx.search.searchFeedList.6.428b3984Nd7G6J&amp;id=1013080939624&amp;categoryId=202036301", "https://www.goofish.com/item?spm=a21ybx.search.searchFeedList.6.428b3984Nd7G6J&amp;id=1013080939624&amp;categoryId=202036301")</f>
        <v>https://www.goofish.com/item?spm=a21ybx.search.searchFeedList.6.428b3984Nd7G6J&amp;id=1013080939624&amp;categoryId=202036301</v>
      </c>
    </row>
    <row r="13" ht="25.5" customHeight="1">
      <c r="A13">
        <v>995779004068</v>
      </c>
      <c r="B13" t="inlineStr">
        <is>
          <t>26广州番禺教师招聘真题时政教综资料包
资料目录：
[00]广州番禺教招真题17-25
[01]教综资料
[02]公基资料及题库(速成版)
[03]26教育时政（持续更新）
[04]行测资料及题库(速成版)
[05]教育综合基础知识
[06]教师招聘考前30套模拟押题卷
[07]教招最全记忆口诀
[08]案例分析专项资料
[09]教育类面试
百夸双网盘秒发+自动发货，拍下即刻领取
整理资料的过来人真心建议，把时间花在复习上，资料交给我就好，下一个上岸的就是你！
免责声明：本闲鱼号分享的资源均通过网络等公共合法渠道获得，仅供试用！
一切法律后果与本闲鱼号无关。版权属于原出版机构或影像公司，本号不负任何法律责任。
本资源为电子载体，传播分享仅限于家庭使用与交流心得、参考和辅助购买决策，如原作者认为侵权，请提供相关证明文件，即刻通知本号删除文章。</t>
        </is>
      </c>
      <c r="C13" s="2" t="str">
        <f>=HYPERLINK("http://img.alicdn.com/bao/uploaded/i4/O1CN01ko1p7M1FMgSixzrxr_!!827700473-2-fleamarket.png_790x10000.jpg_.webp", "img.alicdn.com/bao/uploaded/i4/O1CN01ko1p7M1FMgSixzrxr_!!827700473-2-fleamarket.png_790x10000.jpg_.webp")</f>
        <v>img.alicdn.com/bao/uploaded/i4/O1CN01ko1p7M1FMgSixzrxr_!!827700473-2-fleamarket.png_790x10000.jpg_.webp</v>
      </c>
      <c r="D13" s="2" t="str">
        <f>=HYPERLINK("https://www.goofish.com/item?spm=a21ybx.search.searchFeedList.2.428b3984Nd7G6J&amp;id=995779004068&amp;categoryId=202036301", "https://www.goofish.com/item?spm=a21ybx.search.searchFeedList.2.428b3984Nd7G6J&amp;id=995779004068&amp;categoryId=202036301")</f>
        <v>https://www.goofish.com/item?spm=a21ybx.search.searchFeedList.2.428b3984Nd7G6J&amp;id=995779004068&amp;categoryId=202036301</v>
      </c>
    </row>
    <row r="14" ht="25.5" customHeight="1">
      <c r="A14">
        <v>1029126483766</v>
      </c>
      <c r="B14" t="inlineStr">
        <is>
          <t>27考研数学27姜晓千全程 赠送26【秒发】27考研数学姜晓千网课+电子资料 【自动发货】
[钉子]27年最新考研数学网课，姜晓千全程班+660题精讲，高数、线代、概率论全都有，视频+PDF讲义齐全，基础强化冲刺押题全覆盖，内容超全，适合数一数二数三备考！
[红圆]真题同源压轴，150高分高数，讲义整理好直接用，不用到处找资料，手机电脑都能看，查找方便。
[红圆]最新27考研网课，持续更新，拍下自动发百度网盘+夸克网盘双盘链接，随时复习！
[红圆]虚拟资料，拍下自动发货，不发实物，售出不退不换。喜欢直接拍，有问题随时私聊
[钉子]免责声明：本人所有资料的标价均为帮忙收集整理资料的辛苦费，并不是资料的价钱，资料只限于用于学习用途，不得用作任何商业用途。如有哪些资料侵权，联系我，立马下架删除！
</t>
        </is>
      </c>
      <c r="C14" s="2" t="str">
        <f>=HYPERLINK("http://img.alicdn.com/bao/uploaded/i4/2222108200476/O1CN01lLhGpo1FO3ee96y75_!!4611686018427383324-0-xy_item.jpg_790x10000Q90.jpg_.webp", "img.alicdn.com/bao/uploaded/i4/2222108200476/O1CN01lLhGpo1FO3ee96y75_!!4611686018427383324-0-xy_item.jpg_790x10000Q90.jpg_.webp")</f>
        <v>img.alicdn.com/bao/uploaded/i4/2222108200476/O1CN01lLhGpo1FO3ee96y75_!!4611686018427383324-0-xy_item.jpg_790x10000Q90.jpg_.webp</v>
      </c>
      <c r="D14" s="2" t="str">
        <f>=HYPERLINK("https://www.goofish.com/item?spm=a21ybx.search.searchFeedList.13.428b3984Nd7G6J&amp;id=1029126483766&amp;categoryId=201454414", "https://www.goofish.com/item?spm=a21ybx.search.searchFeedList.13.428b3984Nd7G6J&amp;id=1029126483766&amp;categoryId=201454414")</f>
        <v>https://www.goofish.com/item?spm=a21ybx.search.searchFeedList.13.428b3984Nd7G6J&amp;id=1029126483766&amp;categoryId=201454414</v>
      </c>
    </row>
    <row r="15" ht="25.5" customHeight="1">
      <c r="A15">
        <v>1011683477723</v>
      </c>
      <c r="B15" t="inlineStr">
        <is>
          <t>26年3月全国计算机二级C语言考试题库资料包安装教程指导咨询新版66套真题NCRE支持自动评分+模拟练习！
✅题库包含66套真题（新增了2025年考的三套真题），题型涵盖单项选择、C语言程序填空、C语言程序修改和C语言程序设计等，支持模拟考试和实时评分功能。考试95%的题目都是题库里的原题，并且题库软件完全免费使用。
✅电脑安装包！！
✅适合备考二级C语言的同学，刷题查漏补缺，考试拿高分！
【关于发货】
拍下秒发！系统自动发货！可直接拍！
百度和夸克网盘发货，可沟通！
能拍就是有货！标价就是售价！
【售后承诺】
因电子资料的可复制和传播，发货后不退不换。当出现排版、导入阅读不清晰、错版等品质问题，我们将提供无理由退款。
声明：所提供的软件安装服务，本地收取费用为软件整理，辅助咨询等服务储存费用。仅供个人学习、研究使用，不涉及软件内的会员服务，专为不会安装和新手顾客提供技术指导服务。
文件均来自公开网络资源，仅供学习和交流，版权归原作者所有。如有版权问题，请联系删除。商品价格仅代表资源整理成本，支持正版。
想了解更多，点“我想要”咨询吧！全天在线，服务有保障！
</t>
        </is>
      </c>
      <c r="C15" s="2" t="str">
        <f>=HYPERLINK("http://img.alicdn.com/bao/uploaded/i1/2220368930019/O1CN01dIpGOg1C0kdrHyG8u_!!4611686018427380963-53-xy_item.heic_790x10000Q90.jpg_.webp", "img.alicdn.com/bao/uploaded/i1/2220368930019/O1CN01dIpGOg1C0kdrHyG8u_!!4611686018427380963-53-xy_item.heic_790x10000Q90.jpg_.webp")</f>
        <v>img.alicdn.com/bao/uploaded/i1/2220368930019/O1CN01dIpGOg1C0kdrHyG8u_!!4611686018427380963-53-xy_item.heic_790x10000Q90.jpg_.webp</v>
      </c>
      <c r="D15" s="2" t="str">
        <f>=HYPERLINK("https://www.goofish.com/item?spm=a21ybx.search.searchFeedList.25.428b3984Nd7G6J&amp;id=1011683477723&amp;categoryId=202036301", "https://www.goofish.com/item?spm=a21ybx.search.searchFeedList.25.428b3984Nd7G6J&amp;id=1011683477723&amp;categoryId=202036301")</f>
        <v>https://www.goofish.com/item?spm=a21ybx.search.searchFeedList.25.428b3984Nd7G6J&amp;id=1011683477723&amp;categoryId=202036301</v>
      </c>
    </row>
    <row r="16" ht="25.5" customHeight="1">
      <c r="A16">
        <v>1028914261619</v>
      </c>
      <c r="B16" t="inlineStr">
        <is>
          <t>没咋了27考研数学全程持续更新
[号外][红圆]咋子哥讲义+视频课程全都有，内容超全！高数、线代、概率基础+强化课+讲义+视频+真题+模拟卷+强化测试卷+选填技巧课
[号外]适合27考研数学备考，刷题提分必备！
[号外]电子资料，网盘自动发货，秒拍秒发！资料免费分享，店主整理，不涉及版权，如有侵权请联系删除！
[钉子]虚拟商品，售出不退不换，喜欢直接拍，自动发货！2027考研 数学资料</t>
        </is>
      </c>
      <c r="C16" s="2" t="str">
        <f>=HYPERLINK("http://img.alicdn.com/bao/uploaded/i4/2222108200476/O1CN01jheyZm1FO3ecICvMK_!!4611686018427383324-0-xy_item.jpg_790x10000Q90.jpg_.webp", "img.alicdn.com/bao/uploaded/i4/2222108200476/O1CN01jheyZm1FO3ecICvMK_!!4611686018427383324-0-xy_item.jpg_790x10000Q90.jpg_.webp")</f>
        <v>img.alicdn.com/bao/uploaded/i4/2222108200476/O1CN01jheyZm1FO3ecICvMK_!!4611686018427383324-0-xy_item.jpg_790x10000Q90.jpg_.webp</v>
      </c>
      <c r="D16" s="2" t="str">
        <f>=HYPERLINK("https://www.goofish.com/item?spm=a21ybx.search.searchFeedList.3.428b3984Nd7G6J&amp;id=1028914261619&amp;categoryId=202036301", "https://www.goofish.com/item?spm=a21ybx.search.searchFeedList.3.428b3984Nd7G6J&amp;id=1028914261619&amp;categoryId=202036301")</f>
        <v>https://www.goofish.com/item?spm=a21ybx.search.searchFeedList.3.428b3984Nd7G6J&amp;id=1028914261619&amp;categoryId=202036301</v>
      </c>
    </row>
    <row r="17" ht="25.5" customHeight="1">
      <c r="A17">
        <v>851162245968</v>
      </c>
      <c r="B17" t="inlineStr">
        <is>
          <t>【标价直拍-秒发】2026春招秋招中国农行笔试资料
超全！超全！超全！
ABC中国农业银行招聘考试资料包，含笔试真题＋模拟题＋知识点讲义＋备考做题技巧+电子版题库+优秀网申资料+农行冲刺资料+农行英语资料，总之资料很全！上岸必备！
时.政 资料 已更新到2026【持续更新】
祝大家早日上岸！农行招聘考试的苦吃一次就够了！加油！
喜欢直接拍就可以，秒拍秒发，度盘发货。
虚拟资料具有可复制性，不支持退换货，谢谢理解
</t>
        </is>
      </c>
      <c r="C17" s="2" t="str">
        <f>=HYPERLINK("http://img.alicdn.com/bao/uploaded/i3/2218487160281/O1CN01dryjxP1DwkQF3mau1_!!4611686018427387353-0-xy_item.jpg_790x10000Q90.jpg_.webp", "img.alicdn.com/bao/uploaded/i3/2218487160281/O1CN01dryjxP1DwkQF3mau1_!!4611686018427387353-0-xy_item.jpg_790x10000Q90.jpg_.webp")</f>
        <v>img.alicdn.com/bao/uploaded/i3/2218487160281/O1CN01dryjxP1DwkQF3mau1_!!4611686018427387353-0-xy_item.jpg_790x10000Q90.jpg_.webp</v>
      </c>
      <c r="D17" s="2" t="str">
        <f>=HYPERLINK("https://www.goofish.com/item?spm=a21ybx.search.searchFeedList.18.428b3984Nd7G6J&amp;id=851162245968&amp;categoryId=201460910", "https://www.goofish.com/item?spm=a21ybx.search.searchFeedList.18.428b3984Nd7G6J&amp;id=851162245968&amp;categoryId=201460910")</f>
        <v>https://www.goofish.com/item?spm=a21ybx.search.searchFeedList.18.428b3984Nd7G6J&amp;id=851162245968&amp;categoryId=201460910</v>
      </c>
    </row>
    <row r="18" ht="25.5" customHeight="1">
      <c r="A18">
        <v>972508141013</v>
      </c>
      <c r="B18" t="inlineStr">
        <is>
          <t>四川事业单位历年笔试真题（2015-2025年）公基+职测+综合知识
【内容】
的四川省事业单位笔试真题资料，包含《公共基础知识》《职业能力倾向测验》《综合知识》等。2024年11月及2025年4月已更新最新真题，紧跟考试趋势，为您的备考提供有力支持。
【特别说明】
文件格式：所有试卷为word及pdf无水印
发货方式：通过度盘+夸克即时发送下载链接
看清楚每个科目的试卷年份再拍，虚拟物品，不接受退款
</t>
        </is>
      </c>
      <c r="C18" s="2" t="str">
        <f>=HYPERLINK("http://img.alicdn.com/bao/uploaded/i2/O1CN01DlEZzC1eps3qp9Rbr_!!4611686018427383265-0-fleamarket.jpg_790x10000Q90.jpg_.webp", "img.alicdn.com/bao/uploaded/i2/O1CN01DlEZzC1eps3qp9Rbr_!!4611686018427383265-0-fleamarket.jpg_790x10000Q90.jpg_.webp")</f>
        <v>img.alicdn.com/bao/uploaded/i2/O1CN01DlEZzC1eps3qp9Rbr_!!4611686018427383265-0-fleamarket.jpg_790x10000Q90.jpg_.webp</v>
      </c>
      <c r="D18" s="2" t="str">
        <f>=HYPERLINK("https://www.goofish.com/item?spm=a21ybx.search.searchFeedList.13.428b3984Nd7G6J&amp;id=972508141013&amp;categoryId=202036301", "https://www.goofish.com/item?spm=a21ybx.search.searchFeedList.13.428b3984Nd7G6J&amp;id=972508141013&amp;categoryId=202036301")</f>
        <v>https://www.goofish.com/item?spm=a21ybx.search.searchFeedList.13.428b3984Nd7G6J&amp;id=972508141013&amp;categoryId=202036301</v>
      </c>
    </row>
    <row r="19" ht="25.5" customHeight="1">
      <c r="A19">
        <v>937317482973</v>
      </c>
      <c r="B19" t="inlineStr">
        <is>
          <t>【秒发】2025江苏事业单位计算机专技岗
计算机类岗位考公考编 公共基础知识
公基系统班 事业编真题 专业知识
【内容如下】
（2012-2023）真题及真题解析视频
主流讲师（北欧、小林、土豆）视频课
计算机专技岗考点基础讲义（计算机硬件、计算机操作系统原理和计算机软件、多媒体信息技术、计算机网络、关系数据库、程序设计和算法、软件工程…）
模拟题、习题库
标价即卖价，直接拍即可
611
</t>
        </is>
      </c>
      <c r="C19" s="2" t="str">
        <f>=HYPERLINK("http://img.alicdn.com/bao/uploaded/i4/O1CN018GbTNY2GUlB9jx31m_!!4611686018427381867-0-fleamarket.jpg_790x10000Q90.jpg_.webp", "img.alicdn.com/bao/uploaded/i4/O1CN018GbTNY2GUlB9jx31m_!!4611686018427381867-0-fleamarket.jpg_790x10000Q90.jpg_.webp")</f>
        <v>img.alicdn.com/bao/uploaded/i4/O1CN018GbTNY2GUlB9jx31m_!!4611686018427381867-0-fleamarket.jpg_790x10000Q90.jpg_.webp</v>
      </c>
      <c r="D19" s="2" t="str">
        <f>=HYPERLINK("https://www.goofish.com/item?spm=a21ybx.search.searchFeedList.4.428b3984Nd7G6J&amp;id=937317482973&amp;categoryId=202036301", "https://www.goofish.com/item?spm=a21ybx.search.searchFeedList.4.428b3984Nd7G6J&amp;id=937317482973&amp;categoryId=202036301")</f>
        <v>https://www.goofish.com/item?spm=a21ybx.search.searchFeedList.4.428b3984Nd7G6J&amp;id=937317482973&amp;categoryId=202036301</v>
      </c>
    </row>
    <row r="20" ht="25.5" customHeight="1">
      <c r="A20">
        <v>1001841478291</v>
      </c>
      <c r="B20" t="inlineStr">
        <is>
          <t>2026山东专升本内部资料，包含海纳、智博、师大、库课等机构资料，内容超全！
真题、章节测试、习题答案、考点分析都有，配套网课资源。适合备考专升本的同学，早拍早用！
下单自动发货，需要的直接拍，细节随时问我。政治高数都有，配套网课都有哦～
</t>
        </is>
      </c>
      <c r="C20" s="2" t="str">
        <f>=HYPERLINK("http://img.alicdn.com/bao/uploaded/i2/2219253262750/O1CN0161XiYA1WBYINh4jar_!!4611686018427382174-0-xy_item.jpg_790x10000Q90.jpg_.webp", "img.alicdn.com/bao/uploaded/i2/2219253262750/O1CN0161XiYA1WBYINh4jar_!!4611686018427382174-0-xy_item.jpg_790x10000Q90.jpg_.webp")</f>
        <v>img.alicdn.com/bao/uploaded/i2/2219253262750/O1CN0161XiYA1WBYINh4jar_!!4611686018427382174-0-xy_item.jpg_790x10000Q90.jpg_.webp</v>
      </c>
      <c r="D20" s="2" t="str">
        <f>=HYPERLINK("https://www.goofish.com/item?spm=a21ybx.search.searchFeedList.16.428b3984Nd7G6J&amp;id=1001841478291&amp;categoryId=202036301", "https://www.goofish.com/item?spm=a21ybx.search.searchFeedList.16.428b3984Nd7G6J&amp;id=1001841478291&amp;categoryId=202036301")</f>
        <v>https://www.goofish.com/item?spm=a21ybx.search.searchFeedList.16.428b3984Nd7G6J&amp;id=1001841478291&amp;categoryId=202036301</v>
      </c>
    </row>
    <row r="21" ht="25.5" customHeight="1">
      <c r="A21">
        <v>1019556773781</v>
      </c>
      <c r="B21" t="inlineStr">
        <is>
          <t>广东专插本政治历年真题2012年-2025年
广东专插本政治历年真题带答案，真题年份为2012年-2025年，非常适合想刷套卷的同学使用！
非纸质，电zi版，bd网盘发，标价就是整理费，直拍直发，一旦售出不退不换，感谢理解
✅欢迎需要的朋友自助拍下哦！</t>
        </is>
      </c>
      <c r="C21" s="2" t="str">
        <f>=HYPERLINK("http://img.alicdn.com/bao/uploaded/i3/O1CN01NlhsZ2238h9TNDGM5_!!4611686018427387179-0-fleamarket.jpg_790x10000Q90.jpg_.webp", "img.alicdn.com/bao/uploaded/i3/O1CN01NlhsZ2238h9TNDGM5_!!4611686018427387179-0-fleamarket.jpg_790x10000Q90.jpg_.webp")</f>
        <v>img.alicdn.com/bao/uploaded/i3/O1CN01NlhsZ2238h9TNDGM5_!!4611686018427387179-0-fleamarket.jpg_790x10000Q90.jpg_.webp</v>
      </c>
      <c r="D21" s="2" t="str">
        <f>=HYPERLINK("https://www.goofish.com/item?spm=a21ybx.search.searchFeedList.17.428b3984Nd7G6J&amp;id=1019556773781&amp;categoryId=202036301", "https://www.goofish.com/item?spm=a21ybx.search.searchFeedList.17.428b3984Nd7G6J&amp;id=1019556773781&amp;categoryId=202036301")</f>
        <v>https://www.goofish.com/item?spm=a21ybx.search.searchFeedList.17.428b3984Nd7G6J&amp;id=1019556773781&amp;categoryId=202036301</v>
      </c>
    </row>
    <row r="22" ht="25.5" customHeight="1">
      <c r="A22">
        <v>978742731198</v>
      </c>
      <c r="B22" t="inlineStr">
        <is>
          <t>中公2026年江苏省事业单位考试用书教材真题试卷综合知识能力素质
中公教育2026年江苏省事业单位公开招聘工作人员考试用书综合知识和能力素质教材历年真题试卷江苏省属事业编考试资料全真模拟预测试卷题库综合应用能力职测南京苏州无锡镇江常州南通盐城泰州连云港扬州淮安宿迁市
购前须知：
✅正版保障：本店所有书籍均为正版！全新正版！官方直发！
✅发货时间：下午4:00以前下单基本都能当天发走。物流查询不到可私聊客服查询
✅能拍的都有货，直接下单即可，一般地区都包邮。
祝各位宝子一次性通过，成功上岸！
【书名】中公2026江苏省事业单位公开招聘考试用书综合知识和能力素质
【出版社】人民日报出版社
【作者】中公教育
【ISBN编码】9787511575821</t>
        </is>
      </c>
      <c r="C22" s="2" t="str">
        <f>=HYPERLINK("http://img.alicdn.com/bao/uploaded/i4/O1CN01uwcToe1ZOmYtcTsKn_!!4611686018427383121-0-fleamarket.jpg_790x10000Q90.jpg_.webp", "img.alicdn.com/bao/uploaded/i4/O1CN01uwcToe1ZOmYtcTsKn_!!4611686018427383121-0-fleamarket.jpg_790x10000Q90.jpg_.webp")</f>
        <v>img.alicdn.com/bao/uploaded/i4/O1CN01uwcToe1ZOmYtcTsKn_!!4611686018427383121-0-fleamarket.jpg_790x10000Q90.jpg_.webp</v>
      </c>
      <c r="D22" s="2" t="str">
        <f>=HYPERLINK("https://www.goofish.com/item?spm=a21ybx.search.searchFeedList.12.428b3984Nd7G6J&amp;id=978742731198&amp;categoryId=127812005", "https://www.goofish.com/item?spm=a21ybx.search.searchFeedList.12.428b3984Nd7G6J&amp;id=978742731198&amp;categoryId=127812005")</f>
        <v>https://www.goofish.com/item?spm=a21ybx.search.searchFeedList.12.428b3984Nd7G6J&amp;id=978742731198&amp;categoryId=127812005</v>
      </c>
    </row>
    <row r="23" ht="25.5" customHeight="1">
      <c r="A23">
        <v>1008728680365</v>
      </c>
      <c r="B23" t="inlineStr">
        <is>
          <t>2026中考数学压轴题每日一题120题Word电子版 赠2025中考压轴题含解析可打印
2026中考数学压轴题每日一题（120题）
包含二次函数代几/代数综合、相似综合、三角形/四边形综合、跨学科融合、圆综合等8类题型
每道题选自2025年全国各城市最新中考真题，附详细答案和思路分析
赠送资料：2025中考数学压轴题100题+补充30题
同样包含题目文档、PDF版及参考答案，可搭配主资料同步练习
资料形式：Word+PDF电子版，可编辑、可打印
售后说明
1. 电子资料通过百度网盘发送，秒拍秒发，24小时自动发货；
2. 电子资料具有可复制性，一经售出不支持无理由退款，下单前先确认需求，避免不必要纠纷；
3. 所分享资源均来源于互联网，版权归原作者所有，若存在侵权问题，麻烦联系我处理。
</t>
        </is>
      </c>
      <c r="C23" s="2" t="str">
        <f>=HYPERLINK("http://img.alicdn.com/bao/uploaded/i3/4023214328/O1CN017upPnK1hqHHpivapB_!!4611686018427379960-0-xy_item.jpg_790x10000Q90.jpg_.webp", "img.alicdn.com/bao/uploaded/i3/4023214328/O1CN017upPnK1hqHHpivapB_!!4611686018427379960-0-xy_item.jpg_790x10000Q90.jpg_.webp")</f>
        <v>img.alicdn.com/bao/uploaded/i3/4023214328/O1CN017upPnK1hqHHpivapB_!!4611686018427379960-0-xy_item.jpg_790x10000Q90.jpg_.webp</v>
      </c>
      <c r="D23" s="2" t="str">
        <f>=HYPERLINK("https://www.goofish.com/item?spm=a21ybx.search.searchFeedList.28.428b3984Nd7G6J&amp;id=1008728680365&amp;categoryId=202036301", "https://www.goofish.com/item?spm=a21ybx.search.searchFeedList.28.428b3984Nd7G6J&amp;id=1008728680365&amp;categoryId=202036301")</f>
        <v>https://www.goofish.com/item?spm=a21ybx.search.searchFeedList.28.428b3984Nd7G6J&amp;id=1008728680365&amp;categoryId=202036301</v>
      </c>
    </row>
    <row r="24" ht="25.5" customHeight="1">
      <c r="A24">
        <v>919974503952</v>
      </c>
      <c r="B24" t="inlineStr">
        <is>
          <t>备考2026年演出经纪人资格证考试资料三色笔记+历年真题+时政热点文档题库（电子版可打印）
- 标价即全款，拍下秒发【演出经纪人全科资料】
- 2026全新资料，时政热点持续更新，备考考生抓紧入手。
资料内容：
1. 2026年《思想政治与法律基础》三色笔记
2. 2026年《政策和经纪实务》三色笔记
3. 时政热点汇总
4. 历年真题
5. 章节练习
6. 冲刺模拟
7. 文学艺术知识速记
8. 部分重要讲话文件
备考建议：
两科三色笔记是重点，务必认真研读，牢记知识点。
- 电子资料，以百度网盘链接形式发货。
- 可直接下单，24小时自动发货。
- 因资料具有可复制性，不支持退款，敬请理解。
＃演出经纪人资格证 ＃2026考试资料 ＃三色笔记 ＃历年真题 ＃电子资料
</t>
        </is>
      </c>
      <c r="C24" s="2" t="str">
        <f>=HYPERLINK("http://img.alicdn.com/bao/uploaded/i4/2210440210974/O1CN01Ilu7901J48tVAryUe_!!4611686018427382302-0-xy_item.jpg_790x10000Q90.jpg_.webp", "img.alicdn.com/bao/uploaded/i4/2210440210974/O1CN01Ilu7901J48tVAryUe_!!4611686018427382302-0-xy_item.jpg_790x10000Q90.jpg_.webp")</f>
        <v>img.alicdn.com/bao/uploaded/i4/2210440210974/O1CN01Ilu7901J48tVAryUe_!!4611686018427382302-0-xy_item.jpg_790x10000Q90.jpg_.webp</v>
      </c>
      <c r="D24" s="2" t="str">
        <f>=HYPERLINK("https://www.goofish.com/item?spm=a21ybx.search.searchFeedList.15.428b3984Nd7G6J&amp;id=919974503952&amp;categoryId=202036301", "https://www.goofish.com/item?spm=a21ybx.search.searchFeedList.15.428b3984Nd7G6J&amp;id=919974503952&amp;categoryId=202036301")</f>
        <v>https://www.goofish.com/item?spm=a21ybx.search.searchFeedList.15.428b3984Nd7G6J&amp;id=919974503952&amp;categoryId=202036301</v>
      </c>
    </row>
    <row r="25" ht="25.5" customHeight="1">
      <c r="A25">
        <v>1018126442002</v>
      </c>
      <c r="B25" t="inlineStr">
        <is>
          <t>2026山香大红本通用版上线啦！！
山香大红本教师招聘考试——教育理论基础通用版教材
2026山香3600题+6600题，含答案，教师招聘考试专用❗️
注意:山香大红本只有教材，没有课程，介意勿拍！！！百度网盘发～
</t>
        </is>
      </c>
      <c r="C25" s="2" t="str">
        <f>=HYPERLINK("http://img.alicdn.com/bao/uploaded/i1/2221511625999/O1CN01TQD3aT1uBb7U7cMih_!!4611686018427383055-53-xy_item.heic_790x10000Q90.jpg_.webp", "img.alicdn.com/bao/uploaded/i1/2221511625999/O1CN01TQD3aT1uBb7U7cMih_!!4611686018427383055-53-xy_item.heic_790x10000Q90.jpg_.webp")</f>
        <v>img.alicdn.com/bao/uploaded/i1/2221511625999/O1CN01TQD3aT1uBb7U7cMih_!!4611686018427383055-53-xy_item.heic_790x10000Q90.jpg_.webp</v>
      </c>
      <c r="D25" s="2" t="str">
        <f>=HYPERLINK("https://www.goofish.com/item?spm=a21ybx.search.searchFeedList.29.428b3984Nd7G6J&amp;id=1018126442002&amp;categoryId=202036301", "https://www.goofish.com/item?spm=a21ybx.search.searchFeedList.29.428b3984Nd7G6J&amp;id=1018126442002&amp;categoryId=202036301")</f>
        <v>https://www.goofish.com/item?spm=a21ybx.search.searchFeedList.29.428b3984Nd7G6J&amp;id=1018126442002&amp;categoryId=202036301</v>
      </c>
    </row>
    <row r="26" ht="25.5" customHeight="1">
      <c r="A26">
        <v>993801543773</v>
      </c>
      <c r="B26" t="inlineStr">
        <is>
          <t>2026招商银行笔试备考资料，2007-2025年真题+刷题题库+应试技巧，内容全，行测、综合、英语、信息技术等考点都有，适合备考招行春招秋招。
资料包括：2007-2025年真题+25年招聘考试真题+25年全国真题汇编+专项刷题题库+应试技巧总结，覆盖行测、综合、英语、信息技术等考点。
电紫版，百度网盘自动发货，拍下秒发链接，手机电脑都能用，直接复制粘贴学习。
虚拟商品，售出不退不换。有问题随时私聊，喜欢直接拍。
</t>
        </is>
      </c>
      <c r="C26" s="2" t="str">
        <f>=HYPERLINK("http://img.alicdn.com/bao/uploaded/i1/O1CN01l49Q241YScH2cQi3f_!!4611686018427384290-0-fleamarket.jpg_790x10000Q90.jpg_.webp", "img.alicdn.com/bao/uploaded/i1/O1CN01l49Q241YScH2cQi3f_!!4611686018427384290-0-fleamarket.jpg_790x10000Q90.jpg_.webp")</f>
        <v>img.alicdn.com/bao/uploaded/i1/O1CN01l49Q241YScH2cQi3f_!!4611686018427384290-0-fleamarket.jpg_790x10000Q90.jpg_.webp</v>
      </c>
      <c r="D26" s="2" t="str">
        <f>=HYPERLINK("https://www.goofish.com/item?spm=a21ybx.search.searchFeedList.8.428b3984Nd7G6J&amp;id=993801543773&amp;categoryId=202036301", "https://www.goofish.com/item?spm=a21ybx.search.searchFeedList.8.428b3984Nd7G6J&amp;id=993801543773&amp;categoryId=202036301")</f>
        <v>https://www.goofish.com/item?spm=a21ybx.search.searchFeedList.8.428b3984Nd7G6J&amp;id=993801543773&amp;categoryId=202036301</v>
      </c>
    </row>
    <row r="27" ht="25.5" customHeight="1">
      <c r="A27">
        <v>1007122994558</v>
      </c>
      <c r="B27" t="inlineStr">
        <is>
          <t>2026辅导员和高职专科教师考试备考资料
高校辅导员备考资料辅导员招聘考试高校行政岗管理岗全套资料
内容包含：必修考点+核心题库+全国真题+时政热点+面试专题等
溪溪状元笔记 笔面网课+真题
三月飞鸟背诵计划笔面大全套
(政策文件原文+背诵计划+各高校真题等等)
全国高校笔面真题 (分各省版)
辅导员重点以及题库
笔试刷题班讲义视频
✅ 网盘发货 直接拍即可 拍下自动发货
↓右下角【2人小刀】购买后自动免拼↓
​↓右下角【2人小刀】购买后自动免拼↓
</t>
        </is>
      </c>
      <c r="C27" s="2" t="str">
        <f>=HYPERLINK("http://img.alicdn.com/bao/uploaded/i1/2216005943308/O1CN01yHSBCr1aJ7Ieqz3q0_!!4611686018427379724-53-xy_item.heic_790x10000Q90.jpg_.webp", "img.alicdn.com/bao/uploaded/i1/2216005943308/O1CN01yHSBCr1aJ7Ieqz3q0_!!4611686018427379724-53-xy_item.heic_790x10000Q90.jpg_.webp")</f>
        <v>img.alicdn.com/bao/uploaded/i1/2216005943308/O1CN01yHSBCr1aJ7Ieqz3q0_!!4611686018427379724-53-xy_item.heic_790x10000Q90.jpg_.webp</v>
      </c>
      <c r="D27" s="2" t="str">
        <f>=HYPERLINK("https://www.goofish.com/item?spm=a21ybx.search.searchFeedList.14.428b3984Nd7G6J&amp;id=1007122994558&amp;categoryId=202036301", "https://www.goofish.com/item?spm=a21ybx.search.searchFeedList.14.428b3984Nd7G6J&amp;id=1007122994558&amp;categoryId=202036301")</f>
        <v>https://www.goofish.com/item?spm=a21ybx.search.searchFeedList.14.428b3984Nd7G6J&amp;id=1007122994558&amp;categoryId=202036301</v>
      </c>
    </row>
    <row r="28" ht="25.5" customHeight="1">
      <c r="A28">
        <v>1017611613310</v>
      </c>
      <c r="B28" t="inlineStr">
        <is>
          <t>2026年软件设计师全套资料+希赛软考中级软件设计师
+++++++包含2026.06希赛VIP课程+课程讲义+章节刷题题库+真题及答案解析+第五版教材+大纲+刷题小程序。++
+++（我知道肯定有比我更便宜的两三块的，我只想说什么样的价位什么样的质量和售后保证）
适合准备软考的同学，内容涵盖历年真题、教材重点、VIP课程等。官方教材和课前预习资料也在其中，确保你全方位备考。
【标价即卖价】
</t>
        </is>
      </c>
      <c r="C28" s="2" t="str">
        <f>=HYPERLINK("http://img.alicdn.com/bao/uploaded/i4/2221515426253/O1CN01intywM1w3vifrkoGb_!!4611686018427382221-53-xy_item.heic_790x10000Q90.jpg_.webp", "img.alicdn.com/bao/uploaded/i4/2221515426253/O1CN01intywM1w3vifrkoGb_!!4611686018427382221-53-xy_item.heic_790x10000Q90.jpg_.webp")</f>
        <v>img.alicdn.com/bao/uploaded/i4/2221515426253/O1CN01intywM1w3vifrkoGb_!!4611686018427382221-53-xy_item.heic_790x10000Q90.jpg_.webp</v>
      </c>
      <c r="D28" s="2" t="str">
        <f>=HYPERLINK("https://www.goofish.com/item?spm=a21ybx.search.searchFeedList.11.428b3984Nd7G6J&amp;id=1017611613310&amp;categoryId=202036301", "https://www.goofish.com/item?spm=a21ybx.search.searchFeedList.11.428b3984Nd7G6J&amp;id=1017611613310&amp;categoryId=202036301")</f>
        <v>https://www.goofish.com/item?spm=a21ybx.search.searchFeedList.11.428b3984Nd7G6J&amp;id=1017611613310&amp;categoryId=202036301</v>
      </c>
    </row>
    <row r="29" ht="25.5" customHeight="1">
      <c r="A29">
        <v>1015291378550</v>
      </c>
      <c r="B29" t="inlineStr">
        <is>
          <t>2026年高级会计师实务网课，资料持续更新到考试结束，备考用很安心。
包含基础精讲、论文指导、工作业绩、评审详解、案例分析、真题、模拟、冲刺、点睛课等，资料很全，送25年全套资料。
还有正版题库，考点覆盖广，手机电脑平板都能用，遇到原题原知识点的概率高。
标价就是售价，拍下秒发，不退不换。
需要的直接拍，细节可以私聊。
</t>
        </is>
      </c>
      <c r="C29" s="2" t="str">
        <f>=HYPERLINK("http://img.alicdn.com/bao/uploaded/i4/395817268/O1CN01OgHlU023Ynixrm5lj_!!4611686018427384116-0-xy_item.jpg_790x10000Q90.jpg_.webp", "img.alicdn.com/bao/uploaded/i4/395817268/O1CN01OgHlU023Ynixrm5lj_!!4611686018427384116-0-xy_item.jpg_790x10000Q90.jpg_.webp")</f>
        <v>img.alicdn.com/bao/uploaded/i4/395817268/O1CN01OgHlU023Ynixrm5lj_!!4611686018427384116-0-xy_item.jpg_790x10000Q90.jpg_.webp</v>
      </c>
      <c r="D29" s="2" t="str">
        <f>=HYPERLINK("https://www.goofish.com/item?spm=a21ybx.search.searchFeedList.21.428b3984Nd7G6J&amp;id=1015291378550&amp;categoryId=201452411", "https://www.goofish.com/item?spm=a21ybx.search.searchFeedList.21.428b3984Nd7G6J&amp;id=1015291378550&amp;categoryId=201452411")</f>
        <v>https://www.goofish.com/item?spm=a21ybx.search.searchFeedList.21.428b3984Nd7G6J&amp;id=1015291378550&amp;categoryId=201452411</v>
      </c>
    </row>
    <row r="30" ht="25.5" customHeight="1">
      <c r="A30">
        <v>1017933797996</v>
      </c>
      <c r="B30" t="inlineStr">
        <is>
          <t>【自动秒发】2025全国大学生统计建模大赛参考资料】2017-2024往届真题+获奖论文【18缺失，介意勿拍】
【内容】包含历年优秀论文、代码、附件。
25资料包有偿分享。
【适用对象】大学生统计建模大赛参赛选手。
【发货】24小时自动秒发货，便捷高效。
【声明】素材来自网络公开渠道，仅供学习交流，不用于商业，侵权即删。
- 虚拟资料，售出不退不换
需要的朋友可以直接拍下，自动发货，省心无忧！
</t>
        </is>
      </c>
      <c r="C30" s="2" t="str">
        <f>=HYPERLINK("http://img.alicdn.com/bao/uploaded/i1/O1CN01O3V2CK1cIJqcg6eLt_!!4611686018427381081-0-fleamarket.jpg_790x10000Q90.jpg_.webp", "img.alicdn.com/bao/uploaded/i1/O1CN01O3V2CK1cIJqcg6eLt_!!4611686018427381081-0-fleamarket.jpg_790x10000Q90.jpg_.webp")</f>
        <v>img.alicdn.com/bao/uploaded/i1/O1CN01O3V2CK1cIJqcg6eLt_!!4611686018427381081-0-fleamarket.jpg_790x10000Q90.jpg_.webp</v>
      </c>
      <c r="D30" s="2" t="str">
        <f>=HYPERLINK("https://www.goofish.com/item?spm=a21ybx.search.searchFeedList.28.428b3984Nd7G6J&amp;id=1017933797996&amp;categoryId=202036301", "https://www.goofish.com/item?spm=a21ybx.search.searchFeedList.28.428b3984Nd7G6J&amp;id=1017933797996&amp;categoryId=202036301")</f>
        <v>https://www.goofish.com/item?spm=a21ybx.search.searchFeedList.28.428b3984Nd7G6J&amp;id=1017933797996&amp;categoryId=202036301</v>
      </c>
    </row>
    <row r="31" ht="25.5" customHeight="1">
      <c r="A31">
        <v>1028795115784</v>
      </c>
      <c r="B31" t="inlineStr">
        <is>
          <t>202666最新PTE全网最全课程合集机经真题题库已更新至26年2月最新版哦！
包含题型介绍、模考、课程讲解、技巧方法、模版、词汇等所有备考内容
多机构+猩际+多墨+萤火虫+羊驼等多家机构课程打包
全网多机构网课，基本都买了，买这一份就不用再找别家啦
适合英国澳洲whv留学移民申请，内容超全，包含8.7改革后所有课程
虚拟商品，售出不退不换，介意勿拍
标价即售价，看到就会发货，自动秒发，不用等待哦～
需要的可以直接拍下！
可发双盘！
</t>
        </is>
      </c>
      <c r="C31" s="2" t="str">
        <f>=HYPERLINK("http://img.alicdn.com/bao/uploaded/i4/O1CN01jFPs7o1SXIeRNIyWd_!!4611686018427387312-0-fleamarket.jpg_790x10000Q90.jpg_.webp", "img.alicdn.com/bao/uploaded/i4/O1CN01jFPs7o1SXIeRNIyWd_!!4611686018427387312-0-fleamarket.jpg_790x10000Q90.jpg_.webp")</f>
        <v>img.alicdn.com/bao/uploaded/i4/O1CN01jFPs7o1SXIeRNIyWd_!!4611686018427387312-0-fleamarket.jpg_790x10000Q90.jpg_.webp</v>
      </c>
      <c r="D31" s="2" t="str">
        <f>=HYPERLINK("https://www.goofish.com/item?spm=a21ybx.search.searchFeedList.13.428b3984Nd7G6J&amp;id=1028795115784&amp;categoryId=202036301", "https://www.goofish.com/item?spm=a21ybx.search.searchFeedList.13.428b3984Nd7G6J&amp;id=1028795115784&amp;categoryId=202036301")</f>
        <v>https://www.goofish.com/item?spm=a21ybx.search.searchFeedList.13.428b3984Nd7G6J&amp;id=1028795115784&amp;categoryId=202036301</v>
      </c>
    </row>
    <row r="32" ht="25.5" customHeight="1">
      <c r="A32">
        <v>950904169934</v>
      </c>
      <c r="B32" t="inlineStr">
        <is>
          <t>1990-2025.12月大学英语六级真题+解析+复习资料【备考2026】
已更新2025年12月真题+解析
【内容】
秒发1990-2025年12月六级历年真题+解析〔1990-2025.12〕
包含90-2025年历届真题及解析、词汇汇总
模拟题、听力音频及原文
翻译译文、写作范文、阅读全文翻译等
资料齐全且持续更新，可放心购买。
【特别说明】
文件格式：所有试卷为word及pdf无水印
发货方式：通过度盘即时发送下载链接
</t>
        </is>
      </c>
      <c r="C32" s="2" t="str">
        <f>=HYPERLINK("http://img.alicdn.com/bao/uploaded/i2/O1CN01jUZ65c1eps5vzfKpt_!!4611686018427383265-2-fleamarket.png_790x10000.jpg_.webp", "img.alicdn.com/bao/uploaded/i2/O1CN01jUZ65c1eps5vzfKpt_!!4611686018427383265-2-fleamarket.png_790x10000.jpg_.webp")</f>
        <v>img.alicdn.com/bao/uploaded/i2/O1CN01jUZ65c1eps5vzfKpt_!!4611686018427383265-2-fleamarket.png_790x10000.jpg_.webp</v>
      </c>
      <c r="D32" s="2" t="str">
        <f>=HYPERLINK("https://www.goofish.com/item?spm=a21ybx.search.searchFeedList.2.428b3984Nd7G6J&amp;id=950904169934&amp;categoryId=202036301", "https://www.goofish.com/item?spm=a21ybx.search.searchFeedList.2.428b3984Nd7G6J&amp;id=950904169934&amp;categoryId=202036301")</f>
        <v>https://www.goofish.com/item?spm=a21ybx.search.searchFeedList.2.428b3984Nd7G6J&amp;id=950904169934&amp;categoryId=202036301</v>
      </c>
    </row>
    <row r="33" ht="25.5" customHeight="1">
      <c r="A33">
        <v>994005521909</v>
      </c>
      <c r="B33" t="inlineStr">
        <is>
          <t>26新版军队文职考试历年真题和解析公共科目专业科目全覆盖（2013-2025）PDF电子版
含答案，内容齐全，资料整理清晰，适合备考军队文职的同学！
资料内容包括：
✅2013-2025年军队文职历年真题+答案解析
✅公共科目+专业科目全覆盖
✅送：思维导图+学霸笔记+历年岗位表+必备知识点+面试+刷题题库
专业科目有： 法学、管理学、汉语言文学、护理学、会计学、教育学、临床医学、数学一、数学二+物理、数学三+化学、体育学、英语、政治学、图书、文学艺术、中医学、中药学、哲学、英语言文学、音乐、艺术设计、医学影像技术、医学类基础综合、医学药检技术、药学、新闻专业、舞蹈、图书、司机、农学、审计学、美术、历史学、档案、出版等等.......
【关于发货】
拍下秒发！系统自动发货！可直接拍！
百度网盘+夸克网盘同时发货，其他渠道也可沟通！
能拍就是有货！标价就是售价！
手机、平板、电脑多端可以使用哦！
</t>
        </is>
      </c>
      <c r="C33" s="2" t="str">
        <f>=HYPERLINK("http://img.alicdn.com/bao/uploaded/i3/3408357231/O1CN01Jk5iOr23Hr3X1UMfu_!!4611686018427381615-0-xy_item.jpg_790x10000Q90.jpg_.webp", "img.alicdn.com/bao/uploaded/i3/3408357231/O1CN01Jk5iOr23Hr3X1UMfu_!!4611686018427381615-0-xy_item.jpg_790x10000Q90.jpg_.webp")</f>
        <v>img.alicdn.com/bao/uploaded/i3/3408357231/O1CN01Jk5iOr23Hr3X1UMfu_!!4611686018427381615-0-xy_item.jpg_790x10000Q90.jpg_.webp</v>
      </c>
      <c r="D33" s="2" t="str">
        <f>=HYPERLINK("https://www.goofish.com/item?spm=a21ybx.search.searchFeedList.17.428b3984Nd7G6J&amp;id=994005521909&amp;categoryId=202036301", "https://www.goofish.com/item?spm=a21ybx.search.searchFeedList.17.428b3984Nd7G6J&amp;id=994005521909&amp;categoryId=202036301")</f>
        <v>https://www.goofish.com/item?spm=a21ybx.search.searchFeedList.17.428b3984Nd7G6J&amp;id=994005521909&amp;categoryId=202036301</v>
      </c>
    </row>
    <row r="34" ht="25.5" customHeight="1">
      <c r="A34">
        <v>935074835043</v>
      </c>
      <c r="B34" t="inlineStr">
        <is>
          <t>2025初中化学中考总复习资料包 ppt课件+真题汇编+专项训练＋知识梳理【通用】
全面覆盖考点，助力冲刺高分！
资料核心内容（按复习需求整理）
一轮复习板块
✅ 知识清单：2025年中考化学一轮复习知识清单
✅ 专题练习：2025年中考化学一轮复习：专题练（含解析） + 2025年中考化学一轮考点研究练习（含解析）
✅ 实验复习：2025中考一轮化学实验基本技能复习
✅ 讲练测：【课件+讲义+练习】2025年中考化学一轮复习讲练测（全国通用）
二轮复习板块
✅ 专题突破：2025年中考化学二轮专题复习课件
真题&amp;拓展重点
✅ 真题汇编：【备战2025】三年（2022-2024）中考化学真题分类汇编（全国通用）
✅ 考点速过：2025年中考化学复习考点一遍过（全国通用）
下单即送2024年一模二模三模及预测卷
购买须知
✔️ 标价即全款，拍下直接发百度网盘链接
✔️ 24小时自动发货，无需等待
✔️ 虚拟资料可复制，售出不退，下单前确认需求
#初中化学中考复习 #中考化学资料 #中考复习课件 #中考真题汇编 #化学专项训练
</t>
        </is>
      </c>
      <c r="C34" s="2" t="str">
        <f>=HYPERLINK("http://img.alicdn.com/bao/uploaded/i1/O1CN01WMyJ4r1J48pXP7Jtx_!!4611686018427382302-53-fleamarket.heic_790x10000Q90.jpg_.webp", "img.alicdn.com/bao/uploaded/i1/O1CN01WMyJ4r1J48pXP7Jtx_!!4611686018427382302-53-fleamarket.heic_790x10000Q90.jpg_.webp")</f>
        <v>img.alicdn.com/bao/uploaded/i1/O1CN01WMyJ4r1J48pXP7Jtx_!!4611686018427382302-53-fleamarket.heic_790x10000Q90.jpg_.webp</v>
      </c>
      <c r="D34" s="2" t="str">
        <f>=HYPERLINK("https://www.goofish.com/item?spm=a21ybx.search.searchFeedList.3.428b3984Nd7G6J&amp;id=935074835043&amp;categoryId=202036301", "https://www.goofish.com/item?spm=a21ybx.search.searchFeedList.3.428b3984Nd7G6J&amp;id=935074835043&amp;categoryId=202036301")</f>
        <v>https://www.goofish.com/item?spm=a21ybx.search.searchFeedList.3.428b3984Nd7G6J&amp;id=935074835043&amp;categoryId=202036301</v>
      </c>
    </row>
    <row r="35" ht="25.5" customHeight="1">
      <c r="A35">
        <v>984104068922</v>
      </c>
      <c r="B35" t="inlineStr">
        <is>
          <t>【秒发】2026德勤笔试题库 校招暑期寒假实习真题测评题库 测评内容如下：
2026德勤笔试题库 校招暑期寒假实习真题测评题库 测评内容如下： [1]第一部分：性格问卷，每个人的题目都一样，无标准答案 [2]第二部分：综合能力测评General Ability ，共12种题型： 12种题型：折线制图、饼状图制图、柱状图制图、选择分配题、连线题、图形规律题、图形记忆题、文字逻辑题、日程表插空题、时间安排选择题、日历选择题、排序时间综合题 资料里有12种分题型的的视频讲解和解析料资料包含录屏真题，pdf套题，资料持续更新；以及整理的汇总可搜索pdf [3]第三部分:Assessment，类似性格测试，16分钟，每题3句陈述句，先后选出符合自己的两个，根据自己真实情况作答即可。没有标准答案。 德勤笔试不难的，多看看真题，问题不大，建议优先学习；新本综合能力测试PDF汇总，可搜索，测评都是随机组卷，不是考最新的题目，也不是考固定的某套题，尽可能的多看 求职测评笔试全面持续更新，求职季推荐购买全套，一步到位 喜欢直接拍就行
电子资料具有可复制性，一经售出不退不换，感谢理解
自动发货 bai度网盘
</t>
        </is>
      </c>
      <c r="C35" s="2" t="str">
        <f>=HYPERLINK("http://img.alicdn.com/bao/uploaded/i1/O1CN01HvMkuj1YlOVFoYskw_!!4611686018427387691-53-fleamarket.heic_790x10000Q90.jpg_.webp", "img.alicdn.com/bao/uploaded/i1/O1CN01HvMkuj1YlOVFoYskw_!!4611686018427387691-53-fleamarket.heic_790x10000Q90.jpg_.webp")</f>
        <v>img.alicdn.com/bao/uploaded/i1/O1CN01HvMkuj1YlOVFoYskw_!!4611686018427387691-53-fleamarket.heic_790x10000Q90.jpg_.webp</v>
      </c>
      <c r="D35" s="2" t="str">
        <f>=HYPERLINK("https://www.goofish.com/item?spm=a21ybx.search.searchFeedList.15.428b3984Nd7G6J&amp;id=984104068922&amp;categoryId=202036301", "https://www.goofish.com/item?spm=a21ybx.search.searchFeedList.15.428b3984Nd7G6J&amp;id=984104068922&amp;categoryId=202036301")</f>
        <v>https://www.goofish.com/item?spm=a21ybx.search.searchFeedList.15.428b3984Nd7G6J&amp;id=984104068922&amp;categoryId=202036301</v>
      </c>
    </row>
    <row r="36" ht="25.5" customHeight="1">
      <c r="A36">
        <v>1008076981754</v>
      </c>
      <c r="B36" t="inlineStr">
        <is>
          <t>出全网最新26年6月英语四六级课程资料
含四级+六级
包含视频课+课件，cet4，cet6!
【可以直接拍下，略贵但售后无忧！！，售后有保障，和卖你两块钱随时可能跑路的不能比，本店承诺包更新到考试结束！】
[1]赠送2025.12的课程资料
[2]赠送历年真题➕答案解析
2026年大学英语四六级备考网课
网课（四六级均已开课）包括：
1️⃣启航四六级全程班（田静等）
2⃣️星火四六级全程班（绍雯等）
3⃣️星火四六级精听班（绍雯等）
4⃣有道四六级全程班（建昆等）
5⃣笑过四六级全程班（田静等）等等
6⃣️新东方四六级全程班（陈志超等）
视频讲解、听力、写作、翻译全套
标价直接拍，拍下秒发，发全套
持续更新，自动更新，欢迎大家咨询~
直接拍直接拍！！！
[火][火][火]夸克网盘+百度网盘双盘分享[火][火][火]
[火][火][火]同样提供百度+夸克网盘群选项[火][火][火]
进群实时更新不迷路！！！
非纸质 标价即卖价 不用问在不在 需要直接拍 24小时自动发货
虚拟产品售出不退不换</t>
        </is>
      </c>
      <c r="C36" s="2" t="str">
        <f>=HYPERLINK("http://img.alicdn.com/bao/uploaded/i1/O1CN01PBEJYX1skkHCLEmmL_!!4611686018427381661-53-fleamarket.heic_790x10000Q90.jpg_.webp", "img.alicdn.com/bao/uploaded/i1/O1CN01PBEJYX1skkHCLEmmL_!!4611686018427381661-53-fleamarket.heic_790x10000Q90.jpg_.webp")</f>
        <v>img.alicdn.com/bao/uploaded/i1/O1CN01PBEJYX1skkHCLEmmL_!!4611686018427381661-53-fleamarket.heic_790x10000Q90.jpg_.webp</v>
      </c>
      <c r="D36" s="2" t="str">
        <f>=HYPERLINK("https://www.goofish.com/item?spm=a21ybx.search.searchFeedList.17.428b3984Nd7G6J&amp;id=1008076981754&amp;categoryId=127812005", "https://www.goofish.com/item?spm=a21ybx.search.searchFeedList.17.428b3984Nd7G6J&amp;id=1008076981754&amp;categoryId=127812005")</f>
        <v>https://www.goofish.com/item?spm=a21ybx.search.searchFeedList.17.428b3984Nd7G6J&amp;id=1008076981754&amp;categoryId=127812005</v>
      </c>
    </row>
    <row r="37" ht="25.5" customHeight="1">
      <c r="A37">
        <v>966865823329</v>
      </c>
      <c r="B37" t="inlineStr">
        <is>
          <t>【二手正版】高中语文必修上下选择性必修上中下
适用于高中学生学习，考公考研，教师资格证考试
8-9成新
人民教育出版社
最新正版，新高考新版
内容完整，不缺页
适用于高中必修和选择性必修课程
注意事项
1.支持七天无理由退货，快递可拆开验货，如有破损可以拒签，我方承担所有快递费用，签收之后退货非质量问题运费自行承担。
2.收到货后若有错印漏印，漏发等情况，及时联系我，免费补发
3.有任何问题请私聊联系，沟通才是解决问题的途径语文</t>
        </is>
      </c>
      <c r="C37" s="2" t="str">
        <f>=HYPERLINK("http://img.alicdn.com/bao/uploaded/i3/O1CN01ApD8ey1VeZkRz6TZJ_!!4611686018427383014-53-fleamarket.heic_790x10000Q90.jpg_.webp", "img.alicdn.com/bao/uploaded/i3/O1CN01ApD8ey1VeZkRz6TZJ_!!4611686018427383014-53-fleamarket.heic_790x10000Q90.jpg_.webp")</f>
        <v>img.alicdn.com/bao/uploaded/i3/O1CN01ApD8ey1VeZkRz6TZJ_!!4611686018427383014-53-fleamarket.heic_790x10000Q90.jpg_.webp</v>
      </c>
      <c r="D37" s="2" t="str">
        <f>=HYPERLINK("https://www.goofish.com/item?spm=a21ybx.search.searchFeedList.25.428b3984Nd7G6J&amp;id=966865823329&amp;categoryId=127812005", "https://www.goofish.com/item?spm=a21ybx.search.searchFeedList.25.428b3984Nd7G6J&amp;id=966865823329&amp;categoryId=127812005")</f>
        <v>https://www.goofish.com/item?spm=a21ybx.search.searchFeedList.25.428b3984Nd7G6J&amp;id=966865823329&amp;categoryId=127812005</v>
      </c>
    </row>
    <row r="38" ht="25.5" customHeight="1">
      <c r="A38">
        <v>1017414384780</v>
      </c>
      <c r="B38" t="inlineStr">
        <is>
          <t>CPA税法2026年+2025年~马兆瑞、刘颖、王颖、张泉春、奚卫华等老师的
2026年持续更新中~
2025年包括精讲班、习题强化班、串讲班、轻一、轻二、轻三、真题2019~2025年等，具体如图
此链接的所有资料下单后所见即所得~
拍下不退，夸克网盘、百度网盘发货~
人不是一直在线，可以放心直接拍，我看到会直接发链接，就可以开始学啦~
咨询请私聊，看到会回复！
</t>
        </is>
      </c>
      <c r="C38" s="2" t="str">
        <f>=HYPERLINK("http://img.alicdn.com/bao/uploaded/i3/2215464206432/O1CN010MAkqH1xNucBzKXmc_!!4611686018427379808-53-xy_item.heic_790x10000Q90.jpg_.webp", "img.alicdn.com/bao/uploaded/i3/2215464206432/O1CN010MAkqH1xNucBzKXmc_!!4611686018427379808-53-xy_item.heic_790x10000Q90.jpg_.webp")</f>
        <v>img.alicdn.com/bao/uploaded/i3/2215464206432/O1CN010MAkqH1xNucBzKXmc_!!4611686018427379808-53-xy_item.heic_790x10000Q90.jpg_.webp</v>
      </c>
      <c r="D38" s="2" t="str">
        <f>=HYPERLINK("https://www.goofish.com/item?spm=a21ybx.search.searchFeedList.22.428b3984Nd7G6J&amp;id=1017414384780&amp;categoryId=202036301", "https://www.goofish.com/item?spm=a21ybx.search.searchFeedList.22.428b3984Nd7G6J&amp;id=1017414384780&amp;categoryId=202036301")</f>
        <v>https://www.goofish.com/item?spm=a21ybx.search.searchFeedList.22.428b3984Nd7G6J&amp;id=1017414384780&amp;categoryId=202036301</v>
      </c>
    </row>
    <row r="39" ht="25.5" customHeight="1">
      <c r="A39">
        <v>1015177420972</v>
      </c>
      <c r="B39" t="inlineStr">
        <is>
          <t>26没咋了考研数学全程班资料
咋子哥讲义+视频课程全都有，内容超全！高数、线代、概率基础+强化课+讲义+视频+真题+模拟卷+强化测试卷+选填技巧课，适合26考研数学备考，刷题提分必备！
电子资料，网盘自动发货，秒拍秒发！资料免费分享，店主整理，不涉及版权，如有侵权请联系删除！
虚拟商品，售出不退不换，喜欢直接拍，自动发货！2026考研 数学资料
</t>
        </is>
      </c>
      <c r="C39" s="2" t="str">
        <f>=HYPERLINK("http://img.alicdn.com/bao/uploaded/i4/2221166890967/O1CN01ey6Qr11J0w78DipsL_!!4611686018427383767-53-xy_item.heic_790x10000Q90.jpg_.webp", "img.alicdn.com/bao/uploaded/i4/2221166890967/O1CN01ey6Qr11J0w78DipsL_!!4611686018427383767-53-xy_item.heic_790x10000Q90.jpg_.webp")</f>
        <v>img.alicdn.com/bao/uploaded/i4/2221166890967/O1CN01ey6Qr11J0w78DipsL_!!4611686018427383767-53-xy_item.heic_790x10000Q90.jpg_.webp</v>
      </c>
      <c r="D39" s="2" t="str">
        <f>=HYPERLINK("https://www.goofish.com/item?spm=a21ybx.search.searchFeedList.5.428b3984Nd7G6J&amp;id=1015177420972&amp;categoryId=202036301", "https://www.goofish.com/item?spm=a21ybx.search.searchFeedList.5.428b3984Nd7G6J&amp;id=1015177420972&amp;categoryId=202036301")</f>
        <v>https://www.goofish.com/item?spm=a21ybx.search.searchFeedList.5.428b3984Nd7G6J&amp;id=1015177420972&amp;categoryId=202036301</v>
      </c>
    </row>
    <row r="40" ht="25.5" customHeight="1">
      <c r="A40">
        <v>997307357303</v>
      </c>
      <c r="B40" t="inlineStr">
        <is>
          <t>【秒发】 A level爱德思数学/物理/经济/化学资料包数学真题＋笔记＋教材＋练习＋PPT全套资料包。专业整理资料靠谱全面
可单独拍 数学 、物理、经济、化学 。
包含：
Edexcel复习笔记
Edexcel 章节分类练习
Edexcel 自学/授课PPT
Edexcel Textbook教材PDF
Edexcel 往年-25年1月真题＋答案
经济、物理附赠(若有)：考纲，专项单元练习；化学附赠：考纲，专项单元练习（无水印）；数学附赠：考纲和词汇
想要可直接拍，秒发货
#爱德思
</t>
        </is>
      </c>
      <c r="C40" s="2" t="str">
        <f>=HYPERLINK("http://img.alicdn.com/bao/uploaded/i4/2221092766613/O1CN01kP97ae1yioHvjcIzc_!!4611686018427380629-53-xy_item.heic_790x10000Q90.jpg_.webp", "img.alicdn.com/bao/uploaded/i4/2221092766613/O1CN01kP97ae1yioHvjcIzc_!!4611686018427380629-53-xy_item.heic_790x10000Q90.jpg_.webp")</f>
        <v>img.alicdn.com/bao/uploaded/i4/2221092766613/O1CN01kP97ae1yioHvjcIzc_!!4611686018427380629-53-xy_item.heic_790x10000Q90.jpg_.webp</v>
      </c>
      <c r="D40" s="2" t="str">
        <f>=HYPERLINK("https://www.goofish.com/item?spm=a21ybx.search.searchFeedList.7.428b3984Nd7G6J&amp;id=997307357303&amp;categoryId=202036301", "https://www.goofish.com/item?spm=a21ybx.search.searchFeedList.7.428b3984Nd7G6J&amp;id=997307357303&amp;categoryId=202036301")</f>
        <v>https://www.goofish.com/item?spm=a21ybx.search.searchFeedList.7.428b3984Nd7G6J&amp;id=997307357303&amp;categoryId=202036301</v>
      </c>
    </row>
    <row r="41" ht="25.5" customHeight="1">
      <c r="A41">
        <v>994503548877</v>
      </c>
      <c r="B41" t="inlineStr">
        <is>
          <t>26山东事业单位统考历年真题含25年3月真题共757套
✅含25年3月真题题本答案解析
✅山东事业单位历年职测、公基、综应等真题388+116+167+86共757套，包含四个资料渠道【不同渠道有部分真题重复，个别没有答案解析，介意勿拍】
✅内容覆盖历年考试重点，题型齐全，含答案解析
✅PDF格式，手机电脑都能用，直接下载学习
夸克网盘秒发+自动发货，自动拼小刀即刻领取
免责声明：本闲鱼号分享的资源均通过网络等公共合法渠道获得，仅供试用！
一切法律后果与本闲鱼号无关。版权属于原出版机构或影像公司，本号不负任何法律责任。
本资源为电子载体，传播分享仅限于家庭使用与交流心得、参考和辅助购买决策，如原作者认为侵权，请提供相关证明文件，即刻通知本号删除文章。</t>
        </is>
      </c>
      <c r="C41" s="2" t="str">
        <f>=HYPERLINK("http://img.alicdn.com/bao/uploaded/i2/O1CN01t70iak1FMgT1HWDE6_!!827700473-2-fleamarket.png_790x10000.jpg_.webp", "img.alicdn.com/bao/uploaded/i2/O1CN01t70iak1FMgT1HWDE6_!!827700473-2-fleamarket.png_790x10000.jpg_.webp")</f>
        <v>img.alicdn.com/bao/uploaded/i2/O1CN01t70iak1FMgT1HWDE6_!!827700473-2-fleamarket.png_790x10000.jpg_.webp</v>
      </c>
      <c r="D41" s="2" t="str">
        <f>=HYPERLINK("https://www.goofish.com/item?spm=a21ybx.search.searchFeedList.9.428b3984Nd7G6J&amp;id=994503548877&amp;categoryId=202036301", "https://www.goofish.com/item?spm=a21ybx.search.searchFeedList.9.428b3984Nd7G6J&amp;id=994503548877&amp;categoryId=202036301")</f>
        <v>https://www.goofish.com/item?spm=a21ybx.search.searchFeedList.9.428b3984Nd7G6J&amp;id=994503548877&amp;categoryId=202036301</v>
      </c>
    </row>
    <row r="42" ht="25.5" customHeight="1">
      <c r="A42">
        <v>897113089770</v>
      </c>
      <c r="B42" t="inlineStr">
        <is>
          <t>雅思8分，985已上岸港中文，出高分原创雅思作文模板、逻辑链及高频题总结笔记～大小作文都有，超级高效易学。
【考试在即短期冲刺的宝尤其适用！】
笔记包含四个文件：
1️⃣大作文逻辑链：本人花了1w多上完前雅思考官外教的1v1写作课，刷完剑4-剑18真题内所有写作题，自己纯手打整理出原创作文笔记，整理出56条万能大作文逻辑链，几乎可以涵盖雅思所有题目题材。
主题超全，包括教育、环境、政府、科技、文化等话题，遇到相关话题，可随时查找使用，非常方便。而且逻辑链是很独特小众的概念！
[我的逻辑链已经把这些思路，用中英文帮你整理好，一共有56条，考试中看到能用上的话题，不用费劲想观点或者想怎么论证，直接套用就可以咧～
全是前考官外教传授给我的的满分顶级逻辑，不夸张地说，吃透我的笔记可以在20分钟内写完一篇大作文！
2️⃣大作文模板：根据不同题型整理出的针对性写作框架，和机构还有b站写作博主给的大众模板完全不同，能够帮助大家形成自己的写作风格，让考官眼前一亮～
大作文框架加上逻辑链全部浓缩成2页excl，只要理解并能灵活运用里面框架的话，即可冲6.5分！并且可以做到考场速写，写作的整体框架和主体段分论点都已经帮你整理好啦！
所以不需要自己在考场上绞尽脑汁想，看到对应的题目直接套用就可以哒～我首考前大作文一篇都没练，但依靠这份文档，我首考雅思写作6.5，第二次考7.5
3️⃣小作文总结：除了大作文，也包括针对小作文不同类型的题型，总结了具体的写作方法和特殊词汇句式，亲测掌握后小作文7+是没有问题的。
平时写小作文不知道怎么如何描述数据变化趋势、如何描述数据大小、选取哪些数据以及怎样灵活变换句式，想冲写作高分的同学都可以拍下试一试～
4️⃣高频题难题总结：本人请英国外教根据剑桥官方出题规律，整理出的高频写作题目机经，都是真实雅思题库里目前在经常考的题目！机考纸笔通用～
以上经过本人多次考试以及外教批改验证，是属于7.0-7.5的高分模板，即使配合一般的语料内容也至少能拿6分
学雅思的过程中花了不少银子，现在把自己原创干货的资料便宜出给大家，也算传递好运，物超所值～
相关声明：
文件为pdf以及excl形式，电子笔记默认售出不退不换，感谢理解～
希望大家屠鸭成功
需要直接拍，百du罔盘发货
</t>
        </is>
      </c>
      <c r="C42" s="2" t="str">
        <f>=HYPERLINK("http://img.alicdn.com/bao/uploaded/i4/O1CN01dZe8yA1hqjblF114m_!!4611686018427385689-0-fleamarket.jpg_790x10000Q90.jpg_.webp", "img.alicdn.com/bao/uploaded/i4/O1CN01dZe8yA1hqjblF114m_!!4611686018427385689-0-fleamarket.jpg_790x10000Q90.jpg_.webp")</f>
        <v>img.alicdn.com/bao/uploaded/i4/O1CN01dZe8yA1hqjblF114m_!!4611686018427385689-0-fleamarket.jpg_790x10000Q90.jpg_.webp</v>
      </c>
      <c r="D42" s="2" t="str">
        <f>=HYPERLINK("https://www.goofish.com/item?spm=a21ybx.search.searchFeedList.11.428b3984Nd7G6J&amp;id=897113089770&amp;categoryId=202036301", "https://www.goofish.com/item?spm=a21ybx.search.searchFeedList.11.428b3984Nd7G6J&amp;id=897113089770&amp;categoryId=202036301")</f>
        <v>https://www.goofish.com/item?spm=a21ybx.search.searchFeedList.11.428b3984Nd7G6J&amp;id=897113089770&amp;categoryId=202036301</v>
      </c>
    </row>
    <row r="43" ht="25.5" customHeight="1">
      <c r="A43">
        <v>1017436724431</v>
      </c>
      <c r="B43" t="inlineStr">
        <is>
          <t>2026环评工程师
九品/天天/静静/飞翔飞/严师
JP/TT/JJ/FF/YS
持续更新 课程视频真题课件教材
（baidu网盘持续更新）
资源搞来不容易，速度和全面性还请您多担待，感谢
2026注册环评工程师网课环境影响评价工程师案例导则法规技法
直接拍
考试科目：
【环境影响评价技术方法】
【环境影响评价案例分析】
【环境影响评价相关法律法规】
【环境影响评价技术导则与标准】
26年课程持续更新，看这个就够了
直接拍就行
</t>
        </is>
      </c>
      <c r="C43" s="2" t="str">
        <f>=HYPERLINK("http://img.alicdn.com/bao/uploaded/i2/2219431289978/O1CN01AerXOq2NZz4bxx10M_!!4611686018427380858-53-xy_item.heic_790x10000Q90.jpg_.webp", "img.alicdn.com/bao/uploaded/i2/2219431289978/O1CN01AerXOq2NZz4bxx10M_!!4611686018427380858-53-xy_item.heic_790x10000Q90.jpg_.webp")</f>
        <v>img.alicdn.com/bao/uploaded/i2/2219431289978/O1CN01AerXOq2NZz4bxx10M_!!4611686018427380858-53-xy_item.heic_790x10000Q90.jpg_.webp</v>
      </c>
      <c r="D43" s="2" t="str">
        <f>=HYPERLINK("https://www.goofish.com/item?spm=a21ybx.search.searchFeedList.16.428b3984Nd7G6J&amp;id=1017436724431&amp;categoryId=202036301", "https://www.goofish.com/item?spm=a21ybx.search.searchFeedList.16.428b3984Nd7G6J&amp;id=1017436724431&amp;categoryId=202036301")</f>
        <v>https://www.goofish.com/item?spm=a21ybx.search.searchFeedList.16.428b3984Nd7G6J&amp;id=1017436724431&amp;categoryId=202036301</v>
      </c>
    </row>
    <row r="44" ht="25.5" customHeight="1">
      <c r="A44">
        <v>904296618797</v>
      </c>
      <c r="B44" t="inlineStr">
        <is>
          <t>（秒发）江苏事业单位考试经济类（会计、审计）专技岗2016-2024历年真题试卷+答案（专业部分 PDF版可打印）
非纸质，dian 紫板，标价直拍，一旦售出不退不换，感谢理解
✅欢迎需要的朋友自助拍下哦！</t>
        </is>
      </c>
      <c r="C44" s="2" t="str">
        <f>=HYPERLINK("http://img.alicdn.com/bao/uploaded/i3/O1CN01VzTW7m1PwzwiAcsyf_!!4611686018427383394-0-fleamarket.jpg_790x10000Q90.jpg_.webp", "img.alicdn.com/bao/uploaded/i3/O1CN01VzTW7m1PwzwiAcsyf_!!4611686018427383394-0-fleamarket.jpg_790x10000Q90.jpg_.webp")</f>
        <v>img.alicdn.com/bao/uploaded/i3/O1CN01VzTW7m1PwzwiAcsyf_!!4611686018427383394-0-fleamarket.jpg_790x10000Q90.jpg_.webp</v>
      </c>
      <c r="D44" s="2" t="str">
        <f>=HYPERLINK("https://www.goofish.com/item?spm=a21ybx.search.searchFeedList.6.428b3984Nd7G6J&amp;id=904296618797&amp;categoryId=202036301", "https://www.goofish.com/item?spm=a21ybx.search.searchFeedList.6.428b3984Nd7G6J&amp;id=904296618797&amp;categoryId=202036301")</f>
        <v>https://www.goofish.com/item?spm=a21ybx.search.searchFeedList.6.428b3984Nd7G6J&amp;id=904296618797&amp;categoryId=202036301</v>
      </c>
    </row>
    <row r="45" ht="25.5" customHeight="1">
      <c r="A45">
        <v>1017230094616</v>
      </c>
      <c r="B45" t="inlineStr">
        <is>
          <t>2026中考数学复习真题汇编真题解析专项分类练习实数函数圆多边形电子版资料
✅包含22个专项，实数、代数式、因式分解、二次根式、平行线、三角形、解直角三角形、四边形、圆、方程、不等式、函数、统计、概率、科学计数法、尺规作图、图形变化、投影和视图、多边形应用等，初中数学重点难点全覆盖！
✅电子版资料，拍下自动发佰度网盘链接，手机电脑平板都能用，随时下载随时看，方便快捷！
✅虚拟商品，不发快递，售出不退不换！
需要的同学直接拍下，有问题随时私聊～
</t>
        </is>
      </c>
      <c r="C45" s="2" t="str">
        <f>=HYPERLINK("http://img.alicdn.com/bao/uploaded/i1/2220296414903/O1CN01D4k9Iu1m5d1zkktO3_!!4611686018427381431-53-xy_item.heic_790x10000Q90.jpg_.webp", "img.alicdn.com/bao/uploaded/i1/2220296414903/O1CN01D4k9Iu1m5d1zkktO3_!!4611686018427381431-53-xy_item.heic_790x10000Q90.jpg_.webp")</f>
        <v>img.alicdn.com/bao/uploaded/i1/2220296414903/O1CN01D4k9Iu1m5d1zkktO3_!!4611686018427381431-53-xy_item.heic_790x10000Q90.jpg_.webp</v>
      </c>
      <c r="D45" s="2" t="str">
        <f>=HYPERLINK("https://www.goofish.com/item?spm=a21ybx.search.searchFeedList.8.428b3984Nd7G6J&amp;id=1017230094616&amp;categoryId=202036301", "https://www.goofish.com/item?spm=a21ybx.search.searchFeedList.8.428b3984Nd7G6J&amp;id=1017230094616&amp;categoryId=202036301")</f>
        <v>https://www.goofish.com/item?spm=a21ybx.search.searchFeedList.8.428b3984Nd7G6J&amp;id=1017230094616&amp;categoryId=202036301</v>
      </c>
    </row>
    <row r="46" ht="25.5" customHeight="1">
      <c r="A46">
        <v>997216176897</v>
      </c>
      <c r="B46" t="inlineStr">
        <is>
          <t>现货速发】大学日语四六级考试指南与真题 第三版+考纲词汇手册
ISBN：真题9787562870487
词汇手册9787562872085
全国大学日语考试设计组 编
【拍下付款后48小时内发货】
包邮：偏远地区不包邮（内蒙古，海南，青海，甘肃，宁夏 需要邮费。新疆，西藏不发货哦）
【中通快递】
</t>
        </is>
      </c>
      <c r="C46" s="2" t="str">
        <f>=HYPERLINK("http://img.alicdn.com/bao/uploaded/i1/2220572657566/O1CN01PJ5B6M25lHjvfkS3s_!!4611686018427381662-53-xy_item.heic_790x10000Q90.jpg_.webp", "img.alicdn.com/bao/uploaded/i1/2220572657566/O1CN01PJ5B6M25lHjvfkS3s_!!4611686018427381662-53-xy_item.heic_790x10000Q90.jpg_.webp")</f>
        <v>img.alicdn.com/bao/uploaded/i1/2220572657566/O1CN01PJ5B6M25lHjvfkS3s_!!4611686018427381662-53-xy_item.heic_790x10000Q90.jpg_.webp</v>
      </c>
      <c r="D46" s="2" t="str">
        <f>=HYPERLINK("https://www.goofish.com/item?spm=a21ybx.search.searchFeedList.22.428b3984Nd7G6J&amp;id=997216176897&amp;categoryId=127812005", "https://www.goofish.com/item?spm=a21ybx.search.searchFeedList.22.428b3984Nd7G6J&amp;id=997216176897&amp;categoryId=127812005")</f>
        <v>https://www.goofish.com/item?spm=a21ybx.search.searchFeedList.22.428b3984Nd7G6J&amp;id=997216176897&amp;categoryId=127812005</v>
      </c>
    </row>
    <row r="47" ht="25.5" customHeight="1">
      <c r="A47">
        <v>786694543696</v>
      </c>
      <c r="B47" t="inlineStr">
        <is>
          <t>备考2026注安师注册安全工程师教材注安教材习题真题中级注册安全工程师考试书 注安教材备考2026注安师 应急管理出版社注安
（注安建筑、化工、其它、煤矿、金属非金属矿山、金属冶炼）
送25年+26年40多家的网棵永久更新➕题库
【注安其他】：
实务教材1本 16
教材一套四本 40
习题一套四本 42
真题一套四本 35（送考点速记手册）（含25年真题）
教材➕真题共8本 72
教材➕习题共8本 78
大全套教材➕习题➕真题试卷共12本 105
【注安建筑】：
实务教材1本 18
教材一套四本 40
习题一套四本 42
真题一套四本 35（送考点速记手册）
教材➕真题共8本 72
教材➕习题共8本 78
大全套教材➕习题➕真题试卷共12本 105
【注安化工】：
实务教材1本 21
教材一套四本 45
习题一套四本 42
真题一套四本 35（送考点速记手册）
教材➕真题共8本 75
教材➕习题共8本 83
大全套教材➕习题➕真题试卷共12本 108
【煤矿】【金属非金属矿山】【金属冶炼】【道路】：
实务教材1本 26
教材一套四本 48
习题一套四本 50
真题一套四本 35（送考点速记手册）
教材➕真题共8本 79
教材➕习题共8本 95
大全套教材➕习题➕真题试卷共12本 124
★注安教材官方最新版（教材2024版，习题2025版，真题26版，含25年真题）
★有需要的直接联系我，全新
★赠送25+26年各大主流机构最新网棵+刷题软件
新疆，西藏地区需要另加邮费，其他地区包邮。安全生产专业实务.建筑施工安全：2024版
</t>
        </is>
      </c>
      <c r="C47" s="2" t="str">
        <f>=HYPERLINK("http://img.alicdn.com/bao/uploaded/i3/2215344314132/O1CN01QgwT2h1gOVeUarUIZ_!!4611686018427385620-0-xy_item.jpg_790x10000Q90.jpg_.webp", "img.alicdn.com/bao/uploaded/i3/2215344314132/O1CN01QgwT2h1gOVeUarUIZ_!!4611686018427385620-0-xy_item.jpg_790x10000Q90.jpg_.webp")</f>
        <v>img.alicdn.com/bao/uploaded/i3/2215344314132/O1CN01QgwT2h1gOVeUarUIZ_!!4611686018427385620-0-xy_item.jpg_790x10000Q90.jpg_.webp</v>
      </c>
      <c r="D47" s="2" t="str">
        <f>=HYPERLINK("https://www.goofish.com/item?spm=a21ybx.search.searchFeedList.14.428b3984Nd7G6J&amp;id=786694543696&amp;categoryId=127812005", "https://www.goofish.com/item?spm=a21ybx.search.searchFeedList.14.428b3984Nd7G6J&amp;id=786694543696&amp;categoryId=127812005")</f>
        <v>https://www.goofish.com/item?spm=a21ybx.search.searchFeedList.14.428b3984Nd7G6J&amp;id=786694543696&amp;categoryId=127812005</v>
      </c>
    </row>
    <row r="48" ht="25.5" customHeight="1">
      <c r="A48">
        <v>997768397043</v>
      </c>
      <c r="B48" t="inlineStr">
        <is>
          <t>【高斯数学动画全4套】429集＋配套练习题，看动画学奥数，思维拓展神器！
高斯数学动画全4套，包含429节＋769节＋184节＋38节，看动画学数学学奥数，轻松掌握小学阶段所有知识点！内容涵盖高斯数学动画1-6年级（429节）、看动画学奥数超级课堂（38节）、K图解学（184节）、思维动画学奥数（1-6年级，769节），另外赠送练习题和真题练习PDF 6册。每集只有2、3分钟，却把一个知识点讲透彻明白，将知识点从课内慢慢延伸到奥数思维，由浅入深，详细生动的讲解了所有小学阶段数学的知识点，帮助孩子思维拓展！24小时自动发货，拍下秒发货，虚拟产品，佰度/夸克双网盘发货。
核心亮点：
- 全4套高斯数学动画：429节＋769节＋184节＋38节，看动画学数学学奥数
- 配套练习题：赠送练习题和真题练习PDF 6册
- 每集2、3分钟：知识点讲透彻明白，由浅入深，详细生动
- 思维拓展：将知识点从课内慢慢延伸到奥数思维，帮助孩子思维拓展
- 自动发货：24小时自动发货，拍下秒发货，虚拟产品，佰度网盘发货
产品详情：
- 类型：高斯数学动画全4套
- 内容：高斯数学动画1-6年级（429节）、看动画学奥数超级课堂（38节）、K图解学（184节）、思维动画学奥数（1-6年级，769节）
- 配套练习题：赠送练习题和真题练习PDF 6册
- 发货方式：24小时自动发货，拍下秒发货，虚拟产品，佰度网盘发货</t>
        </is>
      </c>
      <c r="C48" s="2" t="str">
        <f>=HYPERLINK("http://img.alicdn.com/bao/uploaded/i4/735184869/O1CN01pF4eLi1lq3YFnI68X_!!4611686018427381733-0-xy_item.jpg_790x10000Q90.jpg_.webp", "img.alicdn.com/bao/uploaded/i4/735184869/O1CN01pF4eLi1lq3YFnI68X_!!4611686018427381733-0-xy_item.jpg_790x10000Q90.jpg_.webp")</f>
        <v>img.alicdn.com/bao/uploaded/i4/735184869/O1CN01pF4eLi1lq3YFnI68X_!!4611686018427381733-0-xy_item.jpg_790x10000Q90.jpg_.webp</v>
      </c>
      <c r="D48" s="2" t="str">
        <f>=HYPERLINK("https://www.goofish.com/item?spm=a21ybx.search.searchFeedList.17.428b3984Nd7G6J&amp;id=997768397043&amp;categoryId=202036301", "https://www.goofish.com/item?spm=a21ybx.search.searchFeedList.17.428b3984Nd7G6J&amp;id=997768397043&amp;categoryId=202036301")</f>
        <v>https://www.goofish.com/item?spm=a21ybx.search.searchFeedList.17.428b3984Nd7G6J&amp;id=997768397043&amp;categoryId=202036301</v>
      </c>
    </row>
    <row r="49" ht="25.5" customHeight="1">
      <c r="A49">
        <v>1006268443662</v>
      </c>
      <c r="B49" t="inlineStr">
        <is>
          <t>【秒拍秒发】全套剑桥PET所有资料PDF(视频/教材/讲义/听力/真题)
内容39G 包含网课视频/教材PDF/配套讲义/配套听力/考级真题/其他资料
详细内容请看下方图片所见即所得
✅ 网盘发货 直接拍即可 拍下自动发货
↓右下角【2人小刀】购买后自动免拼↓
​↓右下角【2人小刀】购买后自动免拼↓
</t>
        </is>
      </c>
      <c r="C49" s="2" t="str">
        <f>=HYPERLINK("http://img.alicdn.com/bao/uploaded/i3/2216005943308/O1CN01Ze3fcJ1aJ7IdIY2x8_!!4611686018427379724-53-xy_item.heic_790x10000Q90.jpg_.webp", "img.alicdn.com/bao/uploaded/i3/2216005943308/O1CN01Ze3fcJ1aJ7IdIY2x8_!!4611686018427379724-53-xy_item.heic_790x10000Q90.jpg_.webp")</f>
        <v>img.alicdn.com/bao/uploaded/i3/2216005943308/O1CN01Ze3fcJ1aJ7IdIY2x8_!!4611686018427379724-53-xy_item.heic_790x10000Q90.jpg_.webp</v>
      </c>
      <c r="D49" s="2" t="str">
        <f>=HYPERLINK("https://www.goofish.com/item?spm=a21ybx.search.searchFeedList.20.428b3984Nd7G6J&amp;id=1006268443662&amp;categoryId=202036301", "https://www.goofish.com/item?spm=a21ybx.search.searchFeedList.20.428b3984Nd7G6J&amp;id=1006268443662&amp;categoryId=202036301")</f>
        <v>https://www.goofish.com/item?spm=a21ybx.search.searchFeedList.20.428b3984Nd7G6J&amp;id=1006268443662&amp;categoryId=202036301</v>
      </c>
    </row>
    <row r="50" ht="25.5" customHeight="1">
      <c r="A50">
        <v>1019883738168</v>
      </c>
      <c r="B50" t="inlineStr">
        <is>
          <t>老夏公务员面试全套资料
老夏公务员面试全套资料老夏2025/2026公务员面试全套资料，电子版，内容超全，89节视频课＋真题100题PDF＋30道母题＋150道重点＋逐字稿母题50道
2026最新PDF版本无视频
视频赠送之前的
其实也不需要看视频，直接看讲义即可，因为视频就是老师念讲义，清晰明了，而且节约时间。
需要的直接拍。
</t>
        </is>
      </c>
      <c r="C50" s="2" t="str">
        <f>=HYPERLINK("http://img.alicdn.com/bao/uploaded/i2/O1CN01mMQsUC1R7ozweQKy6_!!4611686018427387297-53-fleamarket.heic_790x10000Q90.jpg_.webp", "img.alicdn.com/bao/uploaded/i2/O1CN01mMQsUC1R7ozweQKy6_!!4611686018427387297-53-fleamarket.heic_790x10000Q90.jpg_.webp")</f>
        <v>img.alicdn.com/bao/uploaded/i2/O1CN01mMQsUC1R7ozweQKy6_!!4611686018427387297-53-fleamarket.heic_790x10000Q90.jpg_.webp</v>
      </c>
      <c r="D50" s="2" t="str">
        <f>=HYPERLINK("https://www.goofish.com/item?spm=a21ybx.search.searchFeedList.10.428b3984Nd7G6J&amp;id=1019883738168&amp;categoryId=202036301", "https://www.goofish.com/item?spm=a21ybx.search.searchFeedList.10.428b3984Nd7G6J&amp;id=1019883738168&amp;categoryId=202036301")</f>
        <v>https://www.goofish.com/item?spm=a21ybx.search.searchFeedList.10.428b3984Nd7G6J&amp;id=1019883738168&amp;categoryId=202036301</v>
      </c>
    </row>
    <row r="51" ht="25.5" customHeight="1">
      <c r="A51">
        <v>1012574609067</v>
      </c>
      <c r="B51" t="inlineStr">
        <is>
          <t>【秒发】2013-2025年袋鼠数学考试竞赛各等级真题＋答案
PDF版可打印，中英文思维挑战1-12年级
2025.3.29袋鼠思维Math Kangaroo袋鼠数学思维挑战赛高质量答案
ABCDEF真题，答案，PDF档，高清
2025年3月29日考试的真题，全，年级全，等级全，ABCDEF等级都有真题和答案，F级别答案暂时没，介意勿拍
想在全球规模最大、含金量最大的袋鼠数学考试竞赛中脱颖而出吗？我准备了最全的竞赛真题和解析，助你一臂之力！
资料内容：
2013-2025年袋鼠数学考试竞赛各等级真题+答案解析PDF版
A级袋鼠考试1-2年级真题集(2013-2025 )
B级袋鼠考试3-4年级真题集(2013-2025 )
C级袋鼠考试5-6年级真题集(2013-2025 )
D级袋鼠考试7-8年级真题集(2013-2025 )
E级袋鼠考试9-10年级真题集(2013-2025 )
F级袋鼠考试11-12年级真题(2013-2025 )
想要请咨询，拍下就发，网盘发货~
全网最快袋鼠赛题资源，一手真题速递！
袋鼠思维题和9月底考试的澳洲AMC题型类似，难度差不多，可以提前买来熟悉下题型，充分备考
#学习资料教材 #轻松做小学生
免责声明：本闲鱼号分享的资源均通过网络等公共合法渠道获得，仅供试用！
一切法律后果与本闲鱼号无关。版权属于原出版机构或影像公司，本号不负任何法律责任。
本资源为电子载体，传播分享仅限于家庭使用与交流心得、参考和辅助购买决策，不得以任何理由在商业行为中使用，请在下载后24小时内删除！若喜欢此资源，请购买正版。
如原作者认为侵权，请提供相关证明文件，即刻通知本号删除文章。
</t>
        </is>
      </c>
      <c r="C51" s="2" t="str">
        <f>=HYPERLINK("http://img.alicdn.com/bao/uploaded/i4/O1CN01j9qwNg1FMgSLpKe1L_!!827700473-0-fleamarket.jpg_790x10000Q90.jpg_.webp", "img.alicdn.com/bao/uploaded/i4/O1CN01j9qwNg1FMgSLpKe1L_!!827700473-0-fleamarket.jpg_790x10000Q90.jpg_.webp")</f>
        <v>img.alicdn.com/bao/uploaded/i4/O1CN01j9qwNg1FMgSLpKe1L_!!827700473-0-fleamarket.jpg_790x10000Q90.jpg_.webp</v>
      </c>
      <c r="D51" s="2" t="str">
        <f>=HYPERLINK("https://www.goofish.com/item?spm=a21ybx.search.searchFeedList.7.428b3984Nd7G6J&amp;id=1012574609067&amp;categoryId=202036301", "https://www.goofish.com/item?spm=a21ybx.search.searchFeedList.7.428b3984Nd7G6J&amp;id=1012574609067&amp;categoryId=202036301")</f>
        <v>https://www.goofish.com/item?spm=a21ybx.search.searchFeedList.7.428b3984Nd7G6J&amp;id=1012574609067&amp;categoryId=202036301</v>
      </c>
    </row>
    <row r="52" ht="25.5" customHeight="1">
      <c r="A52">
        <v>978260626706</v>
      </c>
      <c r="B52" t="inlineStr">
        <is>
          <t>2026演出经纪人考试题库26演出经纪人考试刷题app激活码思维导图三色笔记历年真题预测试卷慧考智学莽过教育题库激活码
标价就是卖价！不用问直接拍！
持续更新到最新考纲！不用问是否最新！
题库app会更新到2026最新版
原价50元一科
现价5元一科，9元全科！
建议直接拍全科！真的划得来！
【26演出经纪人题库 科目齐全 】
《思想政治与法律》题库
《演出市场政策与经济实务》题库
（ps.拍全科赠送三色笔记+思维导图）
【app题库 功能包含】
章节练习、历年真题、预测试卷、考前点题、模拟试卷、试题收藏、答案解析、反复纠错……持续更新！
正版题库授权，售后无忧！
慧考智学，莽过教育均可开通！
365天有效期，不定时持续更新！
激活后无任何额外费用，放心使用！
题库app会更新到2026最新版
❶每个题后面都有详细的答案解析；
❷涵盖教材99%考点，精分析考题；
❸预测考点考题，助考生通关；
❹无纸化模拟考场，随机组卷，自动评分；
❺错题强化反复练习，快速背题；
❻手机、平板、电脑都可做题！
直接拍即可，自动发货！
激活码一经售出，概不退货～
有问题点右下角 “我想要” 私聊客服～
</t>
        </is>
      </c>
      <c r="C52" s="2" t="str">
        <f>=HYPERLINK("http://img.alicdn.com/bao/uploaded/i1/O1CN01IZoWSv1PSlqpDNt9t_!!4611686018427387392-0-fleamarket.jpg_790x10000Q90.jpg_.webp", "img.alicdn.com/bao/uploaded/i1/O1CN01IZoWSv1PSlqpDNt9t_!!4611686018427387392-0-fleamarket.jpg_790x10000Q90.jpg_.webp")</f>
        <v>img.alicdn.com/bao/uploaded/i1/O1CN01IZoWSv1PSlqpDNt9t_!!4611686018427387392-0-fleamarket.jpg_790x10000Q90.jpg_.webp</v>
      </c>
      <c r="D52" s="2" t="str">
        <f>=HYPERLINK("https://www.goofish.com/item?spm=a21ybx.search.searchFeedList.2.428b3984Nd7G6J&amp;id=978260626706&amp;categoryId=202036301", "https://www.goofish.com/item?spm=a21ybx.search.searchFeedList.2.428b3984Nd7G6J&amp;id=978260626706&amp;categoryId=202036301")</f>
        <v>https://www.goofish.com/item?spm=a21ybx.search.searchFeedList.2.428b3984Nd7G6J&amp;id=978260626706&amp;categoryId=202036301</v>
      </c>
    </row>
    <row r="53" ht="25.5" customHeight="1">
      <c r="A53">
        <v>1013208730863</v>
      </c>
      <c r="B53" t="inlineStr">
        <is>
          <t>2604考期近代史/史纲15043中国近现代史纲要视频+资料持续更新中！
该门是公共课，全国可用，不分省份
包含：
2604考期持续更新中，串讲待更新
精讲（已更完）+课件+真题汇编等，陆续更新中
夸克网盘或百度网盘发货，内容一样
小提示：打开链接后，点一下订阅，更新后会推送信息给你
2.99直接拍，图里有的都会发你，具体内容看图片
电子资料下单后不退款，了解清楚再拍哦！
</t>
        </is>
      </c>
      <c r="C53" s="2" t="str">
        <f>=HYPERLINK("http://img.alicdn.com/bao/uploaded/i1/3622352723/O1CN01u9Gjs11VzBbafw5Xa_!!4611686018427385683-53-xy_item.heic_790x10000Q90.jpg_.webp", "img.alicdn.com/bao/uploaded/i1/3622352723/O1CN01u9Gjs11VzBbafw5Xa_!!4611686018427385683-53-xy_item.heic_790x10000Q90.jpg_.webp")</f>
        <v>img.alicdn.com/bao/uploaded/i1/3622352723/O1CN01u9Gjs11VzBbafw5Xa_!!4611686018427385683-53-xy_item.heic_790x10000Q90.jpg_.webp</v>
      </c>
      <c r="D53" s="2" t="str">
        <f>=HYPERLINK("https://www.goofish.com/item?spm=a21ybx.search.searchFeedList.2.428b3984Nd7G6J&amp;id=1013208730863&amp;categoryId=202036301", "https://www.goofish.com/item?spm=a21ybx.search.searchFeedList.2.428b3984Nd7G6J&amp;id=1013208730863&amp;categoryId=202036301")</f>
        <v>https://www.goofish.com/item?spm=a21ybx.search.searchFeedList.2.428b3984Nd7G6J&amp;id=1013208730863&amp;categoryId=202036301</v>
      </c>
    </row>
    <row r="54" ht="25.5" customHeight="1">
      <c r="A54">
        <v>1023334898417</v>
      </c>
      <c r="B54" t="inlineStr">
        <is>
          <t>2026年军队文职人员招聘题库app军队文职考试刷题软件考前冲刺章节练习军队文职人员历年真题
限时优惠，标价可开全科
题库介绍
365天有效期，系统自动更新
包括章节练习、往年真题、模拟试卷等等（科目不同 真题年份略有差异）
支持手机、平板、电脑网页端登录，支持苹果系统
独立账号，手机号或者激活码开通！
精准分析考题预测考点，助力考生通关。
包含科目：
军队文职人员招聘《公共科目》题库
军队文职人员招聘《管理学》题库
军队文职人员招聘《会计》题库
军队文职人员招聘《审计》题库
军队文职人员招聘《经济学》题库
军队文职人员招聘《法学》题库
军队文职人员招聘《教育学》题库
军队文职人员招聘《体育》题库
军队文职人员招聘《新闻》题库
军队文职人员招聘《出版》题库
军队文职人员招聘《数学1》题库
军队文职人员招聘《数学2》题库
军队文职人员招聘《物理》题库
军队文职人员招聘《数学3》题库
军队文职人员招聘《化学》题库
军队文职人员招聘《临床医学》题库
军队文职人员招聘《中医学》题库
军队文职人员招聘《药学》题库
军队文职人员招聘《中药学》题库
军队文职人员招聘《护理学》题库
军队文职人员招聘《医学影像技术》题库
军队文职人员招聘《图书》题库
军队文职人员招聘《档案》题库
军队文职人员招聘《艺术基础综合》题库
军队文职人员招聘《医学类基础综合》题库
军队文职人员招聘《军队文职招聘面试》题库
军队文职人员招聘《计算机类》题库
军队文职人员招聘《档案类》题库
军队文职人员招聘《政治理论》题库
军队文职人员招聘《收发员兼通信员》题库
注意，只有以上科目
直接拍就可以，自动发激活码
</t>
        </is>
      </c>
      <c r="C54" s="2" t="str">
        <f>=HYPERLINK("http://img.alicdn.com/bao/uploaded/i3/O1CN01Zo3bbr1tTAhdyjOOP_!!4611686018427381630-0-fleamarket.jpg_790x10000Q90.jpg_.webp", "img.alicdn.com/bao/uploaded/i3/O1CN01Zo3bbr1tTAhdyjOOP_!!4611686018427381630-0-fleamarket.jpg_790x10000Q90.jpg_.webp")</f>
        <v>img.alicdn.com/bao/uploaded/i3/O1CN01Zo3bbr1tTAhdyjOOP_!!4611686018427381630-0-fleamarket.jpg_790x10000Q90.jpg_.webp</v>
      </c>
      <c r="D54" s="2" t="str">
        <f>=HYPERLINK("https://www.goofish.com/item?spm=a21ybx.search.searchFeedList.6.428b3984Nd7G6J&amp;id=1023334898417&amp;categoryId=202036301", "https://www.goofish.com/item?spm=a21ybx.search.searchFeedList.6.428b3984Nd7G6J&amp;id=1023334898417&amp;categoryId=202036301")</f>
        <v>https://www.goofish.com/item?spm=a21ybx.search.searchFeedList.6.428b3984Nd7G6J&amp;id=1023334898417&amp;categoryId=202036301</v>
      </c>
    </row>
    <row r="55" ht="25.5" customHeight="1">
      <c r="A55">
        <v>1019474230852</v>
      </c>
      <c r="B55" t="inlineStr">
        <is>
          <t>【2026版天⭐金考卷高考试题汇编5真】
语数英物化生政史地九科PDF垫紫版，全国通用！（全科发货）
✅主书+答案，PDF格式，试卷A3含答案
✅包含2025年真题
✅2026新版，适合全国高三刷题冲刺
百度网盘24小时内发货。由于虚拟商品具有可复制性，一经售出，概不退换！！！
⚠ 【免责声明】 1.所有文件均获取自网络公开渠道，仅供学习和交流使用，所有版权归版权人所有。
2.如版权方认为侵犯了您的版权，请及时联系小店，小店将立即删除。
3.此商品售价仅是对资源查找以及整理的加工费用。
4.此商品不涉及商用，本店收集、整理的宝贝仅供欣赏、借鉴、参考、学习，否则引起的一切后果与本店无关。
5.本店所售资料均为高清文件，但扫描稍有瑕疵，放大镜勿拍。
6.打印效果受设备、纸张、墨水等客观因素影响，无法保证实际输出效果。建议打印前自行调试设备并测试样本，所有因打印产生的色差、清晰度、字体大小等问题均与本人无关，敬请知悉。
高考刷题神器
高考必备
</t>
        </is>
      </c>
      <c r="C55" s="2" t="str">
        <f>=HYPERLINK("http://img.alicdn.com/bao/uploaded/i1/2643807270/O1CN01Cqnb8K23ZiWjcL1Uu_!!4611686018427382822-53-xy_item.heic_790x10000Q90.jpg_.webp", "img.alicdn.com/bao/uploaded/i1/2643807270/O1CN01Cqnb8K23ZiWjcL1Uu_!!4611686018427382822-53-xy_item.heic_790x10000Q90.jpg_.webp")</f>
        <v>img.alicdn.com/bao/uploaded/i1/2643807270/O1CN01Cqnb8K23ZiWjcL1Uu_!!4611686018427382822-53-xy_item.heic_790x10000Q90.jpg_.webp</v>
      </c>
      <c r="D55" s="2" t="str">
        <f>=HYPERLINK("https://www.goofish.com/item?spm=a21ybx.search.searchFeedList.3.428b3984Nd7G6J&amp;id=1019474230852&amp;categoryId=202036301", "https://www.goofish.com/item?spm=a21ybx.search.searchFeedList.3.428b3984Nd7G6J&amp;id=1019474230852&amp;categoryId=202036301")</f>
        <v>https://www.goofish.com/item?spm=a21ybx.search.searchFeedList.3.428b3984Nd7G6J&amp;id=1019474230852&amp;categoryId=202036301</v>
      </c>
    </row>
    <row r="56" ht="25.5" customHeight="1">
      <c r="A56">
        <v>1024203650437</v>
      </c>
      <c r="B56" t="inlineStr">
        <is>
          <t>26考研西综天天师兄全程班资料包，网盘秒发，不加密，文件齐全，清晰不混乱
基础班，强化班、冲刺班，最后五小时，阶段测试、每日计划、答疑、病理生理、内科外科生化等都有。
高清视频+讲义+笔记+真题+导图+阶段测试+答疑贴，内容很全，查找方便，适合2027考研西综提前备考，复试复习，自主学习等。
自动发货，网盘链接秒发，手机电脑都能看，随时转存不丢。需要其他网课资料也可以私聊，内容整理清晰，方便查找。
极速回复，有问题随时问，喜欢直接拍，细节私聊
价格合适
⚠️⚠️⚠️不退不换！！！
</t>
        </is>
      </c>
      <c r="C56" s="2" t="str">
        <f>=HYPERLINK("http://img.alicdn.com/bao/uploaded/i1/3702242178/O1CN01cfSTLW1RxZl15zgMO_!!4611686018427386754-0-xy_item.jpg_790x10000Q90.jpg_.webp", "img.alicdn.com/bao/uploaded/i1/3702242178/O1CN01cfSTLW1RxZl15zgMO_!!4611686018427386754-0-xy_item.jpg_790x10000Q90.jpg_.webp")</f>
        <v>img.alicdn.com/bao/uploaded/i1/3702242178/O1CN01cfSTLW1RxZl15zgMO_!!4611686018427386754-0-xy_item.jpg_790x10000Q90.jpg_.webp</v>
      </c>
      <c r="D56" s="2" t="str">
        <f>=HYPERLINK("https://www.goofish.com/item?spm=a21ybx.search.searchFeedList.25.428b3984Nd7G6J&amp;id=1024203650437&amp;categoryId=202036301", "https://www.goofish.com/item?spm=a21ybx.search.searchFeedList.25.428b3984Nd7G6J&amp;id=1024203650437&amp;categoryId=202036301")</f>
        <v>https://www.goofish.com/item?spm=a21ybx.search.searchFeedList.25.428b3984Nd7G6J&amp;id=1024203650437&amp;categoryId=202036301</v>
      </c>
    </row>
    <row r="57" ht="25.5" customHeight="1">
      <c r="A57">
        <v>1016509861187</v>
      </c>
      <c r="B57" t="inlineStr">
        <is>
          <t>2025江苏事业单位计算机专技岗资料包，
适合备考计算机类岗位的公考和事业编考试。
包含丰富的学习资源：
1. （2012-2023）真题及真题解析视频，覆盖全面知识点。
2. 小林、土豆老师视频课。
3. 计算机专技岗考点基础讲义，详细讲解计算机硬件、操作系统、软件等重要知识点。
4. 模拟题和习题库，帮助巩固所学内容。
资料持续更新中，适合准备2025年及以后的考试。标价即实价，拍下即发。感兴趣的朋友可以直接下单哦！
</t>
        </is>
      </c>
      <c r="C57" s="2" t="str">
        <f>=HYPERLINK("http://img.alicdn.com/bao/uploaded/i3/2221595961359/O1CN01azxckr1LuTNTYJVOj_!!4611686018427381775-0-xy_item.jpg_790x10000Q90.jpg_.webp", "img.alicdn.com/bao/uploaded/i3/2221595961359/O1CN01azxckr1LuTNTYJVOj_!!4611686018427381775-0-xy_item.jpg_790x10000Q90.jpg_.webp")</f>
        <v>img.alicdn.com/bao/uploaded/i3/2221595961359/O1CN01azxckr1LuTNTYJVOj_!!4611686018427381775-0-xy_item.jpg_790x10000Q90.jpg_.webp</v>
      </c>
      <c r="D57" s="2" t="str">
        <f>=HYPERLINK("https://www.goofish.com/item?spm=a21ybx.search.searchFeedList.21.428b3984Nd7G6J&amp;id=1016509861187&amp;categoryId=202036301", "https://www.goofish.com/item?spm=a21ybx.search.searchFeedList.21.428b3984Nd7G6J&amp;id=1016509861187&amp;categoryId=202036301")</f>
        <v>https://www.goofish.com/item?spm=a21ybx.search.searchFeedList.21.428b3984Nd7G6J&amp;id=1016509861187&amp;categoryId=202036301</v>
      </c>
    </row>
    <row r="58" ht="25.5" customHeight="1">
      <c r="A58">
        <v>916267190739</v>
      </c>
      <c r="B58" t="inlineStr">
        <is>
          <t>AP考试全科历年真题
新!!!全!!!低!!!
1994-2024 一科5元 两科10元 全包所有30元
包含市面上所有题目（注意：同行都是抄的我的，他们资料不全）
包含2024考试最新真题有选择有答案（近年选择题不完全，具体科目年份不全，询问好客服截图看过后再下单）
链接先浏览合适再保存，链接保存后不退款，希望大家理解。
AP生物学、化学、环境科学、物理1、物理2、物理C电磁学、物理C机械学、微积分AB、微积分BC、计算机科学A、统计学、计算机科学中国语言及文化、法国语言及文化、德国语言及文化、日本语言及文化、意大利语言及文化、英语语言及写作、英国文学及写作、拉丁文、西班牙语语言及文化、西班牙语文学及文化艺术史、音乐理论、平面工作室艺术设计、立体工作室艺术设计、工作室绘画比较政府与政治、欧洲历史、人文地理、宏观经济学、微观经济学、心理学、美国政府与政治、美国历史、世界现代史
非纸质，dian 紫板，标价直拍，一旦售出不退不换，感谢理解
✅欢迎需要的朋友自助拍下哦！
</t>
        </is>
      </c>
      <c r="C58" s="2" t="str">
        <f>=HYPERLINK("http://img.alicdn.com/bao/uploaded/i2/O1CN01QbivD51b203EBdmCh_!!4611686018427383118-53-fleamarket.heic_790x10000Q90.jpg_.webp", "img.alicdn.com/bao/uploaded/i2/O1CN01QbivD51b203EBdmCh_!!4611686018427383118-53-fleamarket.heic_790x10000Q90.jpg_.webp")</f>
        <v>img.alicdn.com/bao/uploaded/i2/O1CN01QbivD51b203EBdmCh_!!4611686018427383118-53-fleamarket.heic_790x10000Q90.jpg_.webp</v>
      </c>
      <c r="D58" s="2" t="str">
        <f>=HYPERLINK("https://www.goofish.com/item?spm=a21ybx.search.searchFeedList.12.428b3984Nd7G6J&amp;id=916267190739&amp;categoryId=202036301", "https://www.goofish.com/item?spm=a21ybx.search.searchFeedList.12.428b3984Nd7G6J&amp;id=916267190739&amp;categoryId=202036301")</f>
        <v>https://www.goofish.com/item?spm=a21ybx.search.searchFeedList.12.428b3984Nd7G6J&amp;id=916267190739&amp;categoryId=202036301</v>
      </c>
    </row>
    <row r="59" ht="25.5" customHeight="1">
      <c r="A59">
        <v>1021180226174</v>
      </c>
      <c r="B59" t="inlineStr">
        <is>
          <t>【0.1¥秒发❗️】2026年执业护士考试资料 2011-2
025年真题+考点笔记/易错背诵/章节模拟题练习电子版
资料介绍（详情见商品截图）
1. 历年真题（2011-2025年）
已更新2025年完整真题，贴合最新考试命题趋势，能帮你把握2026年考试方向，时效性拉满。
2. 考点笔记
3. 历年易错高频考点
4. 章节练习文档题
5. 时间类考点
6. 图片专题
7. 中医新增点
8. 重要考点背诵
9. 模拟文档题
2026年备考小建议
1. 先看考点笔记和中医新增点，结合重要考点背诵把核心内容记牢；
2. 用章节练习文档题和时间类考点巩固模块知识，再通过历年真题 检验效果，最后用历年易错高频考点查缺补漏。
售后说明
1. 电子资料通过百度网盘发送，秒拍秒发，24小时自动发货；
2. 电子资料具有可复制性，一经售出不支持无理由退款，下单前先确认需求，避免不必要纠纷；
3. 所分享资源均来源于互联网，版权归原作者所有，若存在侵权问题，麻烦联系我处理。
#执业护士考试资料 #2026执业护士 #执业护士历年真题 #2025执业护士真题 #执业护士考点笔记
</t>
        </is>
      </c>
      <c r="C59" s="2" t="str">
        <f>=HYPERLINK("http://img.alicdn.com/bao/uploaded/i1/O1CN016fPVfm1WyYgP6H6iT_!!4611686018427386649-49-fleamarket.webp_790x10000Q90.jpg_.webp", "img.alicdn.com/bao/uploaded/i1/O1CN016fPVfm1WyYgP6H6iT_!!4611686018427386649-49-fleamarket.webp_790x10000Q90.jpg_.webp")</f>
        <v>img.alicdn.com/bao/uploaded/i1/O1CN016fPVfm1WyYgP6H6iT_!!4611686018427386649-49-fleamarket.webp_790x10000Q90.jpg_.webp</v>
      </c>
      <c r="D59" s="2" t="str">
        <f>=HYPERLINK("https://www.goofish.com/item?spm=a21ybx.search.searchFeedList.28.428b3984Nd7G6J&amp;id=1021180226174&amp;categoryId=201459411", "https://www.goofish.com/item?spm=a21ybx.search.searchFeedList.28.428b3984Nd7G6J&amp;id=1021180226174&amp;categoryId=201459411")</f>
        <v>https://www.goofish.com/item?spm=a21ybx.search.searchFeedList.28.428b3984Nd7G6J&amp;id=1021180226174&amp;categoryId=201459411</v>
      </c>
    </row>
    <row r="60" ht="25.5" customHeight="1">
      <c r="A60">
        <v>970841477538</v>
      </c>
      <c r="B60" t="inlineStr">
        <is>
          <t>【2025年最新整理BEC商务英语全套资料】，包含初级/中级/高级全套课程➕真题pdf版！标价就是整套资料的售价！
自动发货
资料内容：
BEC初级
①学生用书及音频+同步辅导+教师用书pdf
②BEC初级视频（经典版）
③新东F名师精讲课程
④沪J在售课程视频
⑤真题+详细解析+音频
⑥词汇、口语、阅读分类整理
⑦官方资料
BEC中级、高级
①学生用书及音频+同步辅导+教师用书pdf
②美森课程全套（课程+模拟题+词汇）
③桃zi姐课程（视频+讲义+高频词汇）
④BEC中、高级视频（经典版）
⑤新东F名师精讲课程
⑥沪J在售课程视频
⑦真题+详细解析+音频
⑧陈小慰口试手册pdf
⑨词汇、口语、听力、阅读、写作专项整理练习
⑩官方资料
BEC初中高级38个学习文档资料
赠：职场英语课程，通过实景学习职场口语表达、会议沟通、企业礼仪、邮件写作
资料特点
1.包含初级/中级/高级全套课程视频+讲义+音频，资料内容齐全，练习形式多样
2.电子版随时下载，让你从零基础到精通！
永久有效，随时学习！让你备考无忧！
买前须知┅┅┅┅┅┅┅┅┅┅┅┅┅┅┅
电子资料，非实物，不用快递。发夸克链接，链接永久有效！
下单请看好，因产品具有复制性，下单后不接受退货退款！
免责声明┅┅┅┅┅┅┅┅┅┅┅┅┅┅┅
1.所有文件均获取自网络公开渠道，仅供学习和交流使用，所有版权归版权人所有。
2.如版权方认为侵犯了您的版权，请及时联系小店删除
3.本店所有商品售价仅是对资源查找以及整理的加工费用，如喜欢作品，请支持正版哦
4.本店所有商品不涉及商用，仅是以众筹的方式提供给想要学习的极少部分人用于学习。
拍下视为认同此条约。
✅不是24小时在线哈，请谅解，自助下单或者对话框咨询留言，看到后会及时来发货的，感谢支持
感兴趣的话点“我想要”和我私聊吧～
</t>
        </is>
      </c>
      <c r="C60" s="2" t="str">
        <f>=HYPERLINK("http://img.alicdn.com/bao/uploaded/i4/2220320765014/O1CN0112wL0t1muT0FIZ1Ir_!!4611686018427384918-0-xy_item.jpg_790x10000Q90.jpg_.webp", "img.alicdn.com/bao/uploaded/i4/2220320765014/O1CN0112wL0t1muT0FIZ1Ir_!!4611686018427384918-0-xy_item.jpg_790x10000Q90.jpg_.webp")</f>
        <v>img.alicdn.com/bao/uploaded/i4/2220320765014/O1CN0112wL0t1muT0FIZ1Ir_!!4611686018427384918-0-xy_item.jpg_790x10000Q90.jpg_.webp</v>
      </c>
      <c r="D60" s="2" t="str">
        <f>=HYPERLINK("https://www.goofish.com/item?spm=a21ybx.search.searchFeedList.12.428b3984Nd7G6J&amp;id=970841477538&amp;categoryId=201457610", "https://www.goofish.com/item?spm=a21ybx.search.searchFeedList.12.428b3984Nd7G6J&amp;id=970841477538&amp;categoryId=201457610")</f>
        <v>https://www.goofish.com/item?spm=a21ybx.search.searchFeedList.12.428b3984Nd7G6J&amp;id=970841477538&amp;categoryId=201457610</v>
      </c>
    </row>
    <row r="61" ht="25.5" customHeight="1">
      <c r="A61">
        <v>985430585667</v>
      </c>
      <c r="B61" t="inlineStr">
        <is>
          <t>26年考研法大魔方笔记全套PDF
包含下列内容：701+801（原701），701+802（原701），真题
绝对是白菜价！！
比较适合复习，希望分享给大家。不过仍旧建议自己笔记非常充分的话，能以自己的笔记为主，这个为补充，以便形成自己的知识体系。
本链接不包含咨询院校！！！如果要咨询请单拍链接谢谢
⭐️主页也有26知行全套讲义，全套冲刺表格、全套知识体系、全套真题解析、全套三轮串讲等。是自己整理好的，希望分享给大家，对复习很有用
价格单科2.5-3.5r，欢迎光顾捏！⭐️
701+801:原701(宪法、法理、民法、刑法、真题)
701+802:原701(宪法、法理、民法、民诉、真题)
701真题：为16-25年，有答案
最近有人偷我的文案和录取通知（非常非常之坏），老师们不要信
是今年最新版，性价比高，诚祝大家备考顺利。只提供笔记，咨询价格单议捏！
文件内包含增补勘误，大家可买来复习使用，资料非常详实，我在保研复习期间也是用的魔方笔记加我自己整理的笔记，而且每章都有配套真题可以检测掌握情况，感觉复习起来效果很好，希望分享给大家
大二大三也可以买这个资料，用于期末复习或者提前了解法大考核情况，早作准备捏！！！
⭐️⭐️⭐️⭐️⭐️
发百度网盘，电子资料一经发出，无法退货，请大家理解
请大家购买后及时收货，谢谢
可以用于考研复习，保研复习，以及期末复习⭐️⭐️⭐️
【另提供法学保研咨询，价格可议，有意者可咨询】笔者已保研上岸中国政法大学，复试笔试95。在推免阶段入围12所院校（7所985，5所211）价格可议⭐️⭐️⭐️
写在最后：感谢大家忍耐我的碎碎念，看到这里嘿嘿～
</t>
        </is>
      </c>
      <c r="C61" s="2" t="str">
        <f>=HYPERLINK("http://img.alicdn.com/bao/uploaded/i2/O1CN01FO8z3i1cGUF4qJnVP_!!4611686018427383125-53-fleamarket.heic_790x10000Q90.jpg_.webp", "img.alicdn.com/bao/uploaded/i2/O1CN01FO8z3i1cGUF4qJnVP_!!4611686018427383125-53-fleamarket.heic_790x10000Q90.jpg_.webp")</f>
        <v>img.alicdn.com/bao/uploaded/i2/O1CN01FO8z3i1cGUF4qJnVP_!!4611686018427383125-53-fleamarket.heic_790x10000Q90.jpg_.webp</v>
      </c>
      <c r="D61" s="2" t="str">
        <f>=HYPERLINK("https://www.goofish.com/item?spm=a21ybx.search.searchFeedList.21.428b3984Nd7G6J&amp;id=985430585667&amp;categoryId=202036301", "https://www.goofish.com/item?spm=a21ybx.search.searchFeedList.21.428b3984Nd7G6J&amp;id=985430585667&amp;categoryId=202036301")</f>
        <v>https://www.goofish.com/item?spm=a21ybx.search.searchFeedList.21.428b3984Nd7G6J&amp;id=985430585667&amp;categoryId=202036301</v>
      </c>
    </row>
    <row r="62" ht="25.5" customHeight="1">
      <c r="A62">
        <v>1013566121892</v>
      </c>
      <c r="B62" t="inlineStr">
        <is>
          <t>山东教师招聘历年真题及答案解析2017-2025年
重要!部分答案残缺，找到后立刻补充
包含以下地区:
滨州真题18-24缺20
德州真题17-25
菏泽真题17-25
济南真题17-25
济宁真题17-25
聊城真题17-25
临沂真题17-25
青岛真题17-25
日照真题21-25
泰安真题16-25
潍坊真题17-25缺23
威海真题20-25
烟台真题17-25
枣庄真题16-25
淄博真题15-25
重要!部分答案残缺，直接拍的不退不换！！介意勿拍，几毛钱分享的大生意
所有真题都是考生回忆的，或机构组织人员进考场抄录，官方不会公布真题,因此可能存在部分材料不完整，年份不全等情况
过于追求完美的小伙伴，请慎拍~~
非纸质，电zi版，bd网盘发，标价就是整理费，直拍直发，一旦售出不退不换，感谢理解
✅欢迎需要的朋友自助拍下哦！</t>
        </is>
      </c>
      <c r="C62" s="2" t="str">
        <f>=HYPERLINK("http://img.alicdn.com/bao/uploaded/i3/O1CN01El2geA2HZd3pWDrrM_!!4611686018427381677-0-fleamarket.jpg_790x10000Q90.jpg_.webp", "img.alicdn.com/bao/uploaded/i3/O1CN01El2geA2HZd3pWDrrM_!!4611686018427381677-0-fleamarket.jpg_790x10000Q90.jpg_.webp")</f>
        <v>img.alicdn.com/bao/uploaded/i3/O1CN01El2geA2HZd3pWDrrM_!!4611686018427381677-0-fleamarket.jpg_790x10000Q90.jpg_.webp</v>
      </c>
      <c r="D62" s="2" t="str">
        <f>=HYPERLINK("https://www.goofish.com/item?spm=a21ybx.search.searchFeedList.27.428b3984Nd7G6J&amp;id=1013566121892&amp;categoryId=202036301", "https://www.goofish.com/item?spm=a21ybx.search.searchFeedList.27.428b3984Nd7G6J&amp;id=1013566121892&amp;categoryId=202036301")</f>
        <v>https://www.goofish.com/item?spm=a21ybx.search.searchFeedList.27.428b3984Nd7G6J&amp;id=1013566121892&amp;categoryId=202036301</v>
      </c>
    </row>
    <row r="63" ht="25.5" customHeight="1">
      <c r="A63">
        <v>989253789039</v>
      </c>
      <c r="B63" t="inlineStr">
        <is>
          <t xml:space="preserve">2026中石油、中石化、中海油笔试真题题库校招必备（发全部三桶油所有资料）'
[红旗]啥都不要问，东西都有，很全，需要直接拍
[灯泡]注意是2026届的！！包含25年的真题
大部分卖的都不包含！！
不支持仅退款
中石化中石油中海油春秋招聘考试复习资料历年真题校园社会招聘考试题库注意我的真题到25年！模拟题是26届的！比大多数人卖的新！！！！
内容基本包括笔试历年真题、模拟题等，资料丰富，满足备考需求（各企业各学科有所差异）往年真题和模拟题题库和各类知识点总结等。拍下秒发货！！！！
拍下秒发货！！
[绿圆]不用问在不在，直接拍，网盘自动发货
[绿圆]内容包括笔试历年真题、企业文化知识等，非常非常全。
[绿圆]目录：
1、基础知识 
2、行测和公共基础知识 
3、往年真题和模拟题 </t>
        </is>
      </c>
      <c r="C63" s="2" t="str">
        <f>=HYPERLINK("http://img.alicdn.com/bao/uploaded/i4/O1CN01W7JuTH1hG5z0LoAo6_!!4611686018427380825-0-fleamarket.jpg_790x10000Q90.jpg_.webp", "img.alicdn.com/bao/uploaded/i4/O1CN01W7JuTH1hG5z0LoAo6_!!4611686018427380825-0-fleamarket.jpg_790x10000Q90.jpg_.webp")</f>
        <v>img.alicdn.com/bao/uploaded/i4/O1CN01W7JuTH1hG5z0LoAo6_!!4611686018427380825-0-fleamarket.jpg_790x10000Q90.jpg_.webp</v>
      </c>
      <c r="D63" s="2" t="str">
        <f>=HYPERLINK("https://www.goofish.com/item?spm=a21ybx.search.searchFeedList.5.428b3984Nd7G6J&amp;id=989253789039&amp;categoryId=202036301", "https://www.goofish.com/item?spm=a21ybx.search.searchFeedList.5.428b3984Nd7G6J&amp;id=989253789039&amp;categoryId=202036301")</f>
        <v>https://www.goofish.com/item?spm=a21ybx.search.searchFeedList.5.428b3984Nd7G6J&amp;id=989253789039&amp;categoryId=202036301</v>
      </c>
    </row>
    <row r="64" ht="25.5" customHeight="1">
      <c r="A64">
        <v>1026796357642</v>
      </c>
      <c r="B64" t="inlineStr">
        <is>
          <t>2026万唯中考真题分类卷，全国通用版
九科全套，高清电子版！PDF格式！送十年中考真题！
语数英物化生地历道法都有，答案解析齐全，全国通用。内容完整无空白缺失！
拍下自动发夸百网盘链接，虚拟资料不退不换！
需要直接拍！</t>
        </is>
      </c>
      <c r="C64" s="2" t="str">
        <f>=HYPERLINK("http://img.alicdn.com/bao/uploaded/i3/2239486271/O1CN01iOpJd51wCAqdGJz6U_!!4611686018427386175-53-xy_item.heic_790x10000Q90.jpg_.webp", "img.alicdn.com/bao/uploaded/i3/2239486271/O1CN01iOpJd51wCAqdGJz6U_!!4611686018427386175-53-xy_item.heic_790x10000Q90.jpg_.webp")</f>
        <v>img.alicdn.com/bao/uploaded/i3/2239486271/O1CN01iOpJd51wCAqdGJz6U_!!4611686018427386175-53-xy_item.heic_790x10000Q90.jpg_.webp</v>
      </c>
      <c r="D64" s="2" t="str">
        <f>=HYPERLINK("https://www.goofish.com/item?spm=a21ybx.search.searchFeedList.12.428b3984Nd7G6J&amp;id=1026796357642&amp;categoryId=202036301", "https://www.goofish.com/item?spm=a21ybx.search.searchFeedList.12.428b3984Nd7G6J&amp;id=1026796357642&amp;categoryId=202036301")</f>
        <v>https://www.goofish.com/item?spm=a21ybx.search.searchFeedList.12.428b3984Nd7G6J&amp;id=1026796357642&amp;categoryId=202036301</v>
      </c>
    </row>
    <row r="65" ht="25.5" customHeight="1">
      <c r="A65">
        <v>1020589201410</v>
      </c>
      <c r="B65" t="inlineStr">
        <is>
          <t>【2026李林生物真题分类全刷】基础1000题+培优400题，高清PDF版
✅答案解析全，题型覆盖广，适合高三刷题备考用
✅拍下自动发百度网盘链接，秒发，随时可用！
✅虚拟商品，不退不换，资料仅供学习交流，版权归原作者所有。
需要直接拍，有问题随时私聊！
百度网盘24小时内发货。由于虚拟商品具有可复制性，一经售出，概不退换！！！
⚠【免责声明】
1.所有文件均获取自网络公开渠道，仅供学习和交流使用，所有版权归版权人所有。
2.如版权方认为侵犯了您的版权，请及时联系小店，小店将立即删除。
3.此商品售价仅是对资源查找以及整理的加工费用。
4.此商品不涉及商用，本店收集、整理的宝贝仅供欣赏、借鉴、参考、学习，否则引起的一切后果与本店无关。
5.本店所售资料均为高清文件，但扫描稍有瑕疵，放大镜勿拍。
6.打印效果受设备、纸张、墨水等客观因素影响，无法保证实际输出效果。建议打印前自行调试设备并测试样本，所有因打印产生的色差、清晰度、字体大小等问题均与本人无关，敬请知悉。
刷题神器
辅导作业神器
</t>
        </is>
      </c>
      <c r="C65" s="2" t="str">
        <f>=HYPERLINK("http://img.alicdn.com/bao/uploaded/i1/2643807270/O1CN01YFiYkC23ZiWKBYRJS_!!4611686018427382822-0-xy_item.jpg_790x10000Q90.jpg_.webp", "img.alicdn.com/bao/uploaded/i1/2643807270/O1CN01YFiYkC23ZiWKBYRJS_!!4611686018427382822-0-xy_item.jpg_790x10000Q90.jpg_.webp")</f>
        <v>img.alicdn.com/bao/uploaded/i1/2643807270/O1CN01YFiYkC23ZiWKBYRJS_!!4611686018427382822-0-xy_item.jpg_790x10000Q90.jpg_.webp</v>
      </c>
      <c r="D65" s="2" t="str">
        <f>=HYPERLINK("https://www.goofish.com/item?spm=a21ybx.search.searchFeedList.13.428b3984Nd7G6J&amp;id=1020589201410&amp;categoryId=202036301", "https://www.goofish.com/item?spm=a21ybx.search.searchFeedList.13.428b3984Nd7G6J&amp;id=1020589201410&amp;categoryId=202036301")</f>
        <v>https://www.goofish.com/item?spm=a21ybx.search.searchFeedList.13.428b3984Nd7G6J&amp;id=1020589201410&amp;categoryId=202036301</v>
      </c>
    </row>
    <row r="66" ht="25.5" customHeight="1">
      <c r="A66">
        <v>1025598218697</v>
      </c>
      <c r="B66" t="inlineStr">
        <is>
          <t>【福建事业编&amp;事业单位】真题380套（附答案和解析）
福建事业单位&amp;事业编历年职测、公基、综应等真题，包含4个资源渠道，真题共380套（不同渠道部分真题有重复），带有答案和解析
除全国联考外各资源渠道一般均无最新真题，介意者勿拍！！！
具体资料如下：
1.福建事业单位真题179套
省属、福州、龙岩、南平、宁德、莆田、泉州、三明、厦门、漳州等地市真题共179套
2.福建事业单位真题17套
公基真题14套、综应真题3套
3.福建事业单位真题27套
各地市综应、公基真题等共27套
4.全国事业单位联考ABCDE类真题157套
A类真题35套、B类真题31套、C类真题31套、D类真题31套、E类真题29套
非纸质，dian 紫板，标价直拍，一旦售出不退不换，感谢理解
✅欢迎需要的朋友自助拍下哦！
</t>
        </is>
      </c>
      <c r="C66" s="2" t="str">
        <f>=HYPERLINK("http://img.alicdn.com/bao/uploaded/i3/O1CN01nhCiYY1ucA5yhDfDQ_!!4611686018427383817-0-fleamarket.jpg_790x10000Q90.jpg_.webp", "img.alicdn.com/bao/uploaded/i3/O1CN01nhCiYY1ucA5yhDfDQ_!!4611686018427383817-0-fleamarket.jpg_790x10000Q90.jpg_.webp")</f>
        <v>img.alicdn.com/bao/uploaded/i3/O1CN01nhCiYY1ucA5yhDfDQ_!!4611686018427383817-0-fleamarket.jpg_790x10000Q90.jpg_.webp</v>
      </c>
      <c r="D66" s="2" t="str">
        <f>=HYPERLINK("https://www.goofish.com/item?spm=a21ybx.search.searchFeedList.10.428b3984Nd7G6J&amp;id=1025598218697&amp;categoryId=202036301", "https://www.goofish.com/item?spm=a21ybx.search.searchFeedList.10.428b3984Nd7G6J&amp;id=1025598218697&amp;categoryId=202036301")</f>
        <v>https://www.goofish.com/item?spm=a21ybx.search.searchFeedList.10.428b3984Nd7G6J&amp;id=1025598218697&amp;categoryId=202036301</v>
      </c>
    </row>
    <row r="67" ht="25.5" customHeight="1">
      <c r="A67">
        <v>976446450891</v>
      </c>
      <c r="B67" t="inlineStr">
        <is>
          <t>【备考2026上教资面试资料】教资面试结构化+试讲+真题+答辩高频考点全新整理
25下目前最新整理，26上免费包更新！
2026教育时政部分开始更新～
备考清单：
2025下结构化学霸笔记〔新〕➕结构化真题〔17-25上〕➕结构化8页纸➕22页结构化万能模版➕结构化六大类➕教案➕逐字稿➕学科逐字稿模板➕万能模板➕万能金句➕古文名言➕25下教育时正➕教案大全➕结构化母题88道➕100道高清考题➕冲刺试讲精选
【以上部分列举，26上新内容陆续加入…】
涵盖科目
❤学段: ✅幼儿✅小学✅初中✅高中
❤️学科：地理，化学，历史，数学，信息技术，生物，英语，语文，政治，物理，美术，体育，音乐 小学道德与法治
中职拍高中看结构化部分内容即可哦！中职结构化面试哦！！！
很多宝子都是零基础，对结构化面试不熟悉或者掌握不牢固的，直接套用模版即可！
包括：结构化、试讲稿模板、教案、答辩、真题、逐字稿…
最全面的资料包总结，无需到处去找备考资料，不懂面试流程的，不会写教案的，完全可以放心去背诵，解决教资面试所有问题一次通过面试！
标价电子版，选科目直接下单就可以啦，非质量问题售出不支持退款，感谢理解！
</t>
        </is>
      </c>
      <c r="C67" s="2" t="str">
        <f>=HYPERLINK("http://img.alicdn.com/bao/uploaded/i2/2215049913831/O1CN01o89niG1eAeSFuXUPT_!!4611686018427381223-0-xy_item.jpg_790x10000Q90.jpg_.webp", "img.alicdn.com/bao/uploaded/i2/2215049913831/O1CN01o89niG1eAeSFuXUPT_!!4611686018427381223-0-xy_item.jpg_790x10000Q90.jpg_.webp")</f>
        <v>img.alicdn.com/bao/uploaded/i2/2215049913831/O1CN01o89niG1eAeSFuXUPT_!!4611686018427381223-0-xy_item.jpg_790x10000Q90.jpg_.webp</v>
      </c>
      <c r="D67" s="2" t="str">
        <f>=HYPERLINK("https://www.goofish.com/item?spm=a21ybx.search.searchFeedList.2.428b3984Nd7G6J&amp;id=976446450891&amp;categoryId=127812005", "https://www.goofish.com/item?spm=a21ybx.search.searchFeedList.2.428b3984Nd7G6J&amp;id=976446450891&amp;categoryId=127812005")</f>
        <v>https://www.goofish.com/item?spm=a21ybx.search.searchFeedList.2.428b3984Nd7G6J&amp;id=976446450891&amp;categoryId=127812005</v>
      </c>
    </row>
    <row r="68" ht="25.5" customHeight="1">
      <c r="A68">
        <v>742412408130</v>
      </c>
      <c r="B68" t="inlineStr">
        <is>
          <t>2026年国家教师资格证考试用书，小学教资，教育教学知识与能力加综合素质教材加真题试卷。共4本。小学.综合素质，价格是一套4本的价格。两本教材，两本试卷。货量充足，需要的请直接拍
</t>
        </is>
      </c>
      <c r="C68" s="2" t="str">
        <f>=HYPERLINK("http://img.alicdn.com/bao/uploaded/i2/O1CN01Ou3vWj21q5Q3aO2C7_!!4611686018427380203-53-fleamarket.heic_790x10000Q90.jpg_.webp", "img.alicdn.com/bao/uploaded/i2/O1CN01Ou3vWj21q5Q3aO2C7_!!4611686018427380203-53-fleamarket.heic_790x10000Q90.jpg_.webp")</f>
        <v>img.alicdn.com/bao/uploaded/i2/O1CN01Ou3vWj21q5Q3aO2C7_!!4611686018427380203-53-fleamarket.heic_790x10000Q90.jpg_.webp</v>
      </c>
      <c r="D68" s="2" t="str">
        <f>=HYPERLINK("https://www.goofish.com/item?spm=a21ybx.search.searchFeedList.7.428b3984Nd7G6J&amp;id=742412408130&amp;categoryId=127812005", "https://www.goofish.com/item?spm=a21ybx.search.searchFeedList.7.428b3984Nd7G6J&amp;id=742412408130&amp;categoryId=127812005")</f>
        <v>https://www.goofish.com/item?spm=a21ybx.search.searchFeedList.7.428b3984Nd7G6J&amp;id=742412408130&amp;categoryId=127812005</v>
      </c>
    </row>
    <row r="69" ht="25.5" customHeight="1">
      <c r="A69">
        <v>981535005689</v>
      </c>
      <c r="B69" t="inlineStr">
        <is>
          <t>【自动发货】2026三大电信运营商校招备考历年真题库中国移动电信联通校园招聘
笔试历年真题库，笔记，讲义，赠性格测试。
注意：真的是2026的，包含2015-25年真题！
内容包括：知识点笔记、考试题库（考试题目80%源于题库）、历年真题、高质量模拟密卷。
包括EPI+企业文化+心理测试，EPI包含言语理解、数理运算、资料分析、逻辑判断、创新学习、行业知识。
购买须知：
- 24小时内自动发货，佰渡网盘发货
- 下单请先看最后一图，即可秒发货
- 标价即是卖价，拍下即得全部
- 资料永久有效，随时查看
- 本店不做技术指导
</t>
        </is>
      </c>
      <c r="C69" s="2" t="str">
        <f>=HYPERLINK("http://img.alicdn.com/bao/uploaded/i1/O1CN01BHwEC31bo5gdTUOut_!!4611686018427387015-0-fleamarket.jpg_790x10000Q90.jpg_.webp", "img.alicdn.com/bao/uploaded/i1/O1CN01BHwEC31bo5gdTUOut_!!4611686018427387015-0-fleamarket.jpg_790x10000Q90.jpg_.webp")</f>
        <v>img.alicdn.com/bao/uploaded/i1/O1CN01BHwEC31bo5gdTUOut_!!4611686018427387015-0-fleamarket.jpg_790x10000Q90.jpg_.webp</v>
      </c>
      <c r="D69" s="2" t="str">
        <f>=HYPERLINK("https://www.goofish.com/item?spm=a21ybx.search.searchFeedList.16.428b3984Nd7G6J&amp;id=981535005689&amp;categoryId=202036301", "https://www.goofish.com/item?spm=a21ybx.search.searchFeedList.16.428b3984Nd7G6J&amp;id=981535005689&amp;categoryId=202036301")</f>
        <v>https://www.goofish.com/item?spm=a21ybx.search.searchFeedList.16.428b3984Nd7G6J&amp;id=981535005689&amp;categoryId=202036301</v>
      </c>
    </row>
    <row r="70" ht="25.5" customHeight="1">
      <c r="A70">
        <v>891715328648</v>
      </c>
      <c r="B70" t="inlineStr">
        <is>
          <t>【江西事业编;事业单位】真题582套（附答案和解析）
江西事业单位;事业编历年职测、公基、综应等真题，包含4个资源渠道，真题共582套（不同渠道部分真题有重复），带有答案和解析
除全国联考外各资源渠道一般均无最新真题，介意者勿拍❌！
具体资料如下：
1.江西事业单位真题204套
省直、抚州、赣州、吉安、景德镇、九江、南昌、上饶、宜春等地市真题共204套
2.江西事业单位真题126套
公基真题109套、综应真题17套
3.江西事业单位真题95套
各地市职测、公基、综应真题等共95套
4.全国事业单位联考ABCDE类真题157套
A类真题35套、B类真题31套、C类真题31套、D类真题31套、E类真题29套
-----★24小时自动发货，直接拍秒发★-----
仅交流使用，不作为商业目的，展示价格并非资料价格，仅为整理费用，整理也是劳动，如有侵权，请联系客服删除。
非纸质，dian 紫板，标价就是卖价，一旦售出不退不换，感谢理解
✅欢迎需要的朋友自助下单哦！</t>
        </is>
      </c>
      <c r="C70" s="2" t="str">
        <f>=HYPERLINK("http://img.alicdn.com/bao/uploaded/i1/O1CN01RLcLaa1Pwzw6dnZz1_!!4611686018427383394-0-fleamarket.jpg_790x10000Q90.jpg_.webp", "img.alicdn.com/bao/uploaded/i1/O1CN01RLcLaa1Pwzw6dnZz1_!!4611686018427383394-0-fleamarket.jpg_790x10000Q90.jpg_.webp")</f>
        <v>img.alicdn.com/bao/uploaded/i1/O1CN01RLcLaa1Pwzw6dnZz1_!!4611686018427383394-0-fleamarket.jpg_790x10000Q90.jpg_.webp</v>
      </c>
      <c r="D70" s="2" t="str">
        <f>=HYPERLINK("https://www.goofish.com/item?spm=a21ybx.search.searchFeedList.10.428b3984Nd7G6J&amp;id=891715328648&amp;categoryId=202036301", "https://www.goofish.com/item?spm=a21ybx.search.searchFeedList.10.428b3984Nd7G6J&amp;id=891715328648&amp;categoryId=202036301")</f>
        <v>https://www.goofish.com/item?spm=a21ybx.search.searchFeedList.10.428b3984Nd7G6J&amp;id=891715328648&amp;categoryId=202036301</v>
      </c>
    </row>
    <row r="71" ht="25.5" customHeight="1">
      <c r="A71">
        <v>1011305729165</v>
      </c>
      <c r="B71" t="inlineStr">
        <is>
          <t>【2026上教资网课】幼儿/小学/初中/高中/中职全覆盖，名师课程+押题+历年真题+高清视频+电子资料，系统班全程更新，适合0基础备考，资料齐全，直接上手。
拍下秒发网盘链接，全国通用，支持多学段，内容丰富，重点笔记、真题、思维导图都有，一站式备考。
电子资料，拍下不退不换，有问题随时私聊，喜欢直接拍。
</t>
        </is>
      </c>
      <c r="C71" s="2" t="str">
        <f>=HYPERLINK("http://img.alicdn.com/bao/uploaded/i3/2221406896012/O1CN01Z8v9eP1uHYGQeRQNq_!!4611686018427387788-0-xy_item.jpg_790x10000Q90.jpg_.webp", "img.alicdn.com/bao/uploaded/i3/2221406896012/O1CN01Z8v9eP1uHYGQeRQNq_!!4611686018427387788-0-xy_item.jpg_790x10000Q90.jpg_.webp")</f>
        <v>img.alicdn.com/bao/uploaded/i3/2221406896012/O1CN01Z8v9eP1uHYGQeRQNq_!!4611686018427387788-0-xy_item.jpg_790x10000Q90.jpg_.webp</v>
      </c>
      <c r="D71" s="2" t="str">
        <f>=HYPERLINK("https://www.goofish.com/item?spm=a21ybx.search.searchFeedList.7.428b3984Nd7G6J&amp;id=1011305729165&amp;categoryId=202036301", "https://www.goofish.com/item?spm=a21ybx.search.searchFeedList.7.428b3984Nd7G6J&amp;id=1011305729165&amp;categoryId=202036301")</f>
        <v>https://www.goofish.com/item?spm=a21ybx.search.searchFeedList.7.428b3984Nd7G6J&amp;id=1011305729165&amp;categoryId=202036301</v>
      </c>
    </row>
    <row r="72" ht="25.5" customHeight="1">
      <c r="A72">
        <v>969715794966</v>
      </c>
      <c r="B72" t="inlineStr">
        <is>
          <t>【自动发货】2025材料力学考研资料，包含清风学长、孙训方、刘鸿文等多位名师讲义，启航全程班课程。百度网盘发货，资料齐全不断更。
材料力学考研必备资料，包含全程班课程、精讲班、考研真题等，内容超全！
清风学长全程班课程，系统讲解材料力学知识点
孙训方考研精讲，详细解析重点难点
刘鸿文考研精讲，配套讲义和习题
启航全程班课程，每天2-3小时学习计划
2025理论力学课程，配套讲义和习题
2025材料力学课程，配套讲义和习题
关于售后：
断更包退，拍下后链接没发出前支持无理由退款
链接发出后不支持退款，因资料具有可复制性
备注：资料都是电子版，百度网盘发货，需要的同学直接下单就行！
</t>
        </is>
      </c>
      <c r="C72" s="2" t="str">
        <f>=HYPERLINK("http://img.alicdn.com/bao/uploaded/i1/O1CN01n10ya7208Huw9p2OW_!!4611686018427387476-53-fleamarket.heic_790x10000Q90.jpg_.webp", "img.alicdn.com/bao/uploaded/i1/O1CN01n10ya7208Huw9p2OW_!!4611686018427387476-53-fleamarket.heic_790x10000Q90.jpg_.webp")</f>
        <v>img.alicdn.com/bao/uploaded/i1/O1CN01n10ya7208Huw9p2OW_!!4611686018427387476-53-fleamarket.heic_790x10000Q90.jpg_.webp</v>
      </c>
      <c r="D72" s="2" t="str">
        <f>=HYPERLINK("https://www.goofish.com/item?spm=a21ybx.search.searchFeedList.18.428b3984Nd7G6J&amp;id=969715794966&amp;categoryId=202036301", "https://www.goofish.com/item?spm=a21ybx.search.searchFeedList.18.428b3984Nd7G6J&amp;id=969715794966&amp;categoryId=202036301")</f>
        <v>https://www.goofish.com/item?spm=a21ybx.search.searchFeedList.18.428b3984Nd7G6J&amp;id=969715794966&amp;categoryId=202036301</v>
      </c>
    </row>
    <row r="73" ht="25.5" customHeight="1">
      <c r="A73">
        <v>1013212178322</v>
      </c>
      <c r="B73" t="inlineStr">
        <is>
          <t>【秒发】袋鼠数学竞赛真题
2013-2025年真题，1-12年级全等级（A-F），中英对照，答案解析全，PDF高清版，网盘秒发
资料内容：
- 2013-2025年真题合集
- 各年级A-F全覆盖
- 中英对照，答案解析详细
- PDF可打印，随打随用
等级对应年级：
✅A:1-2年级
✅B:3-4年级
✅C:5-6年级
✅D:7-8年级
✅E:9-10年级
✅F:11-12年级
适合备考袋鼠数学、系统刷题、冲高分的同学
资料持续更新，需要的直接拍，拍下自动发货，包邮
拍下不退不换
</t>
        </is>
      </c>
      <c r="C73" s="2" t="str">
        <f>=HYPERLINK("http://img.alicdn.com/bao/uploaded/i3/311719069/O1CN015gUTda2Grf2e9p4cS_!!4611686018427384989-53-xy_item.heic_790x10000Q90.jpg_.webp", "img.alicdn.com/bao/uploaded/i3/311719069/O1CN015gUTda2Grf2e9p4cS_!!4611686018427384989-53-xy_item.heic_790x10000Q90.jpg_.webp")</f>
        <v>img.alicdn.com/bao/uploaded/i3/311719069/O1CN015gUTda2Grf2e9p4cS_!!4611686018427384989-53-xy_item.heic_790x10000Q90.jpg_.webp</v>
      </c>
      <c r="D73" s="2" t="str">
        <f>=HYPERLINK("https://www.goofish.com/item?spm=a21ybx.search.searchFeedList.10.428b3984Nd7G6J&amp;id=1013212178322&amp;categoryId=202036301", "https://www.goofish.com/item?spm=a21ybx.search.searchFeedList.10.428b3984Nd7G6J&amp;id=1013212178322&amp;categoryId=202036301")</f>
        <v>https://www.goofish.com/item?spm=a21ybx.search.searchFeedList.10.428b3984Nd7G6J&amp;id=1013212178322&amp;categoryId=202036301</v>
      </c>
    </row>
    <row r="74" ht="25.5" customHeight="1">
      <c r="A74">
        <v>1018413568196</v>
      </c>
      <c r="B74" t="inlineStr">
        <is>
          <t>2026春多分培优七八九年级下册英语电子版资料
初中英语7/8/9年级下册，成都新题型专用
包含参考答案、听力材料、PPT、评讲PPT、默背清单、中考真题电子版等
每套100分+50分，分批发货，题量丰富
电子版资料，拍下秒发网盘链接，支持打印
下单即发，电子资料，不发快递
热门考试用书
</t>
        </is>
      </c>
      <c r="C74" s="2" t="str">
        <f>=HYPERLINK("http://img.alicdn.com/bao/uploaded/i2/2219357306726/O1CN01TQcMvn1zYZ3htH60S_!!4611686018427387750-53-xy_item.heic_790x10000Q90.jpg_.webp", "img.alicdn.com/bao/uploaded/i2/2219357306726/O1CN01TQcMvn1zYZ3htH60S_!!4611686018427387750-53-xy_item.heic_790x10000Q90.jpg_.webp")</f>
        <v>img.alicdn.com/bao/uploaded/i2/2219357306726/O1CN01TQcMvn1zYZ3htH60S_!!4611686018427387750-53-xy_item.heic_790x10000Q90.jpg_.webp</v>
      </c>
      <c r="D74" s="2" t="str">
        <f>=HYPERLINK("https://www.goofish.com/item?spm=a21ybx.search.searchFeedList.29.428b3984Nd7G6J&amp;id=1018413568196&amp;categoryId=202036301", "https://www.goofish.com/item?spm=a21ybx.search.searchFeedList.29.428b3984Nd7G6J&amp;id=1018413568196&amp;categoryId=202036301")</f>
        <v>https://www.goofish.com/item?spm=a21ybx.search.searchFeedList.29.428b3984Nd7G6J&amp;id=1018413568196&amp;categoryId=202036301</v>
      </c>
    </row>
    <row r="75" ht="25.5" customHeight="1">
      <c r="A75">
        <v>991166772793</v>
      </c>
      <c r="B75" t="inlineStr">
        <is>
          <t>【秒发】数学分析第五版华东师范大学高清PDF电子版课后辅导习题
《数学分析》（第五版）是华东师范大学数学系权威编著，广泛用于全国各高校数学与理工类专业，是考研和期末考试的重要参考教材。本商品包含：
教材高清电子版（上下册）
配套课后习题详解与辅导资料（张天德编写）
所有内容为无水印PDF，清晰可打印，学习无忧，内容可复制，非影印！
适用人群：高校数学专业、工科学生、考研党、数学竞赛备考者
默认百度网盘发送
小店已开通自动发货和自动免拼，24小时自动发货
</t>
        </is>
      </c>
      <c r="C75" s="2" t="str">
        <f>=HYPERLINK("http://img.alicdn.com/bao/uploaded/i4/O1CN01RSBSEJ2DiYIOUWodt_!!4611686018427383539-0-fleamarket.jpg_790x10000Q90.jpg_.webp", "img.alicdn.com/bao/uploaded/i4/O1CN01RSBSEJ2DiYIOUWodt_!!4611686018427383539-0-fleamarket.jpg_790x10000Q90.jpg_.webp")</f>
        <v>img.alicdn.com/bao/uploaded/i4/O1CN01RSBSEJ2DiYIOUWodt_!!4611686018427383539-0-fleamarket.jpg_790x10000Q90.jpg_.webp</v>
      </c>
      <c r="D75" s="2" t="str">
        <f>=HYPERLINK("https://www.goofish.com/item?spm=a21ybx.search.searchFeedList.13.428b3984Nd7G6J&amp;id=991166772793&amp;categoryId=202036301", "https://www.goofish.com/item?spm=a21ybx.search.searchFeedList.13.428b3984Nd7G6J&amp;id=991166772793&amp;categoryId=202036301")</f>
        <v>https://www.goofish.com/item?spm=a21ybx.search.searchFeedList.13.428b3984Nd7G6J&amp;id=991166772793&amp;categoryId=202036301</v>
      </c>
    </row>
    <row r="76" ht="25.5" customHeight="1">
      <c r="A76">
        <v>1025577955692</v>
      </c>
      <c r="B76" t="inlineStr">
        <is>
          <t>秒发出最新2026年导游证考试｜雷大大25网课｜三四色笔记｜历年真题｜中文英文导游词｜全套备考资料！2026导游证考试可拍！资料全！24小时自动发货！包更！包更！
标价就是全款，百度与夸克双盘发！百度主更！夸克不包更！
2026年考试的伙伴抓紧时间准备起来，后续会有雷dada押题卷与冲刺班更新！现在买超级划算！
拍下百度与夸克双盘发！笔试面试一起发，科目12345！
备考2026的小伙伴开始准备起来，选对资料轻松一半，资料都是新版，适用于考试，时政陆续更新，后面有新资料也会及时更新。
因为我也打算备考2026导游证！所以会更2026！
资料具体包括：
1.电子教材（25最新第十版）
2.四色笔记（25最新）
3.三色笔记
4.思维导图
5.历年真题（15到24年）
6.速记宝典（25年）
7.中文➕英文导游词200问都有
8.24网课➕25网课（科一到科三完结，地方已更，包持续更新！）
等等...
9.后续还赠送25年押题班及押题卷！
赠送：付费版电子PDF题库！及免费刷题app题库推荐资源！
导游词具体省份有：江苏，浙江，河北，河南，广东，广西，山西，山东，甘肃，北京，湖南，湖北，上海，江西，安徽，云南，四川，重庆，海南，福建，陕西，天津，辽宁，吉林，黑龙江，宁夏，贵州，西藏，内蒙古，青海，新疆
夸克bd双盘发货，夸克不包更，电子资料，概不退货，望伙伴们理解！
本资源是免费分享，价格为整理材料人工费用。如有侵权，联系我主动下架删除
都是电子产品，一经发货，不退不换哈，祝顺利拿下导游证！
</t>
        </is>
      </c>
      <c r="C76" s="2" t="str">
        <f>=HYPERLINK("http://img.alicdn.com/bao/uploaded/i2/3085423832/O1CN01FGPQJk1eB6qibBoJV_!!4611686018427385048-53-xy_item.heic_790x10000Q90.jpg_.webp", "img.alicdn.com/bao/uploaded/i2/3085423832/O1CN01FGPQJk1eB6qibBoJV_!!4611686018427385048-53-xy_item.heic_790x10000Q90.jpg_.webp")</f>
        <v>img.alicdn.com/bao/uploaded/i2/3085423832/O1CN01FGPQJk1eB6qibBoJV_!!4611686018427385048-53-xy_item.heic_790x10000Q90.jpg_.webp</v>
      </c>
      <c r="D76" s="2" t="str">
        <f>=HYPERLINK("https://www.goofish.com/item?spm=a21ybx.search.searchFeedList.13.428b3984Nd7G6J&amp;id=1025577955692&amp;categoryId=202036301", "https://www.goofish.com/item?spm=a21ybx.search.searchFeedList.13.428b3984Nd7G6J&amp;id=1025577955692&amp;categoryId=202036301")</f>
        <v>https://www.goofish.com/item?spm=a21ybx.search.searchFeedList.13.428b3984Nd7G6J&amp;id=1025577955692&amp;categoryId=202036301</v>
      </c>
    </row>
    <row r="77" ht="25.5" customHeight="1">
      <c r="A77">
        <v>1028942825318</v>
      </c>
      <c r="B77" t="inlineStr">
        <is>
          <t>【0.5秒发】码工程《管理学》第二版PDF+考研真题精选+章节题库+课后习题+第一版+学习指南与练习+笔记+第一版与第二版对比
pdf电子档
高清 发百度网盘 24小时自动发货
【24小时自动发货】拍下就发以下全部内容！
[1]马工程《管理学》第二版、第一版以及版本对比.pdf
[2]马工程《管理学》笔记+学习指南与练习.pdf
[3]马工程《管理学》 配套题库【考研真题精选+章节题库+课后习题】pdf
管理学教材｜管理学考研｜管理学自我提升｜管理学笔记｜管理学资料
主页还有其他资料，感兴趣可以来看看哦</t>
        </is>
      </c>
      <c r="C77" s="2" t="str">
        <f>=HYPERLINK("http://img.alicdn.com/bao/uploaded/i1/2221520183081/O1CN01jlVgCv1Yd9PAg0YX2_!!4611686018427387689-0-xy_item.jpg_790x10000Q90.jpg_.webp", "img.alicdn.com/bao/uploaded/i1/2221520183081/O1CN01jlVgCv1Yd9PAg0YX2_!!4611686018427387689-0-xy_item.jpg_790x10000Q90.jpg_.webp")</f>
        <v>img.alicdn.com/bao/uploaded/i1/2221520183081/O1CN01jlVgCv1Yd9PAg0YX2_!!4611686018427387689-0-xy_item.jpg_790x10000Q90.jpg_.webp</v>
      </c>
      <c r="D77" s="2" t="str">
        <f>=HYPERLINK("https://www.goofish.com/item?spm=a21ybx.search.searchFeedList.4.428b3984Nd7G6J&amp;id=1028942825318&amp;categoryId=202036301", "https://www.goofish.com/item?spm=a21ybx.search.searchFeedList.4.428b3984Nd7G6J&amp;id=1028942825318&amp;categoryId=202036301")</f>
        <v>https://www.goofish.com/item?spm=a21ybx.search.searchFeedList.4.428b3984Nd7G6J&amp;id=1028942825318&amp;categoryId=202036301</v>
      </c>
    </row>
    <row r="78" ht="25.5" customHeight="1">
      <c r="A78">
        <v>1020489341229</v>
      </c>
      <c r="B78" t="inlineStr">
        <is>
          <t>2026新版一飞冲天初中学业水平考查地理生物天津专用版中考会考真题模拟题试卷8八年级初二初中生地会考总复习pdf电子资料版
天津初中专用，绿本。其他省市勿拍，拍错不退。
科目：地理 生物
包括：初中学习水平考查主书及答案。
地理赠送2024-2023年部分区模拟试卷。
生物赠送2024-2021年部分区模拟试卷。
注意：无水印，A4版面，赠品试卷A4版面（赠品试卷有部分歪斜或不清楚，不要来找，如不需要请忽略)。发网盘下载链接，自己下载打印学习使用。看清楚咨询清楚再下单，不以不会下载或不能打印为理由退款。由于资料具有可复制性，发出不退不换。
#学习资料教材
</t>
        </is>
      </c>
      <c r="C78" s="2" t="str">
        <f>=HYPERLINK("http://img.alicdn.com/bao/uploaded/i1/O1CN0113N9r828M2m0tlkjb_!!4611686018427380173-0-fleamarket.jpg_790x10000Q90.jpg_.webp", "img.alicdn.com/bao/uploaded/i1/O1CN0113N9r828M2m0tlkjb_!!4611686018427380173-0-fleamarket.jpg_790x10000Q90.jpg_.webp")</f>
        <v>img.alicdn.com/bao/uploaded/i1/O1CN0113N9r828M2m0tlkjb_!!4611686018427380173-0-fleamarket.jpg_790x10000Q90.jpg_.webp</v>
      </c>
      <c r="D78" s="2" t="str">
        <f>=HYPERLINK("https://www.goofish.com/item?spm=a21ybx.search.searchFeedList.15.428b3984Nd7G6J&amp;id=1020489341229&amp;categoryId=202036301", "https://www.goofish.com/item?spm=a21ybx.search.searchFeedList.15.428b3984Nd7G6J&amp;id=1020489341229&amp;categoryId=202036301")</f>
        <v>https://www.goofish.com/item?spm=a21ybx.search.searchFeedList.15.428b3984Nd7G6J&amp;id=1020489341229&amp;categoryId=202036301</v>
      </c>
    </row>
    <row r="79" ht="25.5" customHeight="1">
      <c r="A79">
        <v>1030849630481</v>
      </c>
      <c r="B79" t="inlineStr">
        <is>
          <t>（)安徽对口单招各院校历年校考真题21-24年|||
基本涵盖安徽各地区各学校单招校考历年真题，以及校考大纲、报考指南
电子资料发货后不支持退换，感谢理解
仅交流使用，不作为商业目的，展示价格并非资料价格，仅为整理费用，整理也是劳动，如有侵权，请联系客服删除。
非纸质，dian 紫板
标价就是卖价，一旦售出不退不换，感谢理解(∗❛ั∀❛ั∗)✧*。
</t>
        </is>
      </c>
      <c r="C79" s="2" t="str">
        <f>=HYPERLINK("http://img.alicdn.com/bao/uploaded/i1/2222076276495/O1CN01TjZ0401xqlZhrTr4u_!!4611686018427383567-53-xy_item.heic_790x10000Q90.jpg_.webp", "img.alicdn.com/bao/uploaded/i1/2222076276495/O1CN01TjZ0401xqlZhrTr4u_!!4611686018427383567-53-xy_item.heic_790x10000Q90.jpg_.webp")</f>
        <v>img.alicdn.com/bao/uploaded/i1/2222076276495/O1CN01TjZ0401xqlZhrTr4u_!!4611686018427383567-53-xy_item.heic_790x10000Q90.jpg_.webp</v>
      </c>
      <c r="D79" s="2" t="str">
        <f>=HYPERLINK("https://www.goofish.com/item?spm=a21ybx.search.searchFeedList.9.428b3984Nd7G6J&amp;id=1030849630481&amp;categoryId=202036301", "https://www.goofish.com/item?spm=a21ybx.search.searchFeedList.9.428b3984Nd7G6J&amp;id=1030849630481&amp;categoryId=202036301")</f>
        <v>https://www.goofish.com/item?spm=a21ybx.search.searchFeedList.9.428b3984Nd7G6J&amp;id=1030849630481&amp;categoryId=202036301</v>
      </c>
    </row>
    <row r="80" ht="25.5" customHeight="1">
      <c r="A80">
        <v>761986280992</v>
      </c>
      <c r="B80" t="inlineStr">
        <is>
          <t>中公教资科三初高中学科知识与能力教师资格考试教材真题试卷语文
备考下半年的同学可以先购买教材，教材变化不大，可以适用于下半年。真题试卷等7月购买下半年版本公共科目会有26上半年真题。
中和中职的，需要小学幼儿园或者其它书本的可以跟我说一下。
全新正版未拆封，有课程兑换码激活课程，点击立即购买直接拍。
26个学科都有货，直接拍，发2026版本最新版。
点击立即购买往下滑选择更多科目
点击立即购买往下滑选择更多科目
点击立即购买往下滑选择更多科目
综合素质，教育知识与能力，初中数学，高中数学，初中美术，这5个科目包含2025下半年真题，目前市面上最新版
初中政治，高中政治，这2个科目包含25上下真题汇编，目前市面上最新版
初中信息技术，高中信息技术，初中音乐，高中音乐，初中历史，高中历史，这6个科目包含2025上半年真题，目前市面上最新版
高中美术，这个学科包含2024下半年真题，目前市面上最新版
其它14个学科包含2024上半年真题，目前市面上最新版
公共科目每科12套真题4套预测，学科每科10套真题4套预测
喜欢的同学可以点点关注，每月抽奖送书
最快当天发货，最迟48小时之内发货，特殊情况除外。
包邮，偏远地区不包邮，偏远地区需要发货的可以补运费。
不满意支持退换货，包售后。
【书名】学科知识与教学能力 中公教育教师资格考试研究院著 世界图书出版公司北京公司
【出版社】世界图书出版公司北京公司
【作者】中公教育教师资格考试研究院著
【ISBN编码】9787510046964</t>
        </is>
      </c>
      <c r="C80" s="2" t="str">
        <f>=HYPERLINK("http://img.alicdn.com/bao/uploaded/i3/O1CN0106fi0I1HdkRX3CCpf_!!4611686018427382557-0-fleamarket.jpg_790x10000Q90.jpg_.webp", "img.alicdn.com/bao/uploaded/i3/O1CN0106fi0I1HdkRX3CCpf_!!4611686018427382557-0-fleamarket.jpg_790x10000Q90.jpg_.webp")</f>
        <v>img.alicdn.com/bao/uploaded/i3/O1CN0106fi0I1HdkRX3CCpf_!!4611686018427382557-0-fleamarket.jpg_790x10000Q90.jpg_.webp</v>
      </c>
      <c r="D80" s="2" t="str">
        <f>=HYPERLINK("https://www.goofish.com/item?spm=a21ybx.search.searchFeedList.27.428b3984Nd7G6J&amp;id=761986280992&amp;categoryId=127812005", "https://www.goofish.com/item?spm=a21ybx.search.searchFeedList.27.428b3984Nd7G6J&amp;id=761986280992&amp;categoryId=127812005")</f>
        <v>https://www.goofish.com/item?spm=a21ybx.search.searchFeedList.27.428b3984Nd7G6J&amp;id=761986280992&amp;categoryId=127812005</v>
      </c>
    </row>
    <row r="81" ht="25.5" customHeight="1">
      <c r="A81">
        <v>903182940089</v>
      </c>
      <c r="B81" t="inlineStr">
        <is>
          <t>【秒发最新】YMO世界少年杯数学竞赛历届真题【小学奥数竞赛】【初赛+复赛+国赛，真题、答案、部分视频讲解】123456年级都有
电子资料 24H自动秒发【度盘】
部分有水印【介意勿拍！】
【内容如下】
【初赛+复赛+国赛+真题+答案+部分视频讲解】
主要是1-6年级，部分也有7-9年级【全年级都发】
[1]初赛：20-35届，有20-31届视频讲解
[2]复赛：20-35届，有20-28届视频讲解
[3]国赛：26-34届，真题
标价即卖价，直接拍即可！
1008
</t>
        </is>
      </c>
      <c r="C81" s="2" t="str">
        <f>=HYPERLINK("http://img.alicdn.com/bao/uploaded/i2/O1CN01NoJmlv1r0emm8MfKk_!!4611686018427379905-0-fleamarket.jpg_790x10000Q90.jpg_.webp", "img.alicdn.com/bao/uploaded/i2/O1CN01NoJmlv1r0emm8MfKk_!!4611686018427379905-0-fleamarket.jpg_790x10000Q90.jpg_.webp")</f>
        <v>img.alicdn.com/bao/uploaded/i2/O1CN01NoJmlv1r0emm8MfKk_!!4611686018427379905-0-fleamarket.jpg_790x10000Q90.jpg_.webp</v>
      </c>
      <c r="D81" s="2" t="str">
        <f>=HYPERLINK("https://www.goofish.com/item?spm=a21ybx.search.searchFeedList.7.428b3984Nd7G6J&amp;id=903182940089&amp;categoryId=202036301", "https://www.goofish.com/item?spm=a21ybx.search.searchFeedList.7.428b3984Nd7G6J&amp;id=903182940089&amp;categoryId=202036301")</f>
        <v>https://www.goofish.com/item?spm=a21ybx.search.searchFeedList.7.428b3984Nd7G6J&amp;id=903182940089&amp;categoryId=202036301</v>
      </c>
    </row>
    <row r="82" ht="25.5" customHeight="1">
      <c r="A82">
        <v>1012778167963</v>
      </c>
      <c r="B82" t="inlineStr">
        <is>
          <t>2026年5月软考高级 信息系统项目管理师 软考高项 软考高级信息系统项目管理师，第四版视频教程课程真题论文习题，0基础小白一套齐全，最新的网课。
[红圆][红圆][红圆]拍后先发25年课程，26开课后会再上传，每周都会有更新，需要可以直接拍，持续更新到考前。
【小店优势】:店主十年IT人，24年已考过。有经验有服务，顶级质量，顶级售后。一周更新多次，拒绝断更、滞更。花几块钱，买到万元的质量。[火][火][火]
【机勾】：25年6位老师全部更完【26年开课后免费上传】
【班次】：视频+讲义+真题+押题精讲班、精讲刷题、母题班、高频考点班、习题强化班、押题班、冲刺串讲班等
【资料包】:电子版教材、三色笔记、学霸笔记、历年真题、章节习题、思维导图、考点预测、大纲变化、记忆口诀、公式汇总、高频考点、冲刺笔记、电子题库等等！
直接拍即可，自动发货！发摆渡网盘链接！
以下只是部分展示
百度网盘发货，电子资料，概不退货，望伙伴们理解！
都是电子产品，一经发货，不退不换哈，谢谢大家的支持。</t>
        </is>
      </c>
      <c r="C82" s="2" t="str">
        <f>=HYPERLINK("http://img.alicdn.com/bao/uploaded/i4/2221520183081/O1CN011LOQ5k1Yd9OgAfZ8q_!!4611686018427387689-0-xy_item.jpg_790x10000Q90.jpg_.webp", "img.alicdn.com/bao/uploaded/i4/2221520183081/O1CN011LOQ5k1Yd9OgAfZ8q_!!4611686018427387689-0-xy_item.jpg_790x10000Q90.jpg_.webp")</f>
        <v>img.alicdn.com/bao/uploaded/i4/2221520183081/O1CN011LOQ5k1Yd9OgAfZ8q_!!4611686018427387689-0-xy_item.jpg_790x10000Q90.jpg_.webp</v>
      </c>
      <c r="D82" s="2" t="str">
        <f>=HYPERLINK("https://www.goofish.com/item?spm=a21ybx.search.searchFeedList.24.428b3984Nd7G6J&amp;id=1012778167963&amp;categoryId=202036301", "https://www.goofish.com/item?spm=a21ybx.search.searchFeedList.24.428b3984Nd7G6J&amp;id=1012778167963&amp;categoryId=202036301")</f>
        <v>https://www.goofish.com/item?spm=a21ybx.search.searchFeedList.24.428b3984Nd7G6J&amp;id=1012778167963&amp;categoryId=202036301</v>
      </c>
    </row>
    <row r="83" ht="25.5" customHeight="1">
      <c r="A83">
        <v>1003181923263</v>
      </c>
      <c r="B83" t="inlineStr">
        <is>
          <t>2026广州小升初密考MK真题分班考真题语数英，广州小升初分
班考历年真题+mk真题+电子版
小升初历年真题，语文数学英语卷试卷和答案。数学多数是奥数题。最新版2026，大众口中的88套。
试卷多为广州名校真题卷。包括：天省实验（天河省实）、育才实验学校、广大附中、执信中学、白云省实、金广实验、番禺华附等十几所学校真题。
最新版2026广东十大名校招生真题卷广州小升初语文数学英语
网盘发送，电子产品，看清楚再拍！发送后不退！
</t>
        </is>
      </c>
      <c r="C83" s="2" t="str">
        <f>=HYPERLINK("http://img.alicdn.com/bao/uploaded/i2/2220964009247/O1CN01H6pOh92IBBX4HY8Ok_!!4611686018427385119-0-xy_item.jpg_790x10000Q90.jpg_.webp", "img.alicdn.com/bao/uploaded/i2/2220964009247/O1CN01H6pOh92IBBX4HY8Ok_!!4611686018427385119-0-xy_item.jpg_790x10000Q90.jpg_.webp")</f>
        <v>img.alicdn.com/bao/uploaded/i2/2220964009247/O1CN01H6pOh92IBBX4HY8Ok_!!4611686018427385119-0-xy_item.jpg_790x10000Q90.jpg_.webp</v>
      </c>
      <c r="D83" s="2" t="str">
        <f>=HYPERLINK("https://www.goofish.com/item?spm=a21ybx.search.searchFeedList.27.428b3984Nd7G6J&amp;id=1003181923263&amp;categoryId=202036301", "https://www.goofish.com/item?spm=a21ybx.search.searchFeedList.27.428b3984Nd7G6J&amp;id=1003181923263&amp;categoryId=202036301")</f>
        <v>https://www.goofish.com/item?spm=a21ybx.search.searchFeedList.27.428b3984Nd7G6J&amp;id=1003181923263&amp;categoryId=202036301</v>
      </c>
    </row>
    <row r="84" ht="25.5" customHeight="1">
      <c r="A84">
        <v>959282821773</v>
      </c>
      <c r="B84" t="inlineStr">
        <is>
          <t>2027考研数学历年真题数学一/二/三真题pdf数学一数学二数学三高清电子版无水印文档
送考研数学公式大全 答案+解析高清无水印
标价就是售价，直接拍就可以了，历年真题到26年，高清无水印，下单秒发货
年份：1987-2026年都有
所有真题都有详细的答案和解析，26年的解析也更新了
【下单送考研数学公式大全，高分笔记，思维导图，答题卡，一起发】
✅电子资料，百度、夸克网盘链接发货
✅可直接拍，24小时自动发货
✅由于资料具有可复制性，发货后不支持退款，感谢理解与支持
</t>
        </is>
      </c>
      <c r="C84" s="2" t="str">
        <f>=HYPERLINK("http://img.alicdn.com/bao/uploaded/i1/2220368930019/O1CN01x58EdP1C0kdgjMj5X_!!4611686018427380963-53-xy_item.heic_790x10000Q90.jpg_.webp", "img.alicdn.com/bao/uploaded/i1/2220368930019/O1CN01x58EdP1C0kdgjMj5X_!!4611686018427380963-53-xy_item.heic_790x10000Q90.jpg_.webp")</f>
        <v>img.alicdn.com/bao/uploaded/i1/2220368930019/O1CN01x58EdP1C0kdgjMj5X_!!4611686018427380963-53-xy_item.heic_790x10000Q90.jpg_.webp</v>
      </c>
      <c r="D84" s="2" t="str">
        <f>=HYPERLINK("https://www.goofish.com/item?spm=a21ybx.search.searchFeedList.6.428b3984Nd7G6J&amp;id=959282821773&amp;categoryId=202036301", "https://www.goofish.com/item?spm=a21ybx.search.searchFeedList.6.428b3984Nd7G6J&amp;id=959282821773&amp;categoryId=202036301")</f>
        <v>https://www.goofish.com/item?spm=a21ybx.search.searchFeedList.6.428b3984Nd7G6J&amp;id=959282821773&amp;categoryId=202036301</v>
      </c>
    </row>
    <row r="85" ht="25.5" customHeight="1">
      <c r="A85">
        <v>922463294585</v>
      </c>
      <c r="B85" t="inlineStr">
        <is>
          <t>近九年（2016—2025年）江苏省职教高考文化课语数外真题（含答案）无水印可直接打印
---★24小时自动发，直接拍★---
非纸质，垫子版，标价即卖价，一旦售出不退不换，感谢理解。✓欢迎需要的朋友自助哦！
​</t>
        </is>
      </c>
      <c r="C85" s="2" t="str">
        <f>=HYPERLINK("http://img.alicdn.com/bao/uploaded/i1/O1CN01EKHZRC1OxcsqZcakb_!!4611686018427386780-0-fleamarket.jpg_790x10000Q90.jpg_.webp", "img.alicdn.com/bao/uploaded/i1/O1CN01EKHZRC1OxcsqZcakb_!!4611686018427386780-0-fleamarket.jpg_790x10000Q90.jpg_.webp")</f>
        <v>img.alicdn.com/bao/uploaded/i1/O1CN01EKHZRC1OxcsqZcakb_!!4611686018427386780-0-fleamarket.jpg_790x10000Q90.jpg_.webp</v>
      </c>
      <c r="D85" s="2" t="str">
        <f>=HYPERLINK("https://www.goofish.com/item?spm=a21ybx.search.searchFeedList.11.428b3984Nd7G6J&amp;id=922463294585&amp;categoryId=202036301", "https://www.goofish.com/item?spm=a21ybx.search.searchFeedList.11.428b3984Nd7G6J&amp;id=922463294585&amp;categoryId=202036301")</f>
        <v>https://www.goofish.com/item?spm=a21ybx.search.searchFeedList.11.428b3984Nd7G6J&amp;id=922463294585&amp;categoryId=202036301</v>
      </c>
    </row>
    <row r="86" ht="25.5" customHeight="1">
      <c r="A86">
        <v>936367057724</v>
      </c>
      <c r="B86" t="inlineStr">
        <is>
          <t>【秒发】25天津历年中考真题试卷电子版真题试卷英语语文数学物理化学备考
电子资料 24H自动秒发【度盘】
具体年份可以参考第二张图
拍下发全部9科，内容包含：空白卷+解析卷，都有答案，Word版可编辑，打印
【注意】部分未公布的试卷没有，年份较远的没有解析卷【介意勿拍】
标价即卖价，直接拍即可
1010
</t>
        </is>
      </c>
      <c r="C86" s="2" t="str">
        <f>=HYPERLINK("http://img.alicdn.com/bao/uploaded/i2/O1CN01pARw7g1r0emnG6Vtr_!!4611686018427379905-0-fleamarket.jpg_790x10000Q90.jpg_.webp", "img.alicdn.com/bao/uploaded/i2/O1CN01pARw7g1r0emnG6Vtr_!!4611686018427379905-0-fleamarket.jpg_790x10000Q90.jpg_.webp")</f>
        <v>img.alicdn.com/bao/uploaded/i2/O1CN01pARw7g1r0emnG6Vtr_!!4611686018427379905-0-fleamarket.jpg_790x10000Q90.jpg_.webp</v>
      </c>
      <c r="D86" s="2" t="str">
        <f>=HYPERLINK("https://www.goofish.com/item?spm=a21ybx.search.searchFeedList.7.428b3984Nd7G6J&amp;id=936367057724&amp;categoryId=202036301", "https://www.goofish.com/item?spm=a21ybx.search.searchFeedList.7.428b3984Nd7G6J&amp;id=936367057724&amp;categoryId=202036301")</f>
        <v>https://www.goofish.com/item?spm=a21ybx.search.searchFeedList.7.428b3984Nd7G6J&amp;id=936367057724&amp;categoryId=202036301</v>
      </c>
    </row>
    <row r="87" ht="25.5" customHeight="1">
      <c r="A87">
        <v>1018883750102</v>
      </c>
      <c r="B87" t="inlineStr">
        <is>
          <t>广州中考真题合集（2008-2025）全套科目高清无水印PDF
包含数学、物理、化学、政治、历史、英语、语文7个科目
2025年最新真题已更新！
高清无水印，可打印，可编辑
每个科目都有原卷版和解析版，方便学习和研究
百度网盘发货
【❤❤❤自动发货 ，标价就是卖价哦 ，需要直接拍 ，24小时秒发网盘链接】
</t>
        </is>
      </c>
      <c r="C87" s="2" t="str">
        <f>=HYPERLINK("http://img.alicdn.com/bao/uploaded/i1/O1CN01c3IR0v2Bc1RIle1Y2_!!4611686018427386982-0-fleamarket.jpg_790x10000Q90.jpg_.webp", "img.alicdn.com/bao/uploaded/i1/O1CN01c3IR0v2Bc1RIle1Y2_!!4611686018427386982-0-fleamarket.jpg_790x10000Q90.jpg_.webp")</f>
        <v>img.alicdn.com/bao/uploaded/i1/O1CN01c3IR0v2Bc1RIle1Y2_!!4611686018427386982-0-fleamarket.jpg_790x10000Q90.jpg_.webp</v>
      </c>
      <c r="D87" s="2" t="str">
        <f>=HYPERLINK("https://www.goofish.com/item?spm=a21ybx.search.searchFeedList.25.428b3984Nd7G6J&amp;id=1018883750102&amp;categoryId=202036301", "https://www.goofish.com/item?spm=a21ybx.search.searchFeedList.25.428b3984Nd7G6J&amp;id=1018883750102&amp;categoryId=202036301")</f>
        <v>https://www.goofish.com/item?spm=a21ybx.search.searchFeedList.25.428b3984Nd7G6J&amp;id=1018883750102&amp;categoryId=202036301</v>
      </c>
    </row>
    <row r="88" ht="25.5" customHeight="1">
      <c r="A88">
        <v>1017836367647</v>
      </c>
      <c r="B88" t="inlineStr">
        <is>
          <t>【秒发货】2026临床执业医师真题电子版历年笔试题资格考试pdf2020-2025年含答案解析
直接拍就行，秒发，bai度网盘发，描述的都有
本产品是【临床执业医师真题+答案解析】
真题年份：2020-2025年，答案和题目小雅也帮大家分开了，方便做题
认准小雅资料，只有我这里更新了25年的真题，解析也很详细，临床执业医师真题的四个单元也都有
小雅复习建议：临床执业医师的真题是一定要去认准做的，小雅作为过来人，深知医学类真题的含金量，所以给大家整理了近6年的真题，大家都要认认真真的去做一遍。
直接拍就行，秒发，电子版整理不易，发出不退换，希望理解，记得给个好凭哦
</t>
        </is>
      </c>
      <c r="C88" s="2" t="str">
        <f>=HYPERLINK("http://img.alicdn.com/bao/uploaded/i4/O1CN01Tzraky1Rcxvi8uROY_!!4611686018427380133-0-fleamarket.jpg_790x10000Q90.jpg_.webp", "img.alicdn.com/bao/uploaded/i4/O1CN01Tzraky1Rcxvi8uROY_!!4611686018427380133-0-fleamarket.jpg_790x10000Q90.jpg_.webp")</f>
        <v>img.alicdn.com/bao/uploaded/i4/O1CN01Tzraky1Rcxvi8uROY_!!4611686018427380133-0-fleamarket.jpg_790x10000Q90.jpg_.webp</v>
      </c>
      <c r="D88" s="2" t="str">
        <f>=HYPERLINK("https://www.goofish.com/item?spm=a21ybx.search.searchFeedList.24.428b3984Nd7G6J&amp;id=1017836367647&amp;categoryId=202036301", "https://www.goofish.com/item?spm=a21ybx.search.searchFeedList.24.428b3984Nd7G6J&amp;id=1017836367647&amp;categoryId=202036301")</f>
        <v>https://www.goofish.com/item?spm=a21ybx.search.searchFeedList.24.428b3984Nd7G6J&amp;id=1017836367647&amp;categoryId=202036301</v>
      </c>
    </row>
    <row r="89" ht="25.5" customHeight="1">
      <c r="A89">
        <v>1027363230111</v>
      </c>
      <c r="B89" t="inlineStr">
        <is>
          <t>2026春！天津专版真题圈试卷小学初中三四五六七八年级下册电子版
2026春天津真题圈小学345678年级下册语文数学英语人教
科目介绍：
✅语文：3456年级下册
✅数学：3456年级下册
✅英语人教精通：3456年级下册（无听力）
2026春八下语文 数学 英语（无听力） 物理
2026春七下语文 数学 英语（无听力）
✅【购前须知】
✅可自行打印资料。资料为电紫版资料，介意勿拍！发货后不能退换请谅解
✅标价为单本的价格。
✅小店24小时营业，24小时自动发货，以度盘链接的形式发送
✅标注价格并非姿料价值，而是整理姿料辛苦费用和网盘费用
免责声明:本材料不作为商业目的，仅交流使用，价格展示并非课程价值，而且整理资料辛苦费，如有侵权，联系客服删除即可
</t>
        </is>
      </c>
      <c r="C89" s="2" t="str">
        <f>=HYPERLINK("http://img.alicdn.com/bao/uploaded/i2/O1CN01tCmInu1aiJ61ziMPT_!!4611686018427381763-0-fleamarket.jpg_790x10000Q90.jpg_.webp", "img.alicdn.com/bao/uploaded/i2/O1CN01tCmInu1aiJ61ziMPT_!!4611686018427381763-0-fleamarket.jpg_790x10000Q90.jpg_.webp")</f>
        <v>img.alicdn.com/bao/uploaded/i2/O1CN01tCmInu1aiJ61ziMPT_!!4611686018427381763-0-fleamarket.jpg_790x10000Q90.jpg_.webp</v>
      </c>
      <c r="D89" s="2" t="str">
        <f>=HYPERLINK("https://www.goofish.com/item?spm=a21ybx.search.searchFeedList.2.428b3984Nd7G6J&amp;id=1027363230111&amp;categoryId=202036301", "https://www.goofish.com/item?spm=a21ybx.search.searchFeedList.2.428b3984Nd7G6J&amp;id=1027363230111&amp;categoryId=202036301")</f>
        <v>https://www.goofish.com/item?spm=a21ybx.search.searchFeedList.2.428b3984Nd7G6J&amp;id=1027363230111&amp;categoryId=202036301</v>
      </c>
    </row>
    <row r="90" ht="25.5" customHeight="1">
      <c r="A90">
        <v>1029474773025</v>
      </c>
      <c r="B90" t="inlineStr">
        <is>
          <t>2026年注安管理赵春晓精讲班网课，赵春晓2026注安管理，2026中级注册安全工程师管理赵春晓教材精讲班课程课件网络资料，26注安管理赵春晓视频讲义，中级注安课程2026，注安师备考2026
主讲老师：赵春晓
课程内容：教材精讲班（视频➕讲义）持续更新中！
包精讲班课程更新完毕，直接拍就可以
电子资料，网盘链接发货，且由于电子资料可复制性，一经发货，概不退换，看清下单
#2026注安网课#注安管理赵春晓
</t>
        </is>
      </c>
      <c r="C90" s="2" t="str">
        <f>=HYPERLINK("http://img.alicdn.com/bao/uploaded/i3/4006867642/O1CN01d8OyyM26K5rSsSK9d_!!4611686018427384506-53-xy_item.heic_790x10000Q90.jpg_.webp", "img.alicdn.com/bao/uploaded/i3/4006867642/O1CN01d8OyyM26K5rSsSK9d_!!4611686018427384506-53-xy_item.heic_790x10000Q90.jpg_.webp")</f>
        <v>img.alicdn.com/bao/uploaded/i3/4006867642/O1CN01d8OyyM26K5rSsSK9d_!!4611686018427384506-53-xy_item.heic_790x10000Q90.jpg_.webp</v>
      </c>
      <c r="D90" s="2" t="str">
        <f>=HYPERLINK("https://www.goofish.com/item?spm=a21ybx.search.searchFeedList.19.428b3984Nd7G6J&amp;id=1029474773025&amp;categoryId=202036301", "https://www.goofish.com/item?spm=a21ybx.search.searchFeedList.19.428b3984Nd7G6J&amp;id=1029474773025&amp;categoryId=202036301")</f>
        <v>https://www.goofish.com/item?spm=a21ybx.search.searchFeedList.19.428b3984Nd7G6J&amp;id=1029474773025&amp;categoryId=202036301</v>
      </c>
    </row>
    <row r="91" ht="25.5" customHeight="1">
      <c r="A91">
        <v>1030794700185</v>
      </c>
      <c r="B91" t="inlineStr">
        <is>
          <t>27考研英语柴荣全程班赠送26
[钉子]英语一/英语二通用，持续更新到考前！百度+夸克双发，不加密，24小时自动秒发，拍下立马发链接，随时学！
[钉子]资料全新整理，词汇、语法、长难句、小三门、翻译、写作全都有，基础班、强化班、冲刺班全覆盖，内容超全，适合全程备考。
[钉子]赠送2026考研英语柴荣全程班，再赠送往年考研真题[火]，性价比拉满[火]！
[火]虚拟资料，拍下自动发网盘链接，手机电脑都能看，随时复习，不用等，买了就能学！
[号外]断更立马退，售后无忧，资料持续更新，买一次管全程，省心省力！
#考研上岸冲刺资料
有问题随时私聊，喜欢直接拍！</t>
        </is>
      </c>
      <c r="C91" s="2" t="str">
        <f>=HYPERLINK("http://img.alicdn.com/bao/uploaded/i1/2222108200476/O1CN01p10Q6e1FO3ects8nl_!!4611686018427383324-0-xy_item.jpg_790x10000Q90.jpg_.webp", "img.alicdn.com/bao/uploaded/i1/2222108200476/O1CN01p10Q6e1FO3ects8nl_!!4611686018427383324-0-xy_item.jpg_790x10000Q90.jpg_.webp")</f>
        <v>img.alicdn.com/bao/uploaded/i1/2222108200476/O1CN01p10Q6e1FO3ects8nl_!!4611686018427383324-0-xy_item.jpg_790x10000Q90.jpg_.webp</v>
      </c>
      <c r="D91" s="2" t="str">
        <f>=HYPERLINK("https://www.goofish.com/item?spm=a21ybx.search.searchFeedList.24.428b3984Nd7G6J&amp;id=1030794700185&amp;categoryId=202036301", "https://www.goofish.com/item?spm=a21ybx.search.searchFeedList.24.428b3984Nd7G6J&amp;id=1030794700185&amp;categoryId=202036301")</f>
        <v>https://www.goofish.com/item?spm=a21ybx.search.searchFeedList.24.428b3984Nd7G6J&amp;id=1030794700185&amp;categoryId=202036301</v>
      </c>
    </row>
    <row r="92" ht="25.5" customHeight="1">
      <c r="A92">
        <v>1013492685032</v>
      </c>
      <c r="B92" t="inlineStr">
        <is>
          <t>2016-2024专升本生理学和解剖学真题河北专升本
2016-2024年河北专升本生理学和解剖学真题+答案，PDF和Word都有，查找方便，直接发网盘链接
适合备考专升本的同学，刷题复习用
非纸质，电zi版，bd网盘发，标价就是整理费，直拍直发，一旦售出不退不换，感谢理解
✅欢迎需要的朋友自助拍下哦！</t>
        </is>
      </c>
      <c r="C92" s="2" t="str">
        <f>=HYPERLINK("http://img.alicdn.com/bao/uploaded/i2/O1CN01xYGZmy2HZd3nskJI8_!!4611686018427381677-0-fleamarket.jpg_790x10000Q90.jpg_.webp", "img.alicdn.com/bao/uploaded/i2/O1CN01xYGZmy2HZd3nskJI8_!!4611686018427381677-0-fleamarket.jpg_790x10000Q90.jpg_.webp")</f>
        <v>img.alicdn.com/bao/uploaded/i2/O1CN01xYGZmy2HZd3nskJI8_!!4611686018427381677-0-fleamarket.jpg_790x10000Q90.jpg_.webp</v>
      </c>
      <c r="D92" s="2" t="str">
        <f>=HYPERLINK("https://www.goofish.com/item?spm=a21ybx.search.searchFeedList.28.428b3984Nd7G6J&amp;id=1013492685032&amp;categoryId=202036301", "https://www.goofish.com/item?spm=a21ybx.search.searchFeedList.28.428b3984Nd7G6J&amp;id=1013492685032&amp;categoryId=202036301")</f>
        <v>https://www.goofish.com/item?spm=a21ybx.search.searchFeedList.28.428b3984Nd7G6J&amp;id=1013492685032&amp;categoryId=202036301</v>
      </c>
    </row>
    <row r="93" ht="25.5" customHeight="1">
      <c r="A93">
        <v>1025047087378</v>
      </c>
      <c r="B93" t="inlineStr">
        <is>
          <t>2026上海中考英语一模真题汇编，电子版word可编辑，题型
非纸质，电zi版，网盘发，标价就是汇编费用，直拍自动发，一旦发出不退不换，感谢理解</t>
        </is>
      </c>
      <c r="C93" s="2" t="str">
        <f>=HYPERLINK("http://img.alicdn.com/bao/uploaded/i1/O1CN01oNxKsV2JR2sPCWMHN_!!4611686018427387801-0-fleamarket.jpg_790x10000Q90.jpg_.webp", "img.alicdn.com/bao/uploaded/i1/O1CN01oNxKsV2JR2sPCWMHN_!!4611686018427387801-0-fleamarket.jpg_790x10000Q90.jpg_.webp")</f>
        <v>img.alicdn.com/bao/uploaded/i1/O1CN01oNxKsV2JR2sPCWMHN_!!4611686018427387801-0-fleamarket.jpg_790x10000Q90.jpg_.webp</v>
      </c>
      <c r="D93" s="2" t="str">
        <f>=HYPERLINK("https://www.goofish.com/item?spm=a21ybx.search.searchFeedList.21.428b3984Nd7G6J&amp;id=1025047087378&amp;categoryId=202036301", "https://www.goofish.com/item?spm=a21ybx.search.searchFeedList.21.428b3984Nd7G6J&amp;id=1025047087378&amp;categoryId=202036301")</f>
        <v>https://www.goofish.com/item?spm=a21ybx.search.searchFeedList.21.428b3984Nd7G6J&amp;id=1025047087378&amp;categoryId=202036301</v>
      </c>
    </row>
    <row r="94" ht="25.5" customHeight="1">
      <c r="A94">
        <v>986568965626</v>
      </c>
      <c r="B94" t="inlineStr">
        <is>
          <t>(秒发）26包钢集团笔试题库考试
包含17-25往年真题、模块练习、预测等等需要可以直接拍
发bai度盘
</t>
        </is>
      </c>
      <c r="C94" s="2" t="str">
        <f>=HYPERLINK("http://img.alicdn.com/bao/uploaded/i3/O1CN01F8Wh8e1mdWJfV9Loz_!!4611686018427382401-0-fleamarket.jpg_790x10000Q90.jpg_.webp", "img.alicdn.com/bao/uploaded/i3/O1CN01F8Wh8e1mdWJfV9Loz_!!4611686018427382401-0-fleamarket.jpg_790x10000Q90.jpg_.webp")</f>
        <v>img.alicdn.com/bao/uploaded/i3/O1CN01F8Wh8e1mdWJfV9Loz_!!4611686018427382401-0-fleamarket.jpg_790x10000Q90.jpg_.webp</v>
      </c>
      <c r="D94" s="2" t="str">
        <f>=HYPERLINK("https://www.goofish.com/item?spm=a21ybx.search.searchFeedList.2.428b3984Nd7G6J&amp;id=986568965626&amp;categoryId=202036301", "https://www.goofish.com/item?spm=a21ybx.search.searchFeedList.2.428b3984Nd7G6J&amp;id=986568965626&amp;categoryId=202036301")</f>
        <v>https://www.goofish.com/item?spm=a21ybx.search.searchFeedList.2.428b3984Nd7G6J&amp;id=986568965626&amp;categoryId=202036301</v>
      </c>
    </row>
    <row r="95" ht="25.5" customHeight="1">
      <c r="A95">
        <v>990592011649</v>
      </c>
      <c r="B95" t="inlineStr">
        <is>
          <t>2026考研全套资料，包含政治/数学/英语（全机构）专业课（全机构）！
全新2026版本，夸克网盘24小时自动发货⚡️⚡️⚡️
拍了直接发全部科目，此价格不为挣米，就只为帮助各位同学成功上岸
内容超全：
政治+数学+英语+专业课全套课程
公共课包含：英语，数学，政治
专业课包含：1.管综 2.西医 3.教育学
4.马克思主义 5.信号与系统 6.经综
7.统计 8.护理综合 9.中医综合 10.计算机 11.经济学 12.金融 13.法硕 14.历史学
15.心理学 16.汉语硕士 17.材料理论结构 18.翻译硕士 19.机械原理设计高端班
20.药学综合高 21.公共卫生 22.农学
23.音乐，美术，艺术 24.电路
25.社会工作 26.口腔 27.体育
28.传热学流体 29.日语公共
30.自动控制原理 31.数字经济
32.物理化学 33.资产评估 34.新闻传播
35.国际商务 36.保险专硕 37.税务专硕 38.自动化 39.电子电力 40.数电模电
41.高代数分 42.工业设计 43.电器电分
持续更新到考试结束，包含高清视频课程、讲义资料等全套课程！
百度+夸克双网盘24小时自动发货，拍下即可获得链接！
手机电脑平板都能用，网盘实时更新最新资料！
免费赠送2025年全部课程，超值优惠！
虚拟资料，拍下不退不换，介意勿拍！
需要直接拍，点"我想要"聊聊吧~
学习资料教材 笔记学习资料
学习资料教材 笔记学习资料
学习资料教材 笔记学习资料
#考研双肩包 #考研冲刺 #考研上岸冲刺资料</t>
        </is>
      </c>
      <c r="C95" s="2" t="str">
        <f>=HYPERLINK("http://img.alicdn.com/bao/uploaded/i2/2220951063097/O1CN01qAMgyF1YkTiYYcmSI_!!4611686018427382329-53-xy_item.heic_790x10000Q90.jpg_.webp", "img.alicdn.com/bao/uploaded/i2/2220951063097/O1CN01qAMgyF1YkTiYYcmSI_!!4611686018427382329-53-xy_item.heic_790x10000Q90.jpg_.webp")</f>
        <v>img.alicdn.com/bao/uploaded/i2/2220951063097/O1CN01qAMgyF1YkTiYYcmSI_!!4611686018427382329-53-xy_item.heic_790x10000Q90.jpg_.webp</v>
      </c>
      <c r="D95" s="2" t="str">
        <f>=HYPERLINK("https://www.goofish.com/item?spm=a21ybx.search.searchFeedList.20.428b3984Nd7G6J&amp;id=990592011649&amp;categoryId=202036301", "https://www.goofish.com/item?spm=a21ybx.search.searchFeedList.20.428b3984Nd7G6J&amp;id=990592011649&amp;categoryId=202036301")</f>
        <v>https://www.goofish.com/item?spm=a21ybx.search.searchFeedList.20.428b3984Nd7G6J&amp;id=990592011649&amp;categoryId=202036301</v>
      </c>
    </row>
    <row r="96" ht="25.5" customHeight="1">
      <c r="A96">
        <v>1031086804910</v>
      </c>
      <c r="B96" t="inlineStr">
        <is>
          <t>南中地2026届二轮复习
【自动发货】2025-2026高三资料合集，网盘电子版，秒发链接！
✔️内容齐全：高考真题解析、试评讲评、南中地2026届一轮二轮复习、艺体生高考复习、领航课、研究课、名师课等，分类清晰，查找方便，适合高三备考、艺体生冲刺、老师备课用。
资料整理好直接发，手机电脑都能看，随时下载，学习无忧！
虚拟商品，拍下自动发货，不退不换。需要详细目录或有问题随时私聊，喜欢直接拍～
</t>
        </is>
      </c>
      <c r="C96" s="2" t="str">
        <f>=HYPERLINK("http://img.alicdn.com/bao/uploaded/i4/O1CN01K78UvK1Bsxv2v5WNJ_!!4611686018427385794-0-fleamarket.jpg_790x10000Q90.jpg_.webp", "img.alicdn.com/bao/uploaded/i4/O1CN01K78UvK1Bsxv2v5WNJ_!!4611686018427385794-0-fleamarket.jpg_790x10000Q90.jpg_.webp")</f>
        <v>img.alicdn.com/bao/uploaded/i4/O1CN01K78UvK1Bsxv2v5WNJ_!!4611686018427385794-0-fleamarket.jpg_790x10000Q90.jpg_.webp</v>
      </c>
      <c r="D96" s="2" t="str">
        <f>=HYPERLINK("https://www.goofish.com/item?spm=a21ybx.search.searchFeedList.5.428b3984Nd7G6J&amp;id=1031086804910&amp;categoryId=202036301", "https://www.goofish.com/item?spm=a21ybx.search.searchFeedList.5.428b3984Nd7G6J&amp;id=1031086804910&amp;categoryId=202036301")</f>
        <v>https://www.goofish.com/item?spm=a21ybx.search.searchFeedList.5.428b3984Nd7G6J&amp;id=1031086804910&amp;categoryId=202036301</v>
      </c>
    </row>
    <row r="97" ht="25.5" customHeight="1">
      <c r="A97">
        <v>751584904974</v>
      </c>
      <c r="B97" t="inlineStr">
        <is>
          <t>2026年昭昭随堂手绘笔记，临床执业及助理医师资格考试专用教材！
- 13个系统知识点，影像记忆，原版彩色印刷，质量绝绝子！
- 笔试重难点全覆盖，精选真题解析，题眼狂背，适合最后20天冲刺！
- 数量充足，直接拍即可，新疆西藏不包邮哦~
- 成色：全新，一本29元包邮，偏远地区除外。
有兴趣的朋友可以点我想要咨询哦！
</t>
        </is>
      </c>
      <c r="C97" s="2" t="str">
        <f>=HYPERLINK("http://img.alicdn.com/bao/uploaded/i2/2207750042417/O1CN01wlo6Ea1Tj2PHHACBr_!!4611686018427384625-53-xy_item.heic_790x10000Q90.jpg_.webp", "img.alicdn.com/bao/uploaded/i2/2207750042417/O1CN01wlo6Ea1Tj2PHHACBr_!!4611686018427384625-53-xy_item.heic_790x10000Q90.jpg_.webp")</f>
        <v>img.alicdn.com/bao/uploaded/i2/2207750042417/O1CN01wlo6Ea1Tj2PHHACBr_!!4611686018427384625-53-xy_item.heic_790x10000Q90.jpg_.webp</v>
      </c>
      <c r="D97" s="2" t="str">
        <f>=HYPERLINK("https://www.goofish.com/item?spm=a21ybx.search.searchFeedList.19.428b3984Nd7G6J&amp;id=751584904974&amp;categoryId=127812005", "https://www.goofish.com/item?spm=a21ybx.search.searchFeedList.19.428b3984Nd7G6J&amp;id=751584904974&amp;categoryId=127812005")</f>
        <v>https://www.goofish.com/item?spm=a21ybx.search.searchFeedList.19.428b3984Nd7G6J&amp;id=751584904974&amp;categoryId=127812005</v>
      </c>
    </row>
    <row r="98" ht="25.5" customHeight="1">
      <c r="A98">
        <v>986387856741</v>
      </c>
      <c r="B98" t="inlineStr">
        <is>
          <t>我是瑞斯拜考研英语一、二词汇、作文、阅读讲义+模板，电子版PDF格式。百度网盘发货
包含50篇外刊、100天词汇课、40篇真题、小作文大作文模板，让你备考更轻松！不支持7天无理由退货。
感兴趣的朋友可以点"我想要"聊聊吧～
</t>
        </is>
      </c>
      <c r="C98" s="2" t="str">
        <f>=HYPERLINK("http://img.alicdn.com/bao/uploaded/i4/O1CN011P3bYK1YvTDZnhUfE_!!4611686018427382529-0-fleamarket.jpg_790x10000Q90.jpg_.webp", "img.alicdn.com/bao/uploaded/i4/O1CN011P3bYK1YvTDZnhUfE_!!4611686018427382529-0-fleamarket.jpg_790x10000Q90.jpg_.webp")</f>
        <v>img.alicdn.com/bao/uploaded/i4/O1CN011P3bYK1YvTDZnhUfE_!!4611686018427382529-0-fleamarket.jpg_790x10000Q90.jpg_.webp</v>
      </c>
      <c r="D98" s="2" t="str">
        <f>=HYPERLINK("https://www.goofish.com/item?spm=a21ybx.search.searchFeedList.11.428b3984Nd7G6J&amp;id=986387856741&amp;categoryId=202036301", "https://www.goofish.com/item?spm=a21ybx.search.searchFeedList.11.428b3984Nd7G6J&amp;id=986387856741&amp;categoryId=202036301")</f>
        <v>https://www.goofish.com/item?spm=a21ybx.search.searchFeedList.11.428b3984Nd7G6J&amp;id=986387856741&amp;categoryId=202036301</v>
      </c>
    </row>
    <row r="99" ht="25.5" customHeight="1">
      <c r="A99">
        <v>910618955333</v>
      </c>
      <c r="B99" t="inlineStr">
        <is>
          <t>2025年北京历年高考真题试卷试题电子版英语文数学物理化学历史生物地理政各科word版
【秒发】佰度+挎克䋞盘-自动发货！
北京高考2008-2025真题卷。Word电子版，高清无水印，可编辑、下载、打印。所有试卷有空白原卷+解析卷，含答案、详细解析！英语2008-2017含听力音频，18-2025机考无音频。
免费更新2026真题。
收货自动送：九科全彩学霸笔记，2025高考前蕞后一課、知识点、知识手册等
语文 2008-2025
数学 2008-2025
英语 2008-2025
物理 2008-2025
生物 2008-2025
化学 2008-2025
政zhi 2008-2025
历史 2008-2025
地理 2008-2025
</t>
        </is>
      </c>
      <c r="C99" s="2" t="str">
        <f>=HYPERLINK("http://img.alicdn.com/bao/uploaded/i2/O1CN019qW9dc1zbJOJK34zg_!!4611686018427384060-0-fleamarket.jpg_790x10000Q90.jpg_.webp", "img.alicdn.com/bao/uploaded/i2/O1CN019qW9dc1zbJOJK34zg_!!4611686018427384060-0-fleamarket.jpg_790x10000Q90.jpg_.webp")</f>
        <v>img.alicdn.com/bao/uploaded/i2/O1CN019qW9dc1zbJOJK34zg_!!4611686018427384060-0-fleamarket.jpg_790x10000Q90.jpg_.webp</v>
      </c>
      <c r="D99" s="2" t="str">
        <f>=HYPERLINK("https://www.goofish.com/item?spm=a21ybx.search.searchFeedList.13.428b3984Nd7G6J&amp;id=910618955333&amp;categoryId=202036301", "https://www.goofish.com/item?spm=a21ybx.search.searchFeedList.13.428b3984Nd7G6J&amp;id=910618955333&amp;categoryId=202036301")</f>
        <v>https://www.goofish.com/item?spm=a21ybx.search.searchFeedList.13.428b3984Nd7G6J&amp;id=910618955333&amp;categoryId=202036301</v>
      </c>
    </row>
    <row r="100" ht="25.5" customHeight="1">
      <c r="A100">
        <v>918944617031</v>
      </c>
      <c r="B100" t="inlineStr">
        <is>
          <t>【秒发】同等学力申硕英语真题试卷及解析PDF版 可以打印 答案+详解
电子资料，24H自动秒发【度盘】
2010～2025真题+答案+解析
24有水印 【介意勿拍】
标价即卖价，直接拍即可
430
</t>
        </is>
      </c>
      <c r="C100" s="2" t="str">
        <f>=HYPERLINK("http://img.alicdn.com/bao/uploaded/i2/O1CN01qs5imr1OlGG1R72Zt_!!4611686018427385713-0-fleamarket.jpg_790x10000Q90.jpg_.webp", "img.alicdn.com/bao/uploaded/i2/O1CN01qs5imr1OlGG1R72Zt_!!4611686018427385713-0-fleamarket.jpg_790x10000Q90.jpg_.webp")</f>
        <v>img.alicdn.com/bao/uploaded/i2/O1CN01qs5imr1OlGG1R72Zt_!!4611686018427385713-0-fleamarket.jpg_790x10000Q90.jpg_.webp</v>
      </c>
      <c r="D100" s="2" t="str">
        <f>=HYPERLINK("https://www.goofish.com/item?spm=a21ybx.search.searchFeedList.4.428b3984Nd7G6J&amp;id=918944617031&amp;categoryId=202036301", "https://www.goofish.com/item?spm=a21ybx.search.searchFeedList.4.428b3984Nd7G6J&amp;id=918944617031&amp;categoryId=202036301")</f>
        <v>https://www.goofish.com/item?spm=a21ybx.search.searchFeedList.4.428b3984Nd7G6J&amp;id=918944617031&amp;categoryId=202036301</v>
      </c>
    </row>
    <row r="101" ht="25.5" customHeight="1">
      <c r="A101">
        <v>909995179314</v>
      </c>
      <c r="B101" t="inlineStr">
        <is>
          <t>广东高校联盟学位英语历年真题+考前模拟卷+教材讲义+词汇语法写作阅读等资料
广东高校联盟学位英语历年真题带答案(可单拍)，年份为2019年-2025年，7套真题。除此之外，还附带真题汇编7套和样卷1套，都带答案！
广东高校联盟学位英语全套资料文档如下:
广东高校联盟学位英语历年真题(跟上边介绍一样)
广东高校联盟学位英语考前模拟套卷带答案(有20套左右，可以单拍)
广东高校联盟学位英语教材讲义(分上下册，适合打基础用)，三色笔记(适合考前用)
完整版词汇(打基础背)以及核心700词汇（考前背)
400个语法公式以及词性时态从句等语法类文档
完形填空和阅读做题技巧类等文档
作文写作范文，模版，经典句型等文档
广东高校联盟学位英语六大题型剖析以及考试技巧等文档
‼️需要注意的是此商品为文档资料，标价就是售价，选择好所需的类别后直接拍，拍下后以wang盘形式发货！
‼️由于虚拟文档有可复制性，为了防止被白嫖，发货后不退不换！介意者勿拍！
‼️由于资料内容比较多，如有瑕疵属于正常情况，介意者或对内容排版等追求完美者勿拍！
#广东高校联盟学位英语历年真题
</t>
        </is>
      </c>
      <c r="C101" s="2" t="str">
        <f>=HYPERLINK("http://img.alicdn.com/bao/uploaded/i3/747214999/O1CN01xpf9dH1mnb3riEOFn_!!4611686018427386007-53-xy_item.heic_790x10000Q90.jpg_.webp", "img.alicdn.com/bao/uploaded/i3/747214999/O1CN01xpf9dH1mnb3riEOFn_!!4611686018427386007-53-xy_item.heic_790x10000Q90.jpg_.webp")</f>
        <v>img.alicdn.com/bao/uploaded/i3/747214999/O1CN01xpf9dH1mnb3riEOFn_!!4611686018427386007-53-xy_item.heic_790x10000Q90.jpg_.webp</v>
      </c>
      <c r="D101" s="2" t="str">
        <f>=HYPERLINK("https://www.goofish.com/item?spm=a21ybx.search.searchFeedList.11.428b3984Nd7G6J&amp;id=909995179314&amp;categoryId=202036301", "https://www.goofish.com/item?spm=a21ybx.search.searchFeedList.11.428b3984Nd7G6J&amp;id=909995179314&amp;categoryId=202036301")</f>
        <v>https://www.goofish.com/item?spm=a21ybx.search.searchFeedList.11.428b3984Nd7G6J&amp;id=909995179314&amp;categoryId=202036301</v>
      </c>
    </row>
    <row r="102" ht="25.5" customHeight="1">
      <c r="A102">
        <v>1025737065815</v>
      </c>
      <c r="B102" t="inlineStr">
        <is>
          <t>2026公共英语三级PETS3全套备考资料真题词汇口语听力作文
2026年公共英语三级 PETS3考试全套备考资料
✅内容超全，一站式备考：
词汇｜教材｜口语｜历年真题+答案+详解｜听力｜作文
备考PETS3必备，资料齐全超省心
拍下【24小时内发货】，非实物。电子资料！！！失效补发，售出不退。
非纸质版直接拍就可以，诚信为本 ！请放心购买！
由于文件的可复制性，一经发货，不予退款！请谅解！需要的，请直接拍下！文件形式以网盘发货。
(免责声明:本材料不作为商业目的,仅交流使用,价格展示并非商品本身价值,而是整理资料辛苦费,如有侵权,联系删除即可)
</t>
        </is>
      </c>
      <c r="C102" s="2" t="str">
        <f>=HYPERLINK("http://img.alicdn.com/bao/uploaded/i3/2221522101830/O1CN01evR7Yx1POBvOsWVfW_!!4611686018427381318-0-xy_item.jpg_790x10000Q90.jpg_.webp", "img.alicdn.com/bao/uploaded/i3/2221522101830/O1CN01evR7Yx1POBvOsWVfW_!!4611686018427381318-0-xy_item.jpg_790x10000Q90.jpg_.webp")</f>
        <v>img.alicdn.com/bao/uploaded/i3/2221522101830/O1CN01evR7Yx1POBvOsWVfW_!!4611686018427381318-0-xy_item.jpg_790x10000Q90.jpg_.webp</v>
      </c>
      <c r="D102" s="2" t="str">
        <f>=HYPERLINK("https://www.goofish.com/item?spm=a21ybx.search.searchFeedList.14.428b3984Nd7G6J&amp;id=1025737065815&amp;categoryId=202036301", "https://www.goofish.com/item?spm=a21ybx.search.searchFeedList.14.428b3984Nd7G6J&amp;id=1025737065815&amp;categoryId=202036301")</f>
        <v>https://www.goofish.com/item?spm=a21ybx.search.searchFeedList.14.428b3984Nd7G6J&amp;id=1025737065815&amp;categoryId=202036301</v>
      </c>
    </row>
    <row r="103" ht="25.5" customHeight="1">
      <c r="A103">
        <v>983502305266</v>
      </c>
      <c r="B103" t="inlineStr">
        <is>
          <t>26年6月英语四六级课程电子资料
含四级+六级
包含视频课+课件，cet4，cet6!
【可以直接拍下，略贵但售后无忧！！，售后有保障，和卖你两块钱随时可能跑路的不能比，本店承诺包更新到考试结束！】
赠送2024.12的课程资料
赠送历年真题➕答案解析
2026年大学英语四六级备考网课
网课（四六级均已开课）包括：
1️⃣启航四六级全程班（田静等）
2⃣️星火四六级全程班（绍雯等）
3⃣️星火四六级精听班（绍雯等）
4⃣有道四六级全程班（建昆等）
5⃣笑过四六级全程班（田静等）等等
6⃣️新东方四六级全程班（陈志超等）
视频讲解、听力、写作、翻译全套
标价直接拍，拍下秒发，发全套
持续更新，自动更新，欢迎大家咨询~
直接拍直接拍！
</t>
        </is>
      </c>
      <c r="C103" s="2" t="str">
        <f>=HYPERLINK("http://img.alicdn.com/bao/uploaded/i3/O1CN01WK2Cb52Fu7WkAifxh_!!4611686018427384075-53-fleamarket.heic_790x10000Q90.jpg_.webp", "img.alicdn.com/bao/uploaded/i3/O1CN01WK2Cb52Fu7WkAifxh_!!4611686018427384075-53-fleamarket.heic_790x10000Q90.jpg_.webp")</f>
        <v>img.alicdn.com/bao/uploaded/i3/O1CN01WK2Cb52Fu7WkAifxh_!!4611686018427384075-53-fleamarket.heic_790x10000Q90.jpg_.webp</v>
      </c>
      <c r="D103" s="2" t="str">
        <f>=HYPERLINK("https://www.goofish.com/item?spm=a21ybx.search.searchFeedList.28.428b3984Nd7G6J&amp;id=983502305266&amp;categoryId=201457610", "https://www.goofish.com/item?spm=a21ybx.search.searchFeedList.28.428b3984Nd7G6J&amp;id=983502305266&amp;categoryId=201457610")</f>
        <v>https://www.goofish.com/item?spm=a21ybx.search.searchFeedList.28.428b3984Nd7G6J&amp;id=983502305266&amp;categoryId=201457610</v>
      </c>
    </row>
    <row r="104" ht="25.5" customHeight="1">
      <c r="A104">
        <v>1000332732859</v>
      </c>
      <c r="B104" t="inlineStr">
        <is>
          <t>【秒发】2026上海市考全套资料这份资料是我根据考情整理的最新资料
资料内容：
上海市考笔试真题（2018年～2025年）
上海市考面试真题讲解
上海市考历年进面分数线
上海市情+上海时Z+工作报告四色笔记
赠送上海市考特色课程 如下：
上海市考科学推理课程+彩绘笔记
上海市考Z治理论特色课程
上海市考文言文特色专项
上海市考数字推理特色课程(去年是上海第一年不考数推 以防万一我还是整理啦)
全国时Z热点
上海市考各模块重点合集
上海市考各模块刷题本合集
行政执法类和公安类的资料也是全的
等等等等如图啦一共整理了16个文件夹的资料 材料太多了我就不一一放进去啦
自动发货 百度盘
</t>
        </is>
      </c>
      <c r="C104" s="2" t="str">
        <f>=HYPERLINK("http://img.alicdn.com/bao/uploaded/i3/O1CN017Gl1qG1YlOW4kbkb2_!!4611686018427387691-0-fleamarket.jpg_790x10000Q90.jpg_.webp", "img.alicdn.com/bao/uploaded/i3/O1CN017Gl1qG1YlOW4kbkb2_!!4611686018427387691-0-fleamarket.jpg_790x10000Q90.jpg_.webp")</f>
        <v>img.alicdn.com/bao/uploaded/i3/O1CN017Gl1qG1YlOW4kbkb2_!!4611686018427387691-0-fleamarket.jpg_790x10000Q90.jpg_.webp</v>
      </c>
      <c r="D104" s="2" t="str">
        <f>=HYPERLINK("https://www.goofish.com/item?spm=a21ybx.search.searchFeedList.6.428b3984Nd7G6J&amp;id=1000332732859&amp;categoryId=202036301", "https://www.goofish.com/item?spm=a21ybx.search.searchFeedList.6.428b3984Nd7G6J&amp;id=1000332732859&amp;categoryId=202036301")</f>
        <v>https://www.goofish.com/item?spm=a21ybx.search.searchFeedList.6.428b3984Nd7G6J&amp;id=1000332732859&amp;categoryId=202036301</v>
      </c>
    </row>
    <row r="105" ht="25.5" customHeight="1">
      <c r="A105">
        <v>988052147728</v>
      </c>
      <c r="B105" t="inlineStr">
        <is>
          <t>【秒发】湖北省事业编单位abcde类历年真题解析全国联考真题职测综应职业能力倾向测试综合应用能力A类B类C类D类E类电子版
电子资料 24H自动秒发【度盘】
2015-2025上3月综合应用能力职测历年真题
a类综合管理，b类社会科学，c类自然科学，d类中小学教师，e类医疗卫生，pdf可打印，高清无水印
标价即卖价，直接拍即可
1025
</t>
        </is>
      </c>
      <c r="C105" s="2" t="str">
        <f>=HYPERLINK("http://img.alicdn.com/bao/uploaded/i4/O1CN01JFuvlr1r0en34Xc89_!!4611686018427379905-0-fleamarket.jpg_790x10000Q90.jpg_.webp", "img.alicdn.com/bao/uploaded/i4/O1CN01JFuvlr1r0en34Xc89_!!4611686018427379905-0-fleamarket.jpg_790x10000Q90.jpg_.webp")</f>
        <v>img.alicdn.com/bao/uploaded/i4/O1CN01JFuvlr1r0en34Xc89_!!4611686018427379905-0-fleamarket.jpg_790x10000Q90.jpg_.webp</v>
      </c>
      <c r="D105" s="2" t="str">
        <f>=HYPERLINK("https://www.goofish.com/item?spm=a21ybx.search.searchFeedList.13.428b3984Nd7G6J&amp;id=988052147728&amp;categoryId=202036301", "https://www.goofish.com/item?spm=a21ybx.search.searchFeedList.13.428b3984Nd7G6J&amp;id=988052147728&amp;categoryId=202036301")</f>
        <v>https://www.goofish.com/item?spm=a21ybx.search.searchFeedList.13.428b3984Nd7G6J&amp;id=988052147728&amp;categoryId=202036301</v>
      </c>
    </row>
    <row r="106" ht="25.5" customHeight="1">
      <c r="A106">
        <v>1002276256357</v>
      </c>
      <c r="B106" t="inlineStr">
        <is>
          <t>ap classroom 2025版更新资源CB官方题库
科目：微积分ab/bc/预备+微观+宏观+计算机CSA/CSp+统计+生物+化学+心理+物理1/2 物理c力学 /电磁+环境科学+英语文学与写作+人文地理等等
注：欧洲历史是24年真题，不是cb题库
选择题+简答题 全部带有官方答案 题量巨大 知识点全覆盖 很多题目与历年真题完全重合或高度相似 适合刷题 备考
每科4.58元，请直接拍，百度网盘发货 电子产品 售出不退哦~
</t>
        </is>
      </c>
      <c r="C106" s="2" t="str">
        <f>=HYPERLINK("http://img.alicdn.com/bao/uploaded/i3/2242690869/O1CN014wxPbq1II3IczilNs_!!4611686018427387701-53-xy_item.heic_790x10000Q90.jpg_.webp", "img.alicdn.com/bao/uploaded/i3/2242690869/O1CN014wxPbq1II3IczilNs_!!4611686018427387701-53-xy_item.heic_790x10000Q90.jpg_.webp")</f>
        <v>img.alicdn.com/bao/uploaded/i3/2242690869/O1CN014wxPbq1II3IczilNs_!!4611686018427387701-53-xy_item.heic_790x10000Q90.jpg_.webp</v>
      </c>
      <c r="D106" s="2" t="str">
        <f>=HYPERLINK("https://www.goofish.com/item?spm=a21ybx.search.searchFeedList.8.428b3984Nd7G6J&amp;id=1002276256357&amp;categoryId=202036301", "https://www.goofish.com/item?spm=a21ybx.search.searchFeedList.8.428b3984Nd7G6J&amp;id=1002276256357&amp;categoryId=202036301")</f>
        <v>https://www.goofish.com/item?spm=a21ybx.search.searchFeedList.8.428b3984Nd7G6J&amp;id=1002276256357&amp;categoryId=202036301</v>
      </c>
    </row>
    <row r="107" ht="25.5" customHeight="1">
      <c r="A107">
        <v>1022104455863</v>
      </c>
      <c r="B107" t="inlineStr">
        <is>
          <t>2026全国执业兽医考试真题资料笔记题库全科+水生动物PDF电子版
四个科目:
基础+预防+临床+综合应用
标价直接拍就行！
内容超全，适合兽医全科+水生动物考试备考！
内容有：
1.历年真题+答案解析（2009-2025）
2.四色笔记+高频考点
3.章节练习题+模拟试题
4.考点汇总+练习
5.考试大纲与备考指南
高清PDF，无水印，可打印！
资料整理清晰，内容丰富，直接拿来用，省时省力，备考冲刺必备！
【关于发货】
拍下秒发！系统自动发货！可直接拍！
白度和夸可网盘同时发货，可沟通！
能拍就是有货！标价就是售价！
手机、平板、电脑多端可以使用哦！
【售后承诺】
因电子资料的可复制和传播，发货后不退不换。当出现排版、导入阅读不清晰、错版等品质问题，我们将提供无理由退款。
文件均来自网络公开等合法途径整理，仅供学习交流，版权归原作者所有。
想了解更多，点“我想要”咨询吧！全天在线，服务有保障！
</t>
        </is>
      </c>
      <c r="C107" s="2" t="str">
        <f>=HYPERLINK("http://img.alicdn.com/bao/uploaded/i2/2220368930019/O1CN01UBuKKY1C0keILvGdy_!!4611686018427380963-53-xy_item.heic_790x10000Q90.jpg_.webp", "img.alicdn.com/bao/uploaded/i2/2220368930019/O1CN01UBuKKY1C0keILvGdy_!!4611686018427380963-53-xy_item.heic_790x10000Q90.jpg_.webp")</f>
        <v>img.alicdn.com/bao/uploaded/i2/2220368930019/O1CN01UBuKKY1C0keILvGdy_!!4611686018427380963-53-xy_item.heic_790x10000Q90.jpg_.webp</v>
      </c>
      <c r="D107" s="2" t="str">
        <f>=HYPERLINK("https://www.goofish.com/item?spm=a21ybx.search.searchFeedList.2.428b3984Nd7G6J&amp;id=1022104455863&amp;categoryId=202036301", "https://www.goofish.com/item?spm=a21ybx.search.searchFeedList.2.428b3984Nd7G6J&amp;id=1022104455863&amp;categoryId=202036301")</f>
        <v>https://www.goofish.com/item?spm=a21ybx.search.searchFeedList.2.428b3984Nd7G6J&amp;id=1022104455863&amp;categoryId=202036301</v>
      </c>
    </row>
    <row r="108" ht="25.5" customHeight="1">
      <c r="A108">
        <v>1029268894202</v>
      </c>
      <c r="B108" t="inlineStr">
        <is>
          <t>【同步更新】2026中级会计考试资料，包27年更新，中会经济法，中会实务，中会财管
【拍下发26+25两年全套！】全程班➕押题班
永久更新老店不跑路
内容以网盘的形式发出
考中级有这一份资料就足够了！
内容包括：26+25两年最新会计资料+三色笔记+考前押题班
【26+25两年更新，需要的直接拍！然后联系一下客服极速发货一下客服极速发货！】
市面上所有的机构名师课程 咱都有
基础班，精讲班，冲刺班，押题班都有的 同步官方机构课程安排
内容：机构网课➕配套电子讲义 赠送一系列学习资料（历年真题➕教材+学习笔记等）
不要和低端比较，一分钱一分货 我这里【全网最全课程】 ！专业团队更新售后服务，更新快，资料全
料太多一定要看图！包含全部视p和讲义
不和低端比较！【全网最全】+！后期会涨价！
持续更新！自动更新！
有什么不懂的尽情私聊客服小姐姐！！
最后祝大家成功上岸 金榜题名！！
</t>
        </is>
      </c>
      <c r="C108" s="2" t="str">
        <f>=HYPERLINK("http://img.alicdn.com/bao/uploaded/i4/512817134/O1CN01gMQ1Mf22ZQeug2jgi_!!4611686018427385838-53-xy_item.heic_790x10000Q90.jpg_.webp", "img.alicdn.com/bao/uploaded/i4/512817134/O1CN01gMQ1Mf22ZQeug2jgi_!!4611686018427385838-53-xy_item.heic_790x10000Q90.jpg_.webp")</f>
        <v>img.alicdn.com/bao/uploaded/i4/512817134/O1CN01gMQ1Mf22ZQeug2jgi_!!4611686018427385838-53-xy_item.heic_790x10000Q90.jpg_.webp</v>
      </c>
      <c r="D108" s="2" t="str">
        <f>=HYPERLINK("https://www.goofish.com/item?spm=a21ybx.search.searchFeedList.5.428b3984Nd7G6J&amp;id=1029268894202&amp;categoryId=202036301", "https://www.goofish.com/item?spm=a21ybx.search.searchFeedList.5.428b3984Nd7G6J&amp;id=1029268894202&amp;categoryId=202036301")</f>
        <v>https://www.goofish.com/item?spm=a21ybx.search.searchFeedList.5.428b3984Nd7G6J&amp;id=1029268894202&amp;categoryId=202036301</v>
      </c>
    </row>
    <row r="109" ht="25.5" customHeight="1">
      <c r="A109">
        <v>1020394099807</v>
      </c>
      <c r="B109" t="inlineStr">
        <is>
          <t>【2025最新】决战行测5000题+申论100题，2026版，9月第2次印刷版，网盘电子版，可下载可打印，无水印！
资料内容：
✅行测5000题（2026版）
✅行测近六年精选1300题
✅申论100题
✅常识、判断、言语、数量、资料分析全都有，题型全，考点细，适合公务员、事业单位、教师编等考试备考！
拍下秒发网盘链接，自动发货，24小时内到手！电子资料，虚拟资源，非实物，不退不换！
有问题随时私聊，喜欢直接拍！
</t>
        </is>
      </c>
      <c r="C109" s="2" t="str">
        <f>=HYPERLINK("http://img.alicdn.com/bao/uploaded/i4/O1CN01sQWNVg1Exx4fwho83_!!4611686018427384691-0-fleamarket.jpg_790x10000Q90.jpg_.webp", "img.alicdn.com/bao/uploaded/i4/O1CN01sQWNVg1Exx4fwho83_!!4611686018427384691-0-fleamarket.jpg_790x10000Q90.jpg_.webp")</f>
        <v>img.alicdn.com/bao/uploaded/i4/O1CN01sQWNVg1Exx4fwho83_!!4611686018427384691-0-fleamarket.jpg_790x10000Q90.jpg_.webp</v>
      </c>
      <c r="D109" s="2" t="str">
        <f>=HYPERLINK("https://www.goofish.com/item?spm=a21ybx.search.searchFeedList.3.428b3984Nd7G6J&amp;id=1020394099807&amp;categoryId=201459411", "https://www.goofish.com/item?spm=a21ybx.search.searchFeedList.3.428b3984Nd7G6J&amp;id=1020394099807&amp;categoryId=201459411")</f>
        <v>https://www.goofish.com/item?spm=a21ybx.search.searchFeedList.3.428b3984Nd7G6J&amp;id=1020394099807&amp;categoryId=201459411</v>
      </c>
    </row>
    <row r="110" ht="25.5" customHeight="1">
      <c r="A110">
        <v>994044308003</v>
      </c>
      <c r="B110" t="inlineStr">
        <is>
          <t>【2026备考】江苏省考历年真题汇编2025年真题已更新
江苏公务员考试历年真题汇编 申论➕行测 真题➕答案解析
内容包含（具体目录如下图所示）
行测：2010-2025（ABC卷全）
申论：2009-2025（ABC卷全）
面试：2013-2025（22-25年ABC卷全）
注：江苏省行测在15年之前没有C类试卷，申论‌2015年及之前‌只有一套申论试卷，15年之后分为ABC三套卷
附赠：
25年全国时政(持续更新中)
国考行测、申论真题➕解析 20-25年
行测申论答题卡pdf打印版
行测申论笔记、思维导图等
【自动发货，下单秒发】
非纸质，dian 紫板，度➕夸双网盘自动发，标价就是搜集费，直拍直发
✅欢迎需要的朋友自助拍下哦！
✅看好介绍下单，一旦售出不退不换，感谢理解
#公务员考试 #国考省考公考资料
#考公资料2026</t>
        </is>
      </c>
      <c r="C110" s="2" t="str">
        <f>=HYPERLINK("http://img.alicdn.com/bao/uploaded/i4/2220458225514/O1CN01TobUV81qbT0i8TU34_!!4611686018427383658-53-xy_item.heic_790x10000Q90.jpg_.webp", "img.alicdn.com/bao/uploaded/i4/2220458225514/O1CN01TobUV81qbT0i8TU34_!!4611686018427383658-53-xy_item.heic_790x10000Q90.jpg_.webp")</f>
        <v>img.alicdn.com/bao/uploaded/i4/2220458225514/O1CN01TobUV81qbT0i8TU34_!!4611686018427383658-53-xy_item.heic_790x10000Q90.jpg_.webp</v>
      </c>
      <c r="D110" s="2" t="str">
        <f>=HYPERLINK("https://www.goofish.com/item?spm=a21ybx.search.searchFeedList.29.428b3984Nd7G6J&amp;id=994044308003&amp;categoryId=202036301", "https://www.goofish.com/item?spm=a21ybx.search.searchFeedList.29.428b3984Nd7G6J&amp;id=994044308003&amp;categoryId=202036301")</f>
        <v>https://www.goofish.com/item?spm=a21ybx.search.searchFeedList.29.428b3984Nd7G6J&amp;id=994044308003&amp;categoryId=202036301</v>
      </c>
    </row>
    <row r="111" ht="25.5" customHeight="1">
      <c r="A111">
        <v>1025236716045</v>
      </c>
      <c r="B111" t="inlineStr">
        <is>
          <t>【2026初级会计知了课堂奇兵制胜123电子版】赠送2025骑兵制胜1234所有资料，拍下所有打包带走，货真价实。
电子版资料，拍下后立即发送网盘链接，手机、电脑均可随时观看，学习更便捷！
包含内容：2026初级会计《经济法基础》核心考点+真题解析，2025初级会计1+2+3+4
实务➕经济法都有巨全！覆盖重点难点，适合备考冲刺，有效提升学习效率。
价格全网最低，支持议价，多付可退！感兴趣请直接下单，详情私聊了解。
虚拟商品，一经售出不退不换，仅限个人学习使用。如涉及版权问题请联系删除。备考必备，学霸首选！
</t>
        </is>
      </c>
      <c r="C111" s="2" t="str">
        <f>=HYPERLINK("http://img.alicdn.com/bao/uploaded/i1/2221793078622/O1CN01R5l1N82DYw0G5RG2t_!!4611686018427383134-0-xy_item.jpg_790x10000Q90.jpg_.webp", "img.alicdn.com/bao/uploaded/i1/2221793078622/O1CN01R5l1N82DYw0G5RG2t_!!4611686018427383134-0-xy_item.jpg_790x10000Q90.jpg_.webp")</f>
        <v>img.alicdn.com/bao/uploaded/i1/2221793078622/O1CN01R5l1N82DYw0G5RG2t_!!4611686018427383134-0-xy_item.jpg_790x10000Q90.jpg_.webp</v>
      </c>
      <c r="D111" s="2" t="str">
        <f>=HYPERLINK("https://www.goofish.com/item?spm=a21ybx.search.searchFeedList.9.428b3984Nd7G6J&amp;id=1025236716045&amp;categoryId=202036301", "https://www.goofish.com/item?spm=a21ybx.search.searchFeedList.9.428b3984Nd7G6J&amp;id=1025236716045&amp;categoryId=202036301")</f>
        <v>https://www.goofish.com/item?spm=a21ybx.search.searchFeedList.9.428b3984Nd7G6J&amp;id=1025236716045&amp;categoryId=202036301</v>
      </c>
    </row>
    <row r="112" ht="25.5" customHeight="1">
      <c r="A112">
        <v>1026959624062</v>
      </c>
      <c r="B112" t="inlineStr">
        <is>
          <t>2026执业药师资料 持续更新 执业药师课程视频资料 中药师考试资料 西药执业药师考试资料 中药执业药师课程西药师课程视频 中药西药执业药师网课
包更新，更新快！不跑路！！店主负责靠谱！
2026持续更新 ，送2025资料
资料齐全 看这个就够了 后续无二次收费！
中药+西药四科全部包含：
《中药学/药学专业知识（一）》
《中药学/药学专业知识（二）》
《药事管理与法规》
《中药学/药学综合知识与技能》
拍下发以下内容：
[课程]基础精讲班➕大咖班➕高频考题班➕冲刺串讲班➕真题解析班➕学霸笔记班➕考点必修班➕口诀速记班➕押题班➕核心母题班➕集训班➕核心考点
[笔记]口诀记忆➕思维导图➕学霸笔记➕速记口诀➕高频考点➕核心考点
[试卷]章节练习➕历年真题➕模拟试卷➕预测试卷➕冲刺试卷➕考前点题➕经典母题
一站式学习，需要直接拍下！标价即卖价！拍了发全科！！！
课程更新及时，稳定更新至考试结束！！后续无需再四处寻找课程资源，节约复习时间！！！
【免责声明】
（文件均来自公开网络资源，仅供学习和交流，版权归原作者所有如有版权问题，请及时联系我们删除商品价格仅代表资源查找和整理的劳动成本，支持正版本店商品仅限个人学习使用，不涉及商业用途）
</t>
        </is>
      </c>
      <c r="C112" s="2" t="str">
        <f>=HYPERLINK("http://img.alicdn.com/bao/uploaded/i1/2220245055521/O1CN01KIoO1E1qefnuR7pZf_!!4611686018427385889-53-xy_item.heic_790x10000Q90.jpg_.webp", "img.alicdn.com/bao/uploaded/i1/2220245055521/O1CN01KIoO1E1qefnuR7pZf_!!4611686018427385889-53-xy_item.heic_790x10000Q90.jpg_.webp")</f>
        <v>img.alicdn.com/bao/uploaded/i1/2220245055521/O1CN01KIoO1E1qefnuR7pZf_!!4611686018427385889-53-xy_item.heic_790x10000Q90.jpg_.webp</v>
      </c>
      <c r="D112" s="2" t="str">
        <f>=HYPERLINK("https://www.goofish.com/item?spm=a21ybx.search.searchFeedList.13.428b3984Nd7G6J&amp;id=1026959624062&amp;categoryId=202036301", "https://www.goofish.com/item?spm=a21ybx.search.searchFeedList.13.428b3984Nd7G6J&amp;id=1026959624062&amp;categoryId=202036301")</f>
        <v>https://www.goofish.com/item?spm=a21ybx.search.searchFeedList.13.428b3984Nd7G6J&amp;id=1026959624062&amp;categoryId=202036301</v>
      </c>
    </row>
    <row r="113" ht="25.5" customHeight="1">
      <c r="A113">
        <v>936602512005</v>
      </c>
      <c r="B113" t="inlineStr">
        <is>
          <t>2025初中地理中考总复习资料包 一轮二轮复习+专项突破+真题汇编＋考点速记【通用】
全面覆盖考点，助力冲刺高分！
资料核心内容（按复习需求整理）
一轮复习板块
✅ 考点突破：2025年中考地理一轮复习 考点+专题突破练习（含答案）
✅ 速记清单：2025年地理中考考前速记清单
✅ 省心备考：【省心备考】2025年中考地理总复习考点过过过ppt（通用版）
专项复习板块
✅ 专项课件：2025中考地理专项复习课件
✅ 识图速记：备战2025年中考地理识图速记手册与变式演练（全国通用）
真题&amp;拓展重点
✅ 真题汇编：【备战2025】2024年中考地理真题分类汇编
下单即送2024年一模二模三模及预测卷
购买须知
✔️ 标价即全款，拍下直接发百度网盘链接
✔️ 24小时自动发货，无需等待
✔️ 虚拟资料可复制，售出不退，下单前确认需求
#初中地理中考复习 #中考地理资料 #中考复习课件 #中考真题汇编 #地理专项训练
</t>
        </is>
      </c>
      <c r="C113" s="2" t="str">
        <f>=HYPERLINK("http://img.alicdn.com/bao/uploaded/i4/O1CN01lPhqdx1J48pVy3xP1_!!4611686018427382302-53-fleamarket.heic_790x10000Q90.jpg_.webp", "img.alicdn.com/bao/uploaded/i4/O1CN01lPhqdx1J48pVy3xP1_!!4611686018427382302-53-fleamarket.heic_790x10000Q90.jpg_.webp")</f>
        <v>img.alicdn.com/bao/uploaded/i4/O1CN01lPhqdx1J48pVy3xP1_!!4611686018427382302-53-fleamarket.heic_790x10000Q90.jpg_.webp</v>
      </c>
      <c r="D113" s="2" t="str">
        <f>=HYPERLINK("https://www.goofish.com/item?spm=a21ybx.search.searchFeedList.4.428b3984Nd7G6J&amp;id=936602512005&amp;categoryId=202036301", "https://www.goofish.com/item?spm=a21ybx.search.searchFeedList.4.428b3984Nd7G6J&amp;id=936602512005&amp;categoryId=202036301")</f>
        <v>https://www.goofish.com/item?spm=a21ybx.search.searchFeedList.4.428b3984Nd7G6J&amp;id=936602512005&amp;categoryId=202036301</v>
      </c>
    </row>
    <row r="114" ht="25.5" customHeight="1">
      <c r="A114">
        <v>998732378919</v>
      </c>
      <c r="B114" t="inlineStr">
        <is>
          <t>【秒发】26数字经济考研资料25+24真题教材PDF
电紫资料，24H自动秒发【度盘】
市面上几乎所有有用的背诵资料这里都有李三x、李t、上上签、笑k研、刘s七等背诵资料、考点
标价即卖价，直接拍即可
1202
</t>
        </is>
      </c>
      <c r="C114" s="2" t="str">
        <f>=HYPERLINK("http://img.alicdn.com/bao/uploaded/i1/O1CN01ikxUDY2LptZwQhkox_!!4611686018427386878-0-fleamarket.jpg_790x10000Q90.jpg_.webp", "img.alicdn.com/bao/uploaded/i1/O1CN01ikxUDY2LptZwQhkox_!!4611686018427386878-0-fleamarket.jpg_790x10000Q90.jpg_.webp")</f>
        <v>img.alicdn.com/bao/uploaded/i1/O1CN01ikxUDY2LptZwQhkox_!!4611686018427386878-0-fleamarket.jpg_790x10000Q90.jpg_.webp</v>
      </c>
      <c r="D114" s="2" t="str">
        <f>=HYPERLINK("https://www.goofish.com/item?spm=a21ybx.search.searchFeedList.18.428b3984Nd7G6J&amp;id=998732378919&amp;categoryId=202036301", "https://www.goofish.com/item?spm=a21ybx.search.searchFeedList.18.428b3984Nd7G6J&amp;id=998732378919&amp;categoryId=202036301")</f>
        <v>https://www.goofish.com/item?spm=a21ybx.search.searchFeedList.18.428b3984Nd7G6J&amp;id=998732378919&amp;categoryId=202036301</v>
      </c>
    </row>
    <row r="115" ht="25.5" customHeight="1">
      <c r="A115">
        <v>946493451111</v>
      </c>
      <c r="B115" t="inlineStr">
        <is>
          <t>【自动发货】2026湖南能源集团笔试资料大全，包含25年真题！全套包含考前模拟题、红宝石EPI能力测试、金牌讲义、冲刺模拟专项、专业知识点笔记、系统精讲班等内容。题库
湖南能源集团春秋招聘考试复习资料历年真题校园社会招聘考试题库注意我的真题到25年！模拟题是26届的！比大多数人卖的新！！！！
内容基本包括笔试历年真题、模拟题等，资料丰富，满足备考需求（各企业各学科有所差异）往年真题和模拟题题库和各类知识点总结等。拍下秒发货！！！！
拍下秒发货！！
不用问在不在，直接拍，自动发货
百度网盘发货，拍下即可秒发链接。内容全面实用，助你轻松备考！
</t>
        </is>
      </c>
      <c r="C115" s="2" t="str">
        <f>=HYPERLINK("http://img.alicdn.com/bao/uploaded/i3/O1CN01WjlG6f1YlOUtXDVy7_!!4611686018427387691-0-fleamarket.jpg_790x10000Q90.jpg_.webp", "img.alicdn.com/bao/uploaded/i3/O1CN01WjlG6f1YlOUtXDVy7_!!4611686018427387691-0-fleamarket.jpg_790x10000Q90.jpg_.webp")</f>
        <v>img.alicdn.com/bao/uploaded/i3/O1CN01WjlG6f1YlOUtXDVy7_!!4611686018427387691-0-fleamarket.jpg_790x10000Q90.jpg_.webp</v>
      </c>
      <c r="D115" s="2" t="str">
        <f>=HYPERLINK("https://www.goofish.com/item?spm=a21ybx.search.searchFeedList.2.428b3984Nd7G6J&amp;id=946493451111&amp;categoryId=202036301", "https://www.goofish.com/item?spm=a21ybx.search.searchFeedList.2.428b3984Nd7G6J&amp;id=946493451111&amp;categoryId=202036301")</f>
        <v>https://www.goofish.com/item?spm=a21ybx.search.searchFeedList.2.428b3984Nd7G6J&amp;id=946493451111&amp;categoryId=202036301</v>
      </c>
    </row>
    <row r="116" ht="25.5" customHeight="1">
      <c r="A116">
        <v>907485940675</v>
      </c>
      <c r="B116" t="inlineStr">
        <is>
          <t>【自动发货】物理化学等学科考研复试面试400题+真题库
根据50多所高校最新三年面试真题总结面成，共计428述，包括无机化学（含结构)、有机化学、物理化学。分析化学、化工原理、高分子化学、化学专业英语，毕业论文设计。适用于化学、化工、材料、学科教学化学等专业考研复试。
适用于考研复试问题，保研面笔试问题、夏令营面试问题、九推复试面试问题
需要可以直接拍下，看到就发货
</t>
        </is>
      </c>
      <c r="C116" s="2" t="str">
        <f>=HYPERLINK("http://img.alicdn.com/bao/uploaded/i4/O1CN01qTq1lp1VtgmQyI0b9_!!4611686018427387255-53-fleamarket.heic_790x10000Q90.jpg_.webp", "img.alicdn.com/bao/uploaded/i4/O1CN01qTq1lp1VtgmQyI0b9_!!4611686018427387255-53-fleamarket.heic_790x10000Q90.jpg_.webp")</f>
        <v>img.alicdn.com/bao/uploaded/i4/O1CN01qTq1lp1VtgmQyI0b9_!!4611686018427387255-53-fleamarket.heic_790x10000Q90.jpg_.webp</v>
      </c>
      <c r="D116" s="2" t="str">
        <f>=HYPERLINK("https://www.goofish.com/item?spm=a21ybx.search.searchFeedList.12.428b3984Nd7G6J&amp;id=907485940675&amp;categoryId=202036301", "https://www.goofish.com/item?spm=a21ybx.search.searchFeedList.12.428b3984Nd7G6J&amp;id=907485940675&amp;categoryId=202036301")</f>
        <v>https://www.goofish.com/item?spm=a21ybx.search.searchFeedList.12.428b3984Nd7G6J&amp;id=907485940675&amp;categoryId=202036301</v>
      </c>
    </row>
    <row r="117" ht="25.5" customHeight="1">
      <c r="A117">
        <v>1029738168282</v>
      </c>
      <c r="B117" t="inlineStr">
        <is>
          <t>(秒发货)2026Amber复试财务会计+财务管理讲义/26amber面试背诵手册/财会+财管+成本+审计全/复试大通关真题册➕解析册(赠送26amber面试综合提升)
内部辅导讲义 适合备考MPAcc/MAud的小伙伴，资料整理清晰，内容全 ！
注：均为电子版资料，非纸质版，介意勿拍！
需要直接拍就行，发佰度网盘链接！
电子产品售出不退换
仅为资料整理费用，如有侵权联系立删
</t>
        </is>
      </c>
      <c r="C117" s="2" t="str">
        <f>=HYPERLINK("http://img.alicdn.com/bao/uploaded/i4/O1CN019yOs6U2GYQPc69jzp_!!4611686018427385555-0-fleamarket.jpg_790x10000Q90.jpg_.webp", "img.alicdn.com/bao/uploaded/i4/O1CN019yOs6U2GYQPc69jzp_!!4611686018427385555-0-fleamarket.jpg_790x10000Q90.jpg_.webp")</f>
        <v>img.alicdn.com/bao/uploaded/i4/O1CN019yOs6U2GYQPc69jzp_!!4611686018427385555-0-fleamarket.jpg_790x10000Q90.jpg_.webp</v>
      </c>
      <c r="D117" s="2" t="str">
        <f>=HYPERLINK("https://www.goofish.com/item?spm=a21ybx.search.searchFeedList.19.428b3984Nd7G6J&amp;id=1029738168282&amp;categoryId=202036301", "https://www.goofish.com/item?spm=a21ybx.search.searchFeedList.19.428b3984Nd7G6J&amp;id=1029738168282&amp;categoryId=202036301")</f>
        <v>https://www.goofish.com/item?spm=a21ybx.search.searchFeedList.19.428b3984Nd7G6J&amp;id=1029738168282&amp;categoryId=202036301</v>
      </c>
    </row>
    <row r="118" ht="25.5" customHeight="1">
      <c r="A118">
        <v>1014344370407</v>
      </c>
      <c r="B118" t="inlineStr">
        <is>
          <t>电子版，《雅思王听力真题语料库》剑19版，机考笔试第二版，王陆编著，中国人民大学出版社正版纸质书，配套音频扫码可听，语料库很全，适合雅思听力备考，内容覆盖剑1-19，5000+听写训练，题型丰富，提升听力很实用。
</t>
        </is>
      </c>
      <c r="C118" s="2" t="str">
        <f>=HYPERLINK("http://img.alicdn.com/bao/uploaded/i1/O1CN01U5wXaa2GQBC6ujS3G_!!4611686018427382881-0-fleamarket.jpg_790x10000Q90.jpg_.webp", "img.alicdn.com/bao/uploaded/i1/O1CN01U5wXaa2GQBC6ujS3G_!!4611686018427382881-0-fleamarket.jpg_790x10000Q90.jpg_.webp")</f>
        <v>img.alicdn.com/bao/uploaded/i1/O1CN01U5wXaa2GQBC6ujS3G_!!4611686018427382881-0-fleamarket.jpg_790x10000Q90.jpg_.webp</v>
      </c>
      <c r="D118" s="2" t="str">
        <f>=HYPERLINK("https://www.goofish.com/item?spm=a21ybx.search.searchFeedList.21.428b3984Nd7G6J&amp;id=1014344370407&amp;categoryId=127812005", "https://www.goofish.com/item?spm=a21ybx.search.searchFeedList.21.428b3984Nd7G6J&amp;id=1014344370407&amp;categoryId=127812005")</f>
        <v>https://www.goofish.com/item?spm=a21ybx.search.searchFeedList.21.428b3984Nd7G6J&amp;id=1014344370407&amp;categoryId=127812005</v>
      </c>
    </row>
    <row r="119" ht="25.5" customHeight="1">
      <c r="A119">
        <v>861306882387</v>
      </c>
      <c r="B119" t="inlineStr">
        <is>
          <t>2025年浙江省历年中考真题试卷电子版语文数学英语科学社会全套中考总复习#资料
包括：杭州、湖州、嘉兴、金华、丽水、宁波、衢州、绍兴、台州、温州、舟山等11市历年中考真题卷电子版。
蕞新蕞全版。语、数、英、科学、社会全更新到2025。近10多年含详细解析！试卷均带答案！高清无水印。Word版，可下载、编辑、A4打印！
免费更新2026真题
收货自动送：知识点总结、中考状元笔记，25中考前蕞后一課等
拍下秒发！佰度䋞盘-自动发货！
语文
数学
英语 无听力
科学
社会
</t>
        </is>
      </c>
      <c r="C119" s="2" t="str">
        <f>=HYPERLINK("http://img.alicdn.com/bao/uploaded/i2/O1CN01Bpb30s1zbJOxCSrvQ_!!4611686018427384060-0-fleamarket.jpg_790x10000Q90.jpg_.webp", "img.alicdn.com/bao/uploaded/i2/O1CN01Bpb30s1zbJOxCSrvQ_!!4611686018427384060-0-fleamarket.jpg_790x10000Q90.jpg_.webp")</f>
        <v>img.alicdn.com/bao/uploaded/i2/O1CN01Bpb30s1zbJOxCSrvQ_!!4611686018427384060-0-fleamarket.jpg_790x10000Q90.jpg_.webp</v>
      </c>
      <c r="D119" s="2" t="str">
        <f>=HYPERLINK("https://www.goofish.com/item?spm=a21ybx.search.searchFeedList.8.428b3984Nd7G6J&amp;id=861306882387&amp;categoryId=202036301", "https://www.goofish.com/item?spm=a21ybx.search.searchFeedList.8.428b3984Nd7G6J&amp;id=861306882387&amp;categoryId=202036301")</f>
        <v>https://www.goofish.com/item?spm=a21ybx.search.searchFeedList.8.428b3984Nd7G6J&amp;id=861306882387&amp;categoryId=202036301</v>
      </c>
    </row>
    <row r="120" ht="25.5" customHeight="1">
      <c r="A120">
        <v>988664880816</v>
      </c>
      <c r="B120" t="inlineStr">
        <is>
          <t>2026年圣才康复医学治疗技术题库（士、师、中级），圣才2026年康复医学治疗技术题库PDF电子版，26康复医学治疗技术题库包含:历年真题、章节题库、模拟试题、冲刺试卷全覆盖。
是pdf版非app版，无视频讲解
百度网盘发货，方便快捷。适合准备考试的朋友，资料齐全，保证质量。
下载好用WPS打开，可点击链接快速检索。
电子资料一经出售不退不换，介意勿下
</t>
        </is>
      </c>
      <c r="C120" s="2" t="str">
        <f>=HYPERLINK("http://img.alicdn.com/bao/uploaded/i1/O1CN01MQ8njE238EjUnam3S_!!4611686018427382170-0-fleamarket.jpg_790x10000Q90.jpg_.webp", "img.alicdn.com/bao/uploaded/i1/O1CN01MQ8njE238EjUnam3S_!!4611686018427382170-0-fleamarket.jpg_790x10000Q90.jpg_.webp")</f>
        <v>img.alicdn.com/bao/uploaded/i1/O1CN01MQ8njE238EjUnam3S_!!4611686018427382170-0-fleamarket.jpg_790x10000Q90.jpg_.webp</v>
      </c>
      <c r="D120" s="2" t="str">
        <f>=HYPERLINK("https://www.goofish.com/item?spm=a21ybx.search.searchFeedList.14.428b3984Nd7G6J&amp;id=988664880816&amp;categoryId=202036301", "https://www.goofish.com/item?spm=a21ybx.search.searchFeedList.14.428b3984Nd7G6J&amp;id=988664880816&amp;categoryId=202036301")</f>
        <v>https://www.goofish.com/item?spm=a21ybx.search.searchFeedList.14.428b3984Nd7G6J&amp;id=988664880816&amp;categoryId=202036301</v>
      </c>
    </row>
    <row r="121" ht="25.5" customHeight="1">
      <c r="A121">
        <v>989933076705</v>
      </c>
      <c r="B121" t="inlineStr">
        <is>
          <t>【最新管综199考研网课】2026考研网课管理类联考199➕英语二【全程班课程➕教材➕讲义➕真题】
适用于26考研在25年底参加考试的同学
适用于在职人员考全日／非全日制研究生
适用于在校大学生考全日制研究生
适用专业
工商管理(MBA) 公共管理(MPA)
会计硕士(MPACC) 旅游管理(MTA)
工程管理(MEM) 审计硕士(MAUD)
图书情报(MLIS)
包含内容：
【内容大纲】
26管理类联考：（全机构）
·全程备考指导，复习规划
·导学班（逻辑、数学、写作）
·基础班（逻辑、数学、写作）
·强化班（逻辑、数学、写作）
·冲刺班（逻辑、数学、写作）
·历练真题讲解
·考研大纲解析
·考前押题点睛
·复试相关内容
英语二（全机构）：
·全程备考指南、复习规划
·词汇精讲班
·语法精讲班
·长难句精讲班
·作文写作精讲、范文讲解
·完型填空技巧与指导
·阅读理解精讲、解题技巧
·历年真题讲解
·考研大纲解析
·考前冲刺作文押题
网课＋电子版配套讲义＋历年真题＋做题本
❗❗❗秒发货
注意：资料整理不易，因可复制性，故不退不换，拒绝白嫖</t>
        </is>
      </c>
      <c r="C121" s="2" t="str">
        <f>=HYPERLINK("http://img.alicdn.com/bao/uploaded/i2/O1CN01tGsfig1hG5yzSSS13_!!4611686018427380825-0-fleamarket.jpg_790x10000Q90.jpg_.webp", "img.alicdn.com/bao/uploaded/i2/O1CN01tGsfig1hG5yzSSS13_!!4611686018427380825-0-fleamarket.jpg_790x10000Q90.jpg_.webp")</f>
        <v>img.alicdn.com/bao/uploaded/i2/O1CN01tGsfig1hG5yzSSS13_!!4611686018427380825-0-fleamarket.jpg_790x10000Q90.jpg_.webp</v>
      </c>
      <c r="D121" s="2" t="str">
        <f>=HYPERLINK("https://www.goofish.com/item?spm=a21ybx.search.searchFeedList.16.428b3984Nd7G6J&amp;id=989933076705&amp;categoryId=202036301", "https://www.goofish.com/item?spm=a21ybx.search.searchFeedList.16.428b3984Nd7G6J&amp;id=989933076705&amp;categoryId=202036301")</f>
        <v>https://www.goofish.com/item?spm=a21ybx.search.searchFeedList.16.428b3984Nd7G6J&amp;id=989933076705&amp;categoryId=202036301</v>
      </c>
    </row>
    <row r="122" ht="25.5" customHeight="1">
      <c r="A122">
        <v>943308314173</v>
      </c>
      <c r="B122" t="inlineStr">
        <is>
          <t>【2026年】田静英语考研句句真研田静英语PDF+网课+每日一句
[钉子]2026考研句句真研田静英语PDF+网课+每日一句
[比心]包含：26开研田静句句真研电子书+全套网课+真题演练（英语一二都有）解决句型解析，长难句理解问题
[1]静姐语法课+长难句思维导图
[2]句句真研英语一+英语二pdf
[3]每日一句(25考研版)
[灯泡]送25年全套资料
[黄圆]自己买的课程 看完了 所以你们也别高价买了 现在低价分享给大家看！
[比心]【课程亮点】
1.课程多没有用，看完有用才能行
2.课程详细易懂 只要专心看就能掌握
3.全程无尿点 不墨迹 精华比较多
【标价即是卖价】 【看好直接拍 24小时发货】
需要的直接下单 不用问在不在需要赶快下单 24小时全自动发货
点子资料 发货后不支持仅退款！如有不便请谅解</t>
        </is>
      </c>
      <c r="C122" s="2" t="str">
        <f>=HYPERLINK("http://img.alicdn.com/bao/uploaded/i4/O1CN016Q7DwG1nuIPSHGH5x_!!4611686018427384909-0-fleamarket.jpg_790x10000Q90.jpg_.webp", "img.alicdn.com/bao/uploaded/i4/O1CN016Q7DwG1nuIPSHGH5x_!!4611686018427384909-0-fleamarket.jpg_790x10000Q90.jpg_.webp")</f>
        <v>img.alicdn.com/bao/uploaded/i4/O1CN016Q7DwG1nuIPSHGH5x_!!4611686018427384909-0-fleamarket.jpg_790x10000Q90.jpg_.webp</v>
      </c>
      <c r="D122" s="2" t="str">
        <f>=HYPERLINK("https://www.goofish.com/item?spm=a21ybx.search.searchFeedList.20.428b3984Nd7G6J&amp;id=943308314173&amp;categoryId=201457610", "https://www.goofish.com/item?spm=a21ybx.search.searchFeedList.20.428b3984Nd7G6J&amp;id=943308314173&amp;categoryId=201457610")</f>
        <v>https://www.goofish.com/item?spm=a21ybx.search.searchFeedList.20.428b3984Nd7G6J&amp;id=943308314173&amp;categoryId=201457610</v>
      </c>
    </row>
    <row r="123" ht="25.5" customHeight="1">
      <c r="A123">
        <v>1007688037031</v>
      </c>
      <c r="B123" t="inlineStr">
        <is>
          <t>广西教师招聘两学电子资料 广西贺州+防城港+百色+贵港+桂林+北海等城市真题均有，南宁，钦州，玉林等市统考前的真题也有
，教招公告各市县都出了，大家抓紧复习，电子资料，视频可以保留很长时间。
包含：教材+习题+答案解析+视频教程
1⃣️教育心理学与德育工作
2⃣️教育学与教学法基础知识
广西两学资料，教招、特岗都合适！！
建议先看试卷，然后看考纲，只要考两学的都合适，里面有广西专用教材和视频。视频齐全，讲义完整，还有6000题，各种总结资料和练习，看这一套资料足够了
</t>
        </is>
      </c>
      <c r="C123" s="2" t="str">
        <f>=HYPERLINK("http://img.alicdn.com/bao/uploaded/i3/3411677255/O1CN01lJy1Kh23SqZSUPuVr_!!4611686018427383879-53-xy_item.heic_790x10000Q90.jpg_.webp", "img.alicdn.com/bao/uploaded/i3/3411677255/O1CN01lJy1Kh23SqZSUPuVr_!!4611686018427383879-53-xy_item.heic_790x10000Q90.jpg_.webp")</f>
        <v>img.alicdn.com/bao/uploaded/i3/3411677255/O1CN01lJy1Kh23SqZSUPuVr_!!4611686018427383879-53-xy_item.heic_790x10000Q90.jpg_.webp</v>
      </c>
      <c r="D123" s="2" t="str">
        <f>=HYPERLINK("https://www.goofish.com/item?spm=a21ybx.search.searchFeedList.18.428b3984Nd7G6J&amp;id=1007688037031&amp;categoryId=202036301", "https://www.goofish.com/item?spm=a21ybx.search.searchFeedList.18.428b3984Nd7G6J&amp;id=1007688037031&amp;categoryId=202036301")</f>
        <v>https://www.goofish.com/item?spm=a21ybx.search.searchFeedList.18.428b3984Nd7G6J&amp;id=1007688037031&amp;categoryId=202036301</v>
      </c>
    </row>
    <row r="124" ht="25.5" customHeight="1">
      <c r="A124">
        <v>1015689925534</v>
      </c>
      <c r="B124" t="inlineStr">
        <is>
          <t>2026年备考四六级英语全套资料
内容很全，适合四六级备考
包含2025年12月四级英语、六级英语全套资料，网课视频+讲义+词汇+语法+模考+冲刺等，都是最新整理
下单赠送四六级真题+答案2010到2025年，包括听力音频，25词汇闪过+默写本+作文模板送2024四六级课程。
课程较全一共20个机构老师课程
具体有哪些老师的课程私聊自动回复
高清视频，网课清晰，内容丰富，适合自学和系统复习
电子版资料，网盘秒发，虚拟商品，售出不退不换
需要细节可以私聊，价格可聊，喜欢直接拍
</t>
        </is>
      </c>
      <c r="C124" s="2" t="str">
        <f>=HYPERLINK("http://img.alicdn.com/bao/uploaded/i4/2217470580264/O1CN01dYjkhR1DoxgG6dr0Y_!!4611686018427385384-53-xy_item.heic_790x10000Q90.jpg_.webp", "img.alicdn.com/bao/uploaded/i4/2217470580264/O1CN01dYjkhR1DoxgG6dr0Y_!!4611686018427385384-53-xy_item.heic_790x10000Q90.jpg_.webp")</f>
        <v>img.alicdn.com/bao/uploaded/i4/2217470580264/O1CN01dYjkhR1DoxgG6dr0Y_!!4611686018427385384-53-xy_item.heic_790x10000Q90.jpg_.webp</v>
      </c>
      <c r="D124" s="2" t="str">
        <f>=HYPERLINK("https://www.goofish.com/item?spm=a21ybx.search.searchFeedList.11.428b3984Nd7G6J&amp;id=1015689925534&amp;categoryId=202036301", "https://www.goofish.com/item?spm=a21ybx.search.searchFeedList.11.428b3984Nd7G6J&amp;id=1015689925534&amp;categoryId=202036301")</f>
        <v>https://www.goofish.com/item?spm=a21ybx.search.searchFeedList.11.428b3984Nd7G6J&amp;id=1015689925534&amp;categoryId=202036301</v>
      </c>
    </row>
    <row r="125" ht="25.5" customHeight="1">
      <c r="A125">
        <v>969281554094</v>
      </c>
      <c r="B125" t="inlineStr">
        <is>
          <t>【备考2026】2015-2025福建省年高考真题试卷+答案电子版
【内容】
2015-2025年福建省历年高考真题试卷+答案
语文数学英语 物理化学生物 政治历史地理 九科全有
1元拍下发全部科目；通过度盘+夸克即时发送下载链接
备考2026必刷真题！！具体科目的试卷年份如下：
语文：2015-2025
数学：2015-2025
英语：2015-2025（含听力）
物理：2015-2025
生物：2015-2025
化学：2015-2025
政治：2015-2025
历史：2015-2025
地理：2015-2025
【特别说明】
文件格式：所有试卷为word及pdf无水印
发货方式：通过度盘+夸克即时发送下载链接
看清楚每个科目的试卷年份再拍，虚拟物品，不接受退款
</t>
        </is>
      </c>
      <c r="C125" s="2" t="str">
        <f>=HYPERLINK("http://img.alicdn.com/bao/uploaded/i2/O1CN01DMCrmW1eps3mD6vqD_!!4611686018427383265-0-fleamarket.jpg_790x10000Q90.jpg_.webp", "img.alicdn.com/bao/uploaded/i2/O1CN01DMCrmW1eps3mD6vqD_!!4611686018427383265-0-fleamarket.jpg_790x10000Q90.jpg_.webp")</f>
        <v>img.alicdn.com/bao/uploaded/i2/O1CN01DMCrmW1eps3mD6vqD_!!4611686018427383265-0-fleamarket.jpg_790x10000Q90.jpg_.webp</v>
      </c>
      <c r="D125" s="2" t="str">
        <f>=HYPERLINK("https://www.goofish.com/item?spm=a21ybx.search.searchFeedList.5.428b3984Nd7G6J&amp;id=969281554094&amp;categoryId=202036301", "https://www.goofish.com/item?spm=a21ybx.search.searchFeedList.5.428b3984Nd7G6J&amp;id=969281554094&amp;categoryId=202036301")</f>
        <v>https://www.goofish.com/item?spm=a21ybx.search.searchFeedList.5.428b3984Nd7G6J&amp;id=969281554094&amp;categoryId=202036301</v>
      </c>
    </row>
    <row r="126" ht="25.5" customHeight="1">
      <c r="A126">
        <v>964480196434</v>
      </c>
      <c r="B126" t="inlineStr">
        <is>
          <t>【2025江苏事业单位经济类-元宵&amp;米fan全程班】|||
[火][火][火]备考会计审计类、统计及其他类的同学均可适用
（有历年真题，讲义等好多资料，行测花生十三等资料需要的也可以免费送）
[红旗]元宵包含基础班、刷题班、真题班等
[红旗]米fan包含理论攻坚班、专项刷题班、考前冲刺班
[红旗]送2025江苏事业单位考试经济类（会计、审计）专技岗2016-2024历年真题试卷+答案（zhuan业部分 PDF版可打印）
</t>
        </is>
      </c>
      <c r="C126" s="2" t="str">
        <f>=HYPERLINK("http://img.alicdn.com/bao/uploaded/i3/O1CN01qQSK301zDUnh55g32_!!4611686018427385096-53-fleamarket.heic_790x10000Q90.jpg_.webp", "img.alicdn.com/bao/uploaded/i3/O1CN01qQSK301zDUnh55g32_!!4611686018427385096-53-fleamarket.heic_790x10000Q90.jpg_.webp")</f>
        <v>img.alicdn.com/bao/uploaded/i3/O1CN01qQSK301zDUnh55g32_!!4611686018427385096-53-fleamarket.heic_790x10000Q90.jpg_.webp</v>
      </c>
      <c r="D126" s="2" t="str">
        <f>=HYPERLINK("https://www.goofish.com/item?spm=a21ybx.search.searchFeedList.12.428b3984Nd7G6J&amp;id=964480196434&amp;categoryId=202036301", "https://www.goofish.com/item?spm=a21ybx.search.searchFeedList.12.428b3984Nd7G6J&amp;id=964480196434&amp;categoryId=202036301")</f>
        <v>https://www.goofish.com/item?spm=a21ybx.search.searchFeedList.12.428b3984Nd7G6J&amp;id=964480196434&amp;categoryId=202036301</v>
      </c>
    </row>
    <row r="127" ht="25.5" customHeight="1">
      <c r="A127">
        <v>1000953537341</v>
      </c>
      <c r="B127" t="inlineStr">
        <is>
          <t>【上岸资料自动发】2026年初级护师资料护考资料历年考试真题考点可打印PDF
备考2026年初级护的友友们可以复习啦
已上岸，自用资料分享
内容:
真题：2010-2025年
（题目答案分开，便于打印出来做）
考点笔记
口诀速记
需要用到的计算公式
模拟题
高频考题
售后:
自动发货哈，不用问在不在，直接拍，自动发的哈!认真的宝dou可以过的哈!有问题点右下角咨询哦
</t>
        </is>
      </c>
      <c r="C127" s="2" t="str">
        <f>=HYPERLINK("http://img.alicdn.com/bao/uploaded/i2/1072617969/O1CN01Q4Q4bx28jrMEGsf3s_!!4611686018427386353-0-xy_item.jpg_790x10000Q90.jpg_.webp", "img.alicdn.com/bao/uploaded/i2/1072617969/O1CN01Q4Q4bx28jrMEGsf3s_!!4611686018427386353-0-xy_item.jpg_790x10000Q90.jpg_.webp")</f>
        <v>img.alicdn.com/bao/uploaded/i2/1072617969/O1CN01Q4Q4bx28jrMEGsf3s_!!4611686018427386353-0-xy_item.jpg_790x10000Q90.jpg_.webp</v>
      </c>
      <c r="D127" s="2" t="str">
        <f>=HYPERLINK("https://www.goofish.com/item?spm=a21ybx.search.searchFeedList.29.428b3984Nd7G6J&amp;id=1000953537341&amp;categoryId=202036301", "https://www.goofish.com/item?spm=a21ybx.search.searchFeedList.29.428b3984Nd7G6J&amp;id=1000953537341&amp;categoryId=202036301")</f>
        <v>https://www.goofish.com/item?spm=a21ybx.search.searchFeedList.29.428b3984Nd7G6J&amp;id=1000953537341&amp;categoryId=202036301</v>
      </c>
    </row>
    <row r="128" ht="25.5" customHeight="1">
      <c r="A128">
        <v>984519116034</v>
      </c>
      <c r="B128" t="inlineStr">
        <is>
          <t>【自动发货】江苏中考译林版首字母填空高频词汇总中考复习必备（无水印版，打印更清晰）
【江苏中考英语资料】译林版首字母填空高频词汇+专项题库
你还在为中考首字母填空丢分焦虑吗？
耗时3年追踪江苏13市中考真题+模拟题，发现一个惊人规律：95%的答案词汇在历年考题中反复出现！这份资料已更新至2024年秋季，涵盖：
中考真题高频词库（含变形词/近义词对照）
传统文化专项10篇（附逐题解析）
7-9年级分级训练75篇（七年级打基础/八年级提能力/九年级冲满分）
独家「上下文猜词技巧」笔记（攻克剩下5%低频词）
为什么这份资料能帮你抢分？
【精准狙击考点】统计显示：背熟这些高频词，首字母填空正确率立涨80%
【解析比老师更详细】每篇配套专业解析，一眼看懂命题人陷阱
【考前急救神器】最后两周每天花15分钟过词库，考场看到熟悉单词直接填
注意：低频词≠难词！我们已标注「语境记忆法」，配合10篇传统文化专项训练，陌生词也能轻松破解。
资料包含：
电子版（可打印）+ 高频词速记表（按词频排序）
中考倒计时，别让首字母成为你的失分痛点！点击「我想要」获取改变命运的词汇钥匙！网盘发货，非纸质材料。
</t>
        </is>
      </c>
      <c r="C128" s="2" t="str">
        <f>=HYPERLINK("http://img.alicdn.com/bao/uploaded/i3/O1CN01I0nG7r2Lo3z4hUciJ_!!4611686018427380138-53-fleamarket.heic_790x10000Q90.jpg_.webp", "img.alicdn.com/bao/uploaded/i3/O1CN01I0nG7r2Lo3z4hUciJ_!!4611686018427380138-53-fleamarket.heic_790x10000Q90.jpg_.webp")</f>
        <v>img.alicdn.com/bao/uploaded/i3/O1CN01I0nG7r2Lo3z4hUciJ_!!4611686018427380138-53-fleamarket.heic_790x10000Q90.jpg_.webp</v>
      </c>
      <c r="D128" s="2" t="str">
        <f>=HYPERLINK("https://www.goofish.com/item?spm=a21ybx.search.searchFeedList.7.428b3984Nd7G6J&amp;id=984519116034&amp;categoryId=202036301", "https://www.goofish.com/item?spm=a21ybx.search.searchFeedList.7.428b3984Nd7G6J&amp;id=984519116034&amp;categoryId=202036301")</f>
        <v>https://www.goofish.com/item?spm=a21ybx.search.searchFeedList.7.428b3984Nd7G6J&amp;id=984519116034&amp;categoryId=202036301</v>
      </c>
    </row>
    <row r="129" ht="25.5" customHeight="1">
      <c r="A129">
        <v>1026613023754</v>
      </c>
      <c r="B129" t="inlineStr">
        <is>
          <t>【秒发】华研专八全套电子版备考资料
即可获得，直接拍就行有货，是26最新版
内含：
1.1996-2025专八真题及解析(所有听力带音频)
2-专八听力800题
3－专八改错1100题
4-专八写作100篇
5-专八阅读180篇
6-专八词汇13000
7-专八翻译160篇
24小时内发货
已经发货，概不退货
</t>
        </is>
      </c>
      <c r="C129" s="2" t="str">
        <f>=HYPERLINK("http://img.alicdn.com/bao/uploaded/i3/2221793078622/O1CN01xa9VP32DYw0MYwaej_!!4611686018427383134-53-xy_item.heic_790x10000Q90.jpg_.webp", "img.alicdn.com/bao/uploaded/i3/2221793078622/O1CN01xa9VP32DYw0MYwaej_!!4611686018427383134-53-xy_item.heic_790x10000Q90.jpg_.webp")</f>
        <v>img.alicdn.com/bao/uploaded/i3/2221793078622/O1CN01xa9VP32DYw0MYwaej_!!4611686018427383134-53-xy_item.heic_790x10000Q90.jpg_.webp</v>
      </c>
      <c r="D129" s="2" t="str">
        <f>=HYPERLINK("https://www.goofish.com/item?spm=a21ybx.search.searchFeedList.3.428b3984Nd7G6J&amp;id=1026613023754&amp;categoryId=202036301", "https://www.goofish.com/item?spm=a21ybx.search.searchFeedList.3.428b3984Nd7G6J&amp;id=1026613023754&amp;categoryId=202036301")</f>
        <v>https://www.goofish.com/item?spm=a21ybx.search.searchFeedList.3.428b3984Nd7G6J&amp;id=1026613023754&amp;categoryId=202036301</v>
      </c>
    </row>
    <row r="130" ht="25.5" customHeight="1">
      <c r="A130">
        <v>902967415739</v>
      </c>
      <c r="B130" t="inlineStr">
        <is>
          <t>安徽专升本真题 英语➕数学
历年真题试卷（年份齐全）
全网最清晰的真题试卷
英语03-5年真题，共17套真题
数学04-25年真题，共16套真题
真题与答案分开，方便大家打印
英语作文模板➕固定搭配➕常用短语，常考词汇
1.5元为电子版的价格，可以选择纸质版的，纸质版英语+数学价格15元，顺丰包邮，买纸质版送电子版，别的年份真题可以自己打印，有需要纸质版的一定要提前联系！包售后
</t>
        </is>
      </c>
      <c r="C130" s="2" t="str">
        <f>=HYPERLINK("http://img.alicdn.com/bao/uploaded/i3/3576945370/O1CN01CYlPD71pXW02zc8zP_!!4611686018427386586-53-xy_item.heic_790x10000Q90.jpg_.webp", "img.alicdn.com/bao/uploaded/i3/3576945370/O1CN01CYlPD71pXW02zc8zP_!!4611686018427386586-53-xy_item.heic_790x10000Q90.jpg_.webp")</f>
        <v>img.alicdn.com/bao/uploaded/i3/3576945370/O1CN01CYlPD71pXW02zc8zP_!!4611686018427386586-53-xy_item.heic_790x10000Q90.jpg_.webp</v>
      </c>
      <c r="D130" s="2" t="str">
        <f>=HYPERLINK("https://www.goofish.com/item?spm=a21ybx.search.searchFeedList.23.428b3984Nd7G6J&amp;id=902967415739&amp;categoryId=202036301", "https://www.goofish.com/item?spm=a21ybx.search.searchFeedList.23.428b3984Nd7G6J&amp;id=902967415739&amp;categoryId=202036301")</f>
        <v>https://www.goofish.com/item?spm=a21ybx.search.searchFeedList.23.428b3984Nd7G6J&amp;id=902967415739&amp;categoryId=202036301</v>
      </c>
    </row>
    <row r="131" ht="25.5" customHeight="1">
      <c r="A131">
        <v>1028846259907</v>
      </c>
      <c r="B131" t="inlineStr">
        <is>
          <t>【2026考研魔方笔记701全套PDF】民、刑、宪、理、民诉五科笔记+2016-2025年真题，内容超全，高清彩色电子版，网盘发货～
只提供笔记资料，不含实物，需要的直接拍就行啦！里面有20个文件，增补勘误都有，配套真题配套，复习很方便，适合考研、保研、期末复习用，资料很详细，直接拿来用就行～
资料为网络收集，仅供学习交流，版权归原作者所有，如有侵权请联系删除。
电子资料售出不退，介意慎拍哈～需要保研咨询服务也可以私聊，价格可聊，欢迎来问！
喜欢直接拍，细节私聊发图～
</t>
        </is>
      </c>
      <c r="C131" s="2" t="str">
        <f>=HYPERLINK("http://img.alicdn.com/bao/uploaded/i2/2012951904/O1CN010Z2xHv1Pw5Ehb2oY4_!!4611686018427385184-53-xy_item.heic_790x10000Q90.jpg_.webp", "img.alicdn.com/bao/uploaded/i2/2012951904/O1CN010Z2xHv1Pw5Ehb2oY4_!!4611686018427385184-53-xy_item.heic_790x10000Q90.jpg_.webp")</f>
        <v>img.alicdn.com/bao/uploaded/i2/2012951904/O1CN010Z2xHv1Pw5Ehb2oY4_!!4611686018427385184-53-xy_item.heic_790x10000Q90.jpg_.webp</v>
      </c>
      <c r="D131" s="2" t="str">
        <f>=HYPERLINK("https://www.goofish.com/item?spm=a21ybx.search.searchFeedList.8.428b3984Nd7G6J&amp;id=1028846259907&amp;categoryId=202036301", "https://www.goofish.com/item?spm=a21ybx.search.searchFeedList.8.428b3984Nd7G6J&amp;id=1028846259907&amp;categoryId=202036301")</f>
        <v>https://www.goofish.com/item?spm=a21ybx.search.searchFeedList.8.428b3984Nd7G6J&amp;id=1028846259907&amp;categoryId=202036301</v>
      </c>
    </row>
    <row r="132" ht="25.5" customHeight="1">
      <c r="A132">
        <v>1021239517689</v>
      </c>
      <c r="B132" t="inlineStr">
        <is>
          <t>秒发【2026护士执业资格考试资料】电子版pdf
资料很全，名师讲解+考点整理+题库练习，适合备考冲刺，内容覆盖教材重点，直接在平板上做笔记、查关键词很方便！
自动发货 百度网盘
虚拟商品，不退不换，喜欢直接拍
</t>
        </is>
      </c>
      <c r="C132" s="2" t="str">
        <f>=HYPERLINK("http://img.alicdn.com/bao/uploaded/i3/2215978893099/O1CN016G0XEU1YlOWx6E8Oq_!!4611686018427387691-53-xy_item.heic_790x10000Q90.jpg_.webp", "img.alicdn.com/bao/uploaded/i3/2215978893099/O1CN016G0XEU1YlOWx6E8Oq_!!4611686018427387691-53-xy_item.heic_790x10000Q90.jpg_.webp")</f>
        <v>img.alicdn.com/bao/uploaded/i3/2215978893099/O1CN016G0XEU1YlOWx6E8Oq_!!4611686018427387691-53-xy_item.heic_790x10000Q90.jpg_.webp</v>
      </c>
      <c r="D132" s="2" t="str">
        <f>=HYPERLINK("https://www.goofish.com/item?spm=a21ybx.search.searchFeedList.18.428b3984Nd7G6J&amp;id=1021239517689&amp;categoryId=202036301", "https://www.goofish.com/item?spm=a21ybx.search.searchFeedList.18.428b3984Nd7G6J&amp;id=1021239517689&amp;categoryId=202036301")</f>
        <v>https://www.goofish.com/item?spm=a21ybx.search.searchFeedList.18.428b3984Nd7G6J&amp;id=1021239517689&amp;categoryId=202036301</v>
      </c>
    </row>
    <row r="133" ht="25.5" customHeight="1">
      <c r="A133">
        <v>703788963045</v>
      </c>
      <c r="B133" t="inlineStr">
        <is>
          <t>天一金融期货从业资格考试教材真题试卷必刷题基础知识法律法规
喜欢的同学可以点点关注，每月抽奖送书
全新正版，需要的同学点击我想要，点击立即购买直接拍。
最快当天发货，最迟48小时之内发货，特殊情况除外。
包邮，偏远地区不包邮，偏远地区需要发货的可以补运费。
不满意支持退换货，包售后。
【书名】期货从业资格考试
【出版社】西南财经大学出版社
【作者】期货从业人员资格考试命题研究组 著
【ISBN编码】9787550447479</t>
        </is>
      </c>
      <c r="C133" s="2" t="str">
        <f>=HYPERLINK("http://img.alicdn.com/bao/uploaded/i1/O1CN01w8WOL31HdkRaV2FTM_!!4611686018427382557-0-fleamarket.jpg_790x10000Q90.jpg_.webp", "img.alicdn.com/bao/uploaded/i1/O1CN01w8WOL31HdkRaV2FTM_!!4611686018427382557-0-fleamarket.jpg_790x10000Q90.jpg_.webp")</f>
        <v>img.alicdn.com/bao/uploaded/i1/O1CN01w8WOL31HdkRaV2FTM_!!4611686018427382557-0-fleamarket.jpg_790x10000Q90.jpg_.webp</v>
      </c>
      <c r="D133" s="2" t="str">
        <f>=HYPERLINK("https://www.goofish.com/item?spm=a21ybx.search.searchFeedList.5.428b3984Nd7G6J&amp;id=703788963045&amp;categoryId=127812005", "https://www.goofish.com/item?spm=a21ybx.search.searchFeedList.5.428b3984Nd7G6J&amp;id=703788963045&amp;categoryId=127812005")</f>
        <v>https://www.goofish.com/item?spm=a21ybx.search.searchFeedList.5.428b3984Nd7G6J&amp;id=703788963045&amp;categoryId=127812005</v>
      </c>
    </row>
    <row r="134" ht="25.5" customHeight="1">
      <c r="A134">
        <v>878946153135</v>
      </c>
      <c r="B134" t="inlineStr">
        <is>
          <t>[自动发货]2627年考研张伟男数学全程班
26年张伟男数学全程班 [含基础阶段讲义（考点清单）➕强化阶段讲义（题型清单）➕压箱底讲义及课堂笔记➕伟男核心公式讲义（公式大全）]
点“立即购买”有不同款式可选，拍价就是卖价，需要直接拍，自动发货！
27版（今年考）全程班包售后，包更新到考前，包不加密，送26全部全程班！
含习题册解析！（都有文字解析，部分有视频解析，都可直接看！）
27伟男全程班更新至：基础阶段第三节课
有任何问题请先看商品详情和图片！所见即所得！
考研海绵CC课程
摆渡网盘发货！不加密，无需播放器，mp4格式！
适用于MBA、MPA、MPAcc、MEM等专业备考199管综管理类联考的同学
包括1.基础阶段 2.强化阶段 3.真题阶段 4.压箱底技巧阶段 5.最后三小时 6.压题卷（押题卷）7.六套卷、课后习题、周测、大模考
26版真题讲解从16-25年，一整套的讲。
26年资料购买后转发摆渡网盘链接；
27全程班发货方式默认为进摆渡网盘群，课后3天内更新，更新会在群里通知，若需发货文件链接可留言
电子资料发货不支持退款，有问题先看详情和图片，详情和图片没有介绍再来问商家。
含习题册解析！（都有文字解析，部分有视频解析）所见即所得！本人自用！包售后，不会跑！
</t>
        </is>
      </c>
      <c r="C134" s="2" t="str">
        <f>=HYPERLINK("http://img.alicdn.com/bao/uploaded/i1/2216530305565/O1CN0105bezI1qypEZvP0pd_!!4611686018427380253-53-xy_item.heic_790x10000Q90.jpg_.webp", "img.alicdn.com/bao/uploaded/i1/2216530305565/O1CN0105bezI1qypEZvP0pd_!!4611686018427380253-53-xy_item.heic_790x10000Q90.jpg_.webp")</f>
        <v>img.alicdn.com/bao/uploaded/i1/2216530305565/O1CN0105bezI1qypEZvP0pd_!!4611686018427380253-53-xy_item.heic_790x10000Q90.jpg_.webp</v>
      </c>
      <c r="D134" s="2" t="str">
        <f>=HYPERLINK("https://www.goofish.com/item?spm=a21ybx.search.searchFeedList.20.428b3984Nd7G6J&amp;id=878946153135&amp;categoryId=202036301", "https://www.goofish.com/item?spm=a21ybx.search.searchFeedList.20.428b3984Nd7G6J&amp;id=878946153135&amp;categoryId=202036301")</f>
        <v>https://www.goofish.com/item?spm=a21ybx.search.searchFeedList.20.428b3984Nd7G6J&amp;id=878946153135&amp;categoryId=202036301</v>
      </c>
    </row>
    <row r="135" ht="25.5" customHeight="1">
      <c r="A135">
        <v>989240375232</v>
      </c>
      <c r="B135" t="inlineStr">
        <is>
          <t>【秒发】26深圳教师各区真题笔试＋面试2025届-2024届深圳教师校招笔试➕面试真题合集，可精准知晓各区考试特点，出题方向，涵盖深圳10个区58套深圳教师校招笔试真题。
]含历年面试资料真题
[1]✅发货: 佰度网盘24h自动发货
[2]✅下单: 直接拼或者2人刀(即使不成团看到立马免拼)
[3]✅说明：真题题目均为考生回忆版，每套真题收集到的题量大部分是35-50题，少部分是10-20题
❗TIPS： 直接买，自动秒发货！ 小刀需要拼成功可能要等待
</t>
        </is>
      </c>
      <c r="C135" s="2" t="str">
        <f>=HYPERLINK("http://img.alicdn.com/bao/uploaded/i2/2220918390485/O1CN01TCs1xs1FSBC09HYVS_!!2220918390485-0-xy_item.jpg_790x10000Q90.jpg_.webp", "img.alicdn.com/bao/uploaded/i2/2220918390485/O1CN01TCs1xs1FSBC09HYVS_!!2220918390485-0-xy_item.jpg_790x10000Q90.jpg_.webp")</f>
        <v>img.alicdn.com/bao/uploaded/i2/2220918390485/O1CN01TCs1xs1FSBC09HYVS_!!2220918390485-0-xy_item.jpg_790x10000Q90.jpg_.webp</v>
      </c>
      <c r="D135" s="2" t="str">
        <f>=HYPERLINK("https://www.goofish.com/item?spm=a21ybx.search.searchFeedList.16.428b3984Nd7G6J&amp;id=989240375232&amp;categoryId=202036301", "https://www.goofish.com/item?spm=a21ybx.search.searchFeedList.16.428b3984Nd7G6J&amp;id=989240375232&amp;categoryId=202036301")</f>
        <v>https://www.goofish.com/item?spm=a21ybx.search.searchFeedList.16.428b3984Nd7G6J&amp;id=989240375232&amp;categoryId=202036301</v>
      </c>
    </row>
    <row r="136" ht="25.5" customHeight="1">
      <c r="A136">
        <v>976634489198</v>
      </c>
      <c r="B136" t="inlineStr">
        <is>
          <t>【自动发货】辅警考试资料全套来啦！
【K58自动发货】辅警考试资料全套来啦！
包括历年真题、公安基础、公共基础、行测、时政等，各地辅警招聘必备！资料齐全，PDF可打印，随时随地背诵。
基础弱的宝子们一定要抓住这些重点：
- 《25辅警往年真题卷》
- 《25辅警公安基础13页纸》
- 《25辅警公安知识思维导图》
- 《25辅警公共基础高频考点》
- 《25辅警法律知识速记》
- 《25辅警行测三色笔记》
- 《25辅警时政重点320题》
按计划复习，一次过线真的不难！辅警加油，努力终会有收获！
注意：度盘秒发.支持随时退主打免费分享
</t>
        </is>
      </c>
      <c r="C136" s="2" t="str">
        <f>=HYPERLINK("http://img.alicdn.com/bao/uploaded/i2/O1CN01GuALUF1JnwSrg4M16_!!4611686018427381426-0-fleamarket.jpg_790x10000Q90.jpg_.webp", "img.alicdn.com/bao/uploaded/i2/O1CN01GuALUF1JnwSrg4M16_!!4611686018427381426-0-fleamarket.jpg_790x10000Q90.jpg_.webp")</f>
        <v>img.alicdn.com/bao/uploaded/i2/O1CN01GuALUF1JnwSrg4M16_!!4611686018427381426-0-fleamarket.jpg_790x10000Q90.jpg_.webp</v>
      </c>
      <c r="D136" s="2" t="str">
        <f>=HYPERLINK("https://www.goofish.com/item?spm=a21ybx.search.searchFeedList.11.428b3984Nd7G6J&amp;id=976634489198&amp;categoryId=202036301", "https://www.goofish.com/item?spm=a21ybx.search.searchFeedList.11.428b3984Nd7G6J&amp;id=976634489198&amp;categoryId=202036301")</f>
        <v>https://www.goofish.com/item?spm=a21ybx.search.searchFeedList.11.428b3984Nd7G6J&amp;id=976634489198&amp;categoryId=202036301</v>
      </c>
    </row>
    <row r="137" ht="25.5" customHeight="1">
      <c r="A137">
        <v>1014159110100</v>
      </c>
      <c r="B137" t="inlineStr">
        <is>
          <t>广东专插本英语近10年真题PDF高清版，含答案解析！备考必备
，刷题超实用～
非纸质，电zi版，bd网盘发，标价就是整理费，直拍直发，一旦售出不退不换，感谢理解
✅欢迎需要的朋友自助拍下哦！</t>
        </is>
      </c>
      <c r="C137" s="2" t="str">
        <f>=HYPERLINK("http://img.alicdn.com/bao/uploaded/i1/2221287506386/O1CN01zGnq2I1x2qOYFBDCX_!!4611686018427380178-0-xy_item.jpg_790x10000Q90.jpg_.webp", "img.alicdn.com/bao/uploaded/i1/2221287506386/O1CN01zGnq2I1x2qOYFBDCX_!!4611686018427380178-0-xy_item.jpg_790x10000Q90.jpg_.webp")</f>
        <v>img.alicdn.com/bao/uploaded/i1/2221287506386/O1CN01zGnq2I1x2qOYFBDCX_!!4611686018427380178-0-xy_item.jpg_790x10000Q90.jpg_.webp</v>
      </c>
      <c r="D137" s="2" t="str">
        <f>=HYPERLINK("https://www.goofish.com/item?spm=a21ybx.search.searchFeedList.7.428b3984Nd7G6J&amp;id=1014159110100&amp;categoryId=202036301", "https://www.goofish.com/item?spm=a21ybx.search.searchFeedList.7.428b3984Nd7G6J&amp;id=1014159110100&amp;categoryId=202036301")</f>
        <v>https://www.goofish.com/item?spm=a21ybx.search.searchFeedList.7.428b3984Nd7G6J&amp;id=1014159110100&amp;categoryId=202036301</v>
      </c>
    </row>
    <row r="138" ht="25.5" customHeight="1">
      <c r="A138">
        <v>1001394619306</v>
      </c>
      <c r="B138" t="inlineStr">
        <is>
          <t>【备考2026】2002-2025安徽专升本真题及解析，语数英3科全发
英语+语文+数学 包含答案和解析
英语2003--2025年真题
语文2003--2025年真题
数学2003--2025年真题
试卷和解析分开，方便打印做题，部分试卷有水印，介意勿拍
非纸质，电zi版，网盘发，标价就是整理费，直拍直发，一旦售出不退不换，感谢理解
✅欢迎需要的朋友自助拍下哦！</t>
        </is>
      </c>
      <c r="C138" s="2" t="str">
        <f>=HYPERLINK("http://img.alicdn.com/bao/uploaded/i4/O1CN01AHhnv722Fjc696NRx_!!4611686018427380131-0-fleamarket.jpg_790x10000Q90.jpg_.webp", "img.alicdn.com/bao/uploaded/i4/O1CN01AHhnv722Fjc696NRx_!!4611686018427380131-0-fleamarket.jpg_790x10000Q90.jpg_.webp")</f>
        <v>img.alicdn.com/bao/uploaded/i4/O1CN01AHhnv722Fjc696NRx_!!4611686018427380131-0-fleamarket.jpg_790x10000Q90.jpg_.webp</v>
      </c>
      <c r="D138" s="2" t="str">
        <f>=HYPERLINK("https://www.goofish.com/item?spm=a21ybx.search.searchFeedList.5.428b3984Nd7G6J&amp;id=1001394619306&amp;categoryId=202036301", "https://www.goofish.com/item?spm=a21ybx.search.searchFeedList.5.428b3984Nd7G6J&amp;id=1001394619306&amp;categoryId=202036301")</f>
        <v>https://www.goofish.com/item?spm=a21ybx.search.searchFeedList.5.428b3984Nd7G6J&amp;id=1001394619306&amp;categoryId=202036301</v>
      </c>
    </row>
    <row r="139" ht="25.5" customHeight="1">
      <c r="A139">
        <v>987074139012</v>
      </c>
      <c r="B139" t="inlineStr">
        <is>
          <t>【剑20版2026最新版两件套】雅思王听力真题语料库王陆+王陆807雅思词汇精讲pdf书籍电子版，更含王陆自动批改excel剑20版
雅思王听力真题语料库王陆+王陆807雅思词汇精讲pdf书籍电子版
和配套音频和网课
</t>
        </is>
      </c>
      <c r="C139" s="2" t="str">
        <f>=HYPERLINK("http://img.alicdn.com/bao/uploaded/i2/O1CN01yvJ0sO1kEDCQ1YgUC_!!4611686018427381723-2-fleamarket.png_790x10000.jpg_.webp", "img.alicdn.com/bao/uploaded/i2/O1CN01yvJ0sO1kEDCQ1YgUC_!!4611686018427381723-2-fleamarket.png_790x10000.jpg_.webp")</f>
        <v>img.alicdn.com/bao/uploaded/i2/O1CN01yvJ0sO1kEDCQ1YgUC_!!4611686018427381723-2-fleamarket.png_790x10000.jpg_.webp</v>
      </c>
      <c r="D139" s="2" t="str">
        <f>=HYPERLINK("https://www.goofish.com/item?spm=a21ybx.search.searchFeedList.27.428b3984Nd7G6J&amp;id=987074139012&amp;categoryId=202036301", "https://www.goofish.com/item?spm=a21ybx.search.searchFeedList.27.428b3984Nd7G6J&amp;id=987074139012&amp;categoryId=202036301")</f>
        <v>https://www.goofish.com/item?spm=a21ybx.search.searchFeedList.27.428b3984Nd7G6J&amp;id=987074139012&amp;categoryId=202036301</v>
      </c>
    </row>
    <row r="140" ht="25.5" customHeight="1">
      <c r="A140">
        <v>903534492630</v>
      </c>
      <c r="B140" t="inlineStr">
        <is>
          <t>2026年大学生英语竞赛题库大英赛题库大英赛题库C类大英赛刷题app
A类B类C类D类 都有哦！
科目名称：
a类（研究生）
b类（英语专业）
c类（本科生）
d类（专科生）
题库包含章节练习、历年真题、预侧试卷、考前点题等板块
题库支持手机、电脑、平板登录使用
有效期365天，不定时更新
独立账号，一人一码
欢迎自助下单哦
</t>
        </is>
      </c>
      <c r="C140" s="2" t="str">
        <f>=HYPERLINK("http://img.alicdn.com/bao/uploaded/i4/O1CN012RGzGF2C5Ki4Um2uC_!!4611686018427385366-53-fleamarket.heic_790x10000Q90.jpg_.webp", "img.alicdn.com/bao/uploaded/i4/O1CN012RGzGF2C5Ki4Um2uC_!!4611686018427385366-53-fleamarket.heic_790x10000Q90.jpg_.webp")</f>
        <v>img.alicdn.com/bao/uploaded/i4/O1CN012RGzGF2C5Ki4Um2uC_!!4611686018427385366-53-fleamarket.heic_790x10000Q90.jpg_.webp</v>
      </c>
      <c r="D140" s="2" t="str">
        <f>=HYPERLINK("https://www.goofish.com/item?spm=a21ybx.search.searchFeedList.9.428b3984Nd7G6J&amp;id=903534492630&amp;categoryId=202036301", "https://www.goofish.com/item?spm=a21ybx.search.searchFeedList.9.428b3984Nd7G6J&amp;id=903534492630&amp;categoryId=202036301")</f>
        <v>https://www.goofish.com/item?spm=a21ybx.search.searchFeedList.9.428b3984Nd7G6J&amp;id=903534492630&amp;categoryId=202036301</v>
      </c>
    </row>
    <row r="141" ht="25.5" customHeight="1">
      <c r="A141">
        <v>950582531142</v>
      </c>
      <c r="B141" t="inlineStr">
        <is>
          <t>【A79秒发货】[火]【安徽事业编&amp;事业单位】真题518套（附答案和解析）
安徽事业单位&amp;事业编历年职测、公基、综应等真题，包含4个资源渠道，真题共518套（不同渠道部分真题有重复），带有答案和解析
★除全国联考外各资源渠道一般均无最新真题，介意者勿拍❌！
具体资料如下：
1️⃣【资源一】安徽事业单位真题125套
省属、安庆、滁州、阜阳、合肥、淮北、黄山、马鞍山、宿州、芜湖等地市真题共125套
2️⃣【资源二】安徽事业单位真题144套
职测真题12套、公基真题122套、综应真题14套
3️⃣【资源三】安徽事业单位真题92套
各地市职测、公基真题等共92套
4️⃣【资源四】全国事业单位联考ABCDE类真题157套
A类真题35套、B类真题31套、C类真题31套、D类真题31套、E类真题29套
标价即售价，直接下单即可；资料是电子版，非纸质书籍，一经出售发货不退不换！感谢理解！</t>
        </is>
      </c>
      <c r="C141" s="2" t="str">
        <f>=HYPERLINK("http://img.alicdn.com/bao/uploaded/i4/O1CN01n8KGyN1uqoiXrvFlX_!!4611686018427381897-0-fleamarket.jpg_790x10000Q90.jpg_.webp", "img.alicdn.com/bao/uploaded/i4/O1CN01n8KGyN1uqoiXrvFlX_!!4611686018427381897-0-fleamarket.jpg_790x10000Q90.jpg_.webp")</f>
        <v>img.alicdn.com/bao/uploaded/i4/O1CN01n8KGyN1uqoiXrvFlX_!!4611686018427381897-0-fleamarket.jpg_790x10000Q90.jpg_.webp</v>
      </c>
      <c r="D141" s="2" t="str">
        <f>=HYPERLINK("https://www.goofish.com/item?spm=a21ybx.search.searchFeedList.22.428b3984Nd7G6J&amp;id=950582531142&amp;categoryId=202036301", "https://www.goofish.com/item?spm=a21ybx.search.searchFeedList.22.428b3984Nd7G6J&amp;id=950582531142&amp;categoryId=202036301")</f>
        <v>https://www.goofish.com/item?spm=a21ybx.search.searchFeedList.22.428b3984Nd7G6J&amp;id=950582531142&amp;categoryId=202036301</v>
      </c>
    </row>
    <row r="142" ht="25.5" customHeight="1">
      <c r="A142">
        <v>987994601667</v>
      </c>
      <c r="B142" t="inlineStr">
        <is>
          <t>全新未拆封！新日本语能力考试真题大全N1/N2/N3
中国华侨出版社正版，带塑封
2021-2024年7月真题试卷7套，含历年真题、答案详解、阅读译文、听力音频
内容齐全，备考刷题很方便～
支持自提
价格可聊 喜欢直接拍 细节随时私聊～
新疆西藏运费另算
</t>
        </is>
      </c>
      <c r="C142" s="2" t="str">
        <f>=HYPERLINK("http://img.alicdn.com/bao/uploaded/i3/O1CN01D2bZjJ29sOLBRnnDn_!!4611686018427382059-0-fleamarket.jpg_790x10000Q90.jpg_.webp", "img.alicdn.com/bao/uploaded/i3/O1CN01D2bZjJ29sOLBRnnDn_!!4611686018427382059-0-fleamarket.jpg_790x10000Q90.jpg_.webp")</f>
        <v>img.alicdn.com/bao/uploaded/i3/O1CN01D2bZjJ29sOLBRnnDn_!!4611686018427382059-0-fleamarket.jpg_790x10000Q90.jpg_.webp</v>
      </c>
      <c r="D142" s="2" t="str">
        <f>=HYPERLINK("https://www.goofish.com/item?spm=a21ybx.search.searchFeedList.19.428b3984Nd7G6J&amp;id=987994601667&amp;categoryId=127812005", "https://www.goofish.com/item?spm=a21ybx.search.searchFeedList.19.428b3984Nd7G6J&amp;id=987994601667&amp;categoryId=127812005")</f>
        <v>https://www.goofish.com/item?spm=a21ybx.search.searchFeedList.19.428b3984Nd7G6J&amp;id=987994601667&amp;categoryId=127812005</v>
      </c>
    </row>
    <row r="143" ht="25.5" customHeight="1">
      <c r="A143">
        <v>1017874845019</v>
      </c>
      <c r="B143" t="inlineStr">
        <is>
          <t>五年高考真题分类汇编高考总复习专项练习试卷2026全国通用
2026版五年高考真题分类汇编（2021-2025），word版，可编辑、打印。
详细内容可看介绍和图片，分教师、学生版，带答案和解析，按专题分类，有考情分析、考点专练等。
语文：17个专题
数学：20个专题
英语：20个专题
物理：20个专题
化学：29个专题
生物：23个专题
政.治：29个专题
历史：25个专题
地理：15个专题
【秒发】佰度+侉克-拍下自动发货
标价就是卖价，直接拍，拍下发全部，请看清介绍内容再购买，拍下不退不换，感谢理解！
</t>
        </is>
      </c>
      <c r="C143" s="2" t="str">
        <f>=HYPERLINK("http://img.alicdn.com/bao/uploaded/i2/2221466459508/O1CN01UDo87Q2K6iudzMOI1_!!4611686018427387252-53-xy_item.heic_790x10000Q90.jpg_.webp", "img.alicdn.com/bao/uploaded/i2/2221466459508/O1CN01UDo87Q2K6iudzMOI1_!!4611686018427387252-53-xy_item.heic_790x10000Q90.jpg_.webp")</f>
        <v>img.alicdn.com/bao/uploaded/i2/2221466459508/O1CN01UDo87Q2K6iudzMOI1_!!4611686018427387252-53-xy_item.heic_790x10000Q90.jpg_.webp</v>
      </c>
      <c r="D143" s="2" t="str">
        <f>=HYPERLINK("https://www.goofish.com/item?spm=a21ybx.search.searchFeedList.8.428b3984Nd7G6J&amp;id=1017874845019&amp;categoryId=202036301", "https://www.goofish.com/item?spm=a21ybx.search.searchFeedList.8.428b3984Nd7G6J&amp;id=1017874845019&amp;categoryId=202036301")</f>
        <v>https://www.goofish.com/item?spm=a21ybx.search.searchFeedList.8.428b3984Nd7G6J&amp;id=1017874845019&amp;categoryId=202036301</v>
      </c>
    </row>
    <row r="144" ht="25.5" customHeight="1">
      <c r="A144">
        <v>988832511719</v>
      </c>
      <c r="B144" t="inlineStr">
        <is>
          <t>2026新版一本小学生小古文一二三四五六年级
✅语文科目与版本
1-6年级小古文
名师批注学课内外小古文
✅资料内容
每篇课文配有课外训练和真题检测
扫可听朗诵与视频讲解
每课都有名师批注
适合小学语文学习使用
✅资料形式
PDF
双盘第一时间发货，链接永久有效！
声明：
电子资料具有可复制性，一经发货不退不换！
资料仅供学习交流使用，不作为商业用途！
需要的同学可以直接拍下，有问题随时私聊！
</t>
        </is>
      </c>
      <c r="C144" s="2" t="str">
        <f>=HYPERLINK("http://img.alicdn.com/bao/uploaded/i4/O1CN016basD02HsPHX1JKgj_!!4611686018427381702-0-fleamarket.jpg_790x10000Q90.jpg_.webp", "img.alicdn.com/bao/uploaded/i4/O1CN016basD02HsPHX1JKgj_!!4611686018427381702-0-fleamarket.jpg_790x10000Q90.jpg_.webp")</f>
        <v>img.alicdn.com/bao/uploaded/i4/O1CN016basD02HsPHX1JKgj_!!4611686018427381702-0-fleamarket.jpg_790x10000Q90.jpg_.webp</v>
      </c>
      <c r="D144" s="2" t="str">
        <f>=HYPERLINK("https://www.goofish.com/item?spm=a21ybx.search.searchFeedList.2.428b3984Nd7G6J&amp;id=988832511719&amp;categoryId=202036301", "https://www.goofish.com/item?spm=a21ybx.search.searchFeedList.2.428b3984Nd7G6J&amp;id=988832511719&amp;categoryId=202036301")</f>
        <v>https://www.goofish.com/item?spm=a21ybx.search.searchFeedList.2.428b3984Nd7G6J&amp;id=988832511719&amp;categoryId=202036301</v>
      </c>
    </row>
    <row r="145" ht="25.5" customHeight="1">
      <c r="A145">
        <v>981984996010</v>
      </c>
      <c r="B145" t="inlineStr">
        <is>
          <t>自考00226知识产权法历年真题+解析+笔记+资料
看完必过！！！备考必刷题
已更新2025.10月真题，备考2026.4月
【内容】
自考00226知识产权法历年真题带答案，真题年份为2015年4月-2025年10月，总共21套真题，全带答案解析！拿来刷题再好不过了
自考00226知识产权法全书重点(可以一轮复习，用来打基础，适合基础薄弱的同学使用)
自考00226知识产权法模拟卷(适合一轮复习完后，刷题用）
自考00226知识产权法笔记总结和重点梳理(适合时间不充足的同学和二轮复习的同学使用）
自考00226知识产权法考前30天背诵，考前一周背诵，简答题等文档，适合考前拿来背诵以及冲刺使用！
基本这一份文档就足够了~
【特别说明】
文件格式：所有试卷为word及pdf
发货方式：通过度盘+夸克即时发送下载链接
看清楚每个科目的试卷年份再拍，虚拟物品，不接受退款
注意由于文档内容比较多，可能偶有瑕疵及水印，介意者或追求完美者勿拍勿扰！
</t>
        </is>
      </c>
      <c r="C145" s="2" t="str">
        <f>=HYPERLINK("http://img.alicdn.com/bao/uploaded/i3/O1CN01DmJHs31eps6BVvVmP_!!4611686018427383265-2-fleamarket.png_790x10000.jpg_.webp", "img.alicdn.com/bao/uploaded/i3/O1CN01DmJHs31eps6BVvVmP_!!4611686018427383265-2-fleamarket.png_790x10000.jpg_.webp")</f>
        <v>img.alicdn.com/bao/uploaded/i3/O1CN01DmJHs31eps6BVvVmP_!!4611686018427383265-2-fleamarket.png_790x10000.jpg_.webp</v>
      </c>
      <c r="D145" s="2" t="str">
        <f>=HYPERLINK("https://www.goofish.com/item?spm=a21ybx.search.searchFeedList.4.428b3984Nd7G6J&amp;id=981984996010&amp;categoryId=202036301", "https://www.goofish.com/item?spm=a21ybx.search.searchFeedList.4.428b3984Nd7G6J&amp;id=981984996010&amp;categoryId=202036301")</f>
        <v>https://www.goofish.com/item?spm=a21ybx.search.searchFeedList.4.428b3984Nd7G6J&amp;id=981984996010&amp;categoryId=202036301</v>
      </c>
    </row>
    <row r="146" ht="25.5" customHeight="1">
      <c r="A146">
        <v>1011529047107</v>
      </c>
      <c r="B146" t="inlineStr">
        <is>
          <t>2026年高级会计三色笔记，四色笔记，漫画笔记思维导图，学习计划表，教材页码对照，公式大全，真题，索引表，模拟真题卷，章节题和习题强化等持续更新中
高级会计资料包，很全很全！
电子版资料，内容齐全，适合备考
虚拟商品，发货不退不换
需要直接拍，有问题私聊
</t>
        </is>
      </c>
      <c r="C146" s="2" t="str">
        <f>=HYPERLINK("http://img.alicdn.com/bao/uploaded/i3/3537909408/O1CN012oKKVq2JMvIvxjUNT_!!4611686018427385504-53-xy_item.heic_790x10000Q90.jpg_.webp", "img.alicdn.com/bao/uploaded/i3/3537909408/O1CN012oKKVq2JMvIvxjUNT_!!4611686018427385504-53-xy_item.heic_790x10000Q90.jpg_.webp")</f>
        <v>img.alicdn.com/bao/uploaded/i3/3537909408/O1CN012oKKVq2JMvIvxjUNT_!!4611686018427385504-53-xy_item.heic_790x10000Q90.jpg_.webp</v>
      </c>
      <c r="D146" s="2" t="str">
        <f>=HYPERLINK("https://www.goofish.com/item?spm=a21ybx.search.searchFeedList.14.428b3984Nd7G6J&amp;id=1011529047107&amp;categoryId=201452411", "https://www.goofish.com/item?spm=a21ybx.search.searchFeedList.14.428b3984Nd7G6J&amp;id=1011529047107&amp;categoryId=201452411")</f>
        <v>https://www.goofish.com/item?spm=a21ybx.search.searchFeedList.14.428b3984Nd7G6J&amp;id=1011529047107&amp;categoryId=201452411</v>
      </c>
    </row>
    <row r="147" ht="25.5" customHeight="1">
      <c r="A147">
        <v>1017595270018</v>
      </c>
      <c r="B147" t="inlineStr">
        <is>
          <t>【秒发】2025安徽中考历年真题试卷电子版数学英语文物理化学
历史道法生物地理试题初三备考2026
[1]语数英物化历政：08-2025年。近十年含解析卷+空白卷，有详细解析。试卷全部带答案。英语2020-2024含听力音频
[2]生地：15-2025年，含解析卷+空白卷+答案，19统考前为部分地区卷。
试题均源自官方渠道，确保真实、准确，支持任何方式核对。Word电子版，高清无水印。支持下载、编辑、打印。
赠品：对应科目知识点归纳。
全部打包发给您只需要2.98r[超便宜][超便宜][超便宜]
语文 2008-2025
数学 2008-2025
英语 2008-2025 2020-2024含听力音频
物理 2008-2025
化学 2008-2025
历史 2008-2025
道法 2008-2025
生物 2015-2025
地理 2015-2025
#资料</t>
        </is>
      </c>
      <c r="C147" s="2" t="str">
        <f>=HYPERLINK("http://img.alicdn.com/bao/uploaded/i2/O1CN01d2BmTz2ANXG1jVf3G_!!4611686018427380863-53-fleamarket.heic_790x10000Q90.jpg_.webp", "img.alicdn.com/bao/uploaded/i2/O1CN01d2BmTz2ANXG1jVf3G_!!4611686018427380863-53-fleamarket.heic_790x10000Q90.jpg_.webp")</f>
        <v>img.alicdn.com/bao/uploaded/i2/O1CN01d2BmTz2ANXG1jVf3G_!!4611686018427380863-53-fleamarket.heic_790x10000Q90.jpg_.webp</v>
      </c>
      <c r="D147" s="2" t="str">
        <f>=HYPERLINK("https://www.goofish.com/item?spm=a21ybx.search.searchFeedList.2.428b3984Nd7G6J&amp;id=1017595270018&amp;categoryId=202036301", "https://www.goofish.com/item?spm=a21ybx.search.searchFeedList.2.428b3984Nd7G6J&amp;id=1017595270018&amp;categoryId=202036301")</f>
        <v>https://www.goofish.com/item?spm=a21ybx.search.searchFeedList.2.428b3984Nd7G6J&amp;id=1017595270018&amp;categoryId=202036301</v>
      </c>
    </row>
    <row r="148" ht="25.5" customHeight="1">
      <c r="A148">
        <v>1028881130205</v>
      </c>
      <c r="B148" t="inlineStr">
        <is>
          <t>老夏公务员面试全套资料2026升级版
送25年版本
【内容亮点】
- 89节视频课＋真题100题PDF＋30道母题＋150道重点＋逐字稿母题50道
- 2026最新PDF版本无视频，视频赠送之前的
- 适合国考、省考、事业单位面试备考，内容超全，讲义清晰明了，直接看讲义就行，视频就是老师念讲义，省时间
【发货方式】
双网盘自动发货，拍下秒发，省心方便
喜欢直接拍，标价就是售价
</t>
        </is>
      </c>
      <c r="C148" s="2" t="str">
        <f>=HYPERLINK("http://img.alicdn.com/bao/uploaded/i2/3651063081/O1CN01D73jsH1Yd9PCkZlH7_!!4611686018427383081-0-xy_item.jpg_790x10000Q90.jpg_.webp", "img.alicdn.com/bao/uploaded/i2/3651063081/O1CN01D73jsH1Yd9PCkZlH7_!!4611686018427383081-0-xy_item.jpg_790x10000Q90.jpg_.webp")</f>
        <v>img.alicdn.com/bao/uploaded/i2/3651063081/O1CN01D73jsH1Yd9PCkZlH7_!!4611686018427383081-0-xy_item.jpg_790x10000Q90.jpg_.webp</v>
      </c>
      <c r="D148" s="2" t="str">
        <f>=HYPERLINK("https://www.goofish.com/item?spm=a21ybx.search.searchFeedList.18.428b3984Nd7G6J&amp;id=1028881130205&amp;categoryId=202036301", "https://www.goofish.com/item?spm=a21ybx.search.searchFeedList.18.428b3984Nd7G6J&amp;id=1028881130205&amp;categoryId=202036301")</f>
        <v>https://www.goofish.com/item?spm=a21ybx.search.searchFeedList.18.428b3984Nd7G6J&amp;id=1028881130205&amp;categoryId=202036301</v>
      </c>
    </row>
    <row r="149" ht="25.5" customHeight="1">
      <c r="A149">
        <v>1022832348897</v>
      </c>
      <c r="B149" t="inlineStr">
        <is>
          <t>秒发【2026中考数学一轮复习讲义】word版，可编辑可打印，电子版资料，直接发～
内容包括知识点梳理+考点突破，精选2025中考真题，题型分类训练，教师版+学生版都有，适合初三数学复习，整理清晰，直接用很方便！
虚拟商品
自动发货 百度网盘，手机电脑都能下载，随时学习，不退不换～
</t>
        </is>
      </c>
      <c r="C149" s="2" t="str">
        <f>=HYPERLINK("http://img.alicdn.com/bao/uploaded/i1/2220705319325/O1CN01jbKdnb2IkuR75Yuyk_!!4611686018427382173-53-xy_item.heic_790x10000Q90.jpg_.webp", "img.alicdn.com/bao/uploaded/i1/2220705319325/O1CN01jbKdnb2IkuR75Yuyk_!!4611686018427382173-53-xy_item.heic_790x10000Q90.jpg_.webp")</f>
        <v>img.alicdn.com/bao/uploaded/i1/2220705319325/O1CN01jbKdnb2IkuR75Yuyk_!!4611686018427382173-53-xy_item.heic_790x10000Q90.jpg_.webp</v>
      </c>
      <c r="D149" s="2" t="str">
        <f>=HYPERLINK("https://www.goofish.com/item?spm=a21ybx.search.searchFeedList.13.428b3984Nd7G6J&amp;id=1022832348897&amp;categoryId=202036301", "https://www.goofish.com/item?spm=a21ybx.search.searchFeedList.13.428b3984Nd7G6J&amp;id=1022832348897&amp;categoryId=202036301")</f>
        <v>https://www.goofish.com/item?spm=a21ybx.search.searchFeedList.13.428b3984Nd7G6J&amp;id=1022832348897&amp;categoryId=202036301</v>
      </c>
    </row>
    <row r="150" ht="25.5" customHeight="1">
      <c r="A150">
        <v>1014567349496</v>
      </c>
      <c r="B150" t="inlineStr">
        <is>
          <t>2026版天利38套五年真题高考试题分类五年真题高考试题详解十年高考真题新教材适用语文数学英语物理化学生物政治历史地理五年汇编高考必刷题高三复习专题训练资料PDF—垫紫档
2026最新版！适用26高考
目前已更新3个系列：
1⃣️五年真题高考试题分类：
语文，数学，英语，物理，化学，生物，
政治，历史，地理
2⃣️五年高考真题汇编详解：
语文，数学，英语，物理，化学，生物，
政治，历史，地理
3⃣️10年高考真题
语文，数学，英语，物理，化学，生物，
政治，历史，地理
具体以价格选项为准，能拍就是更新了
✅除资料自带水印外，无其他水印！
✅看清楚介绍再拍！发货后不退不换！
注意：是最新版本，电zi版不是纸质版哦，别买错了～扫描版默认微瑕，介意勿拍！！！
✅秒拍秒退的请勿下单！
买前须知
┅┅┅┅┅┅┅┅┅┅┅┅┅┅┅
♦电zi素材，非实物，不用快递。只发网盘链结，链结永久有效！
♦下单请看好，因产品具有复制性，下单后不接受退货退款！
♦不懂网盘下载操作，要求发邮箱附件的，请勿拍!
♦不指导软件操作，无远程服务，不帮转格式，对软件操作不熟的请慎拍！
免责声明┅┅┅┅┅┅┅┅┅┅┅┅┅┅┅
1.所有文件均获取自网络公开渠道，仅供学习和交流使用，所有版权归作者版权人所有。
2.如有侵犯版权。可跟店主沟通，配合下架。谢谢！
3.本店所有商品售价仅是对资源查找以及整理的加工费用，如喜欢作品，请支持正版哦
4.本店所有商品不涉及商用，仅是以众筹的方式提供给想要学习的极少部分人用于学习。
拍下视为认同此条约。
最后祝学子们学业有成！！！
#学习资料教材 #笔记学习资料#电子纸样
</t>
        </is>
      </c>
      <c r="C150" s="2" t="str">
        <f>=HYPERLINK("http://img.alicdn.com/bao/uploaded/i2/O1CN01Oh2FN71LWCNfHKWiJ_!!4611686018427387562-2-fleamarket.png_790x10000.jpg_.webp", "img.alicdn.com/bao/uploaded/i2/O1CN01Oh2FN71LWCNfHKWiJ_!!4611686018427387562-2-fleamarket.png_790x10000.jpg_.webp")</f>
        <v>img.alicdn.com/bao/uploaded/i2/O1CN01Oh2FN71LWCNfHKWiJ_!!4611686018427387562-2-fleamarket.png_790x10000.jpg_.webp</v>
      </c>
      <c r="D150" s="2" t="str">
        <f>=HYPERLINK("https://www.goofish.com/item?spm=a21ybx.search.searchFeedList.4.428b3984Nd7G6J&amp;id=1014567349496&amp;categoryId=202036301", "https://www.goofish.com/item?spm=a21ybx.search.searchFeedList.4.428b3984Nd7G6J&amp;id=1014567349496&amp;categoryId=202036301")</f>
        <v>https://www.goofish.com/item?spm=a21ybx.search.searchFeedList.4.428b3984Nd7G6J&amp;id=1014567349496&amp;categoryId=202036301</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