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资源"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0" customWidth="1"/>
    <col min="8" max="8" width="19" customWidth="1"/>
    <col min="9" max="9" width="19" customWidth="1"/>
    <col min="10" max="10" width="19" customWidth="1"/>
    <col min="11" max="11" width="0" customWidth="1"/>
  </cols>
  <sheetData>
    <row r="1" ht="13" customHeight="1">
      <c r="A1" s="1" t="inlineStr">
        <is>
          <t>名称</t>
        </is>
      </c>
      <c r="B1" s="1" t="inlineStr">
        <is>
          <t>编码</t>
        </is>
      </c>
      <c r="C1" s="1" t="inlineStr">
        <is>
          <t>发货内容</t>
        </is>
      </c>
      <c r="D1" s="1" t="inlineStr">
        <is>
          <t>已经定时发布</t>
        </is>
      </c>
      <c r="E1" s="1" t="inlineStr">
        <is>
          <t>标题</t>
        </is>
      </c>
      <c r="F1" s="1" t="inlineStr">
        <is>
          <t>图片</t>
        </is>
      </c>
      <c r="G1" s="1" t="inlineStr">
        <is>
          <t>图片路径（影刀）</t>
        </is>
      </c>
      <c r="H1" s="1" t="inlineStr">
        <is>
          <t>链接网址</t>
        </is>
      </c>
      <c r="I1" s="1" t="inlineStr">
        <is>
          <t>是否出单</t>
        </is>
      </c>
      <c r="J1" s="1" t="inlineStr">
        <is>
          <t>完成转存</t>
        </is>
      </c>
      <c r="K1" s="1" t="inlineStr">
        <is>
          <t>豆瓣搜索</t>
        </is>
      </c>
    </row>
    <row r="2" ht="25.5" customHeight="1">
      <c r="A2" t="inlineStr">
        <is>
          <t>【赠品】</t>
        </is>
      </c>
      <c r="B2">
        <v>1</v>
      </c>
      <c r="C2" t="inlineStr">
        <is>
          <t>赠送：
1、【上千部优秀电影资源】
打开最新版「夸克APP」即可获取，畅享原画，免费5倍速播放，支持AI字幕和投屏。夸克网盘链接：https://pan.quark.cn/s/824507145116
2、【各种职场技能全都有】
打开最新版「夸克APP」即可获取，夸克网盘链接：https://pan.quark.cn/s/6631055fd82d
3、生活、职场、饭局等【人情世故】实用指南
通过百度网盘分享的文件：
链接:https://pan.baidu.com/s/13pAGMn4CwzN3b6rHEBdTdw?pwd=1b38 
复制这段内容打开「百度网盘APP 即可获取」
4、网易云破J版
夸克：https://pan.quark.cn/s/111813b950ea</t>
        </is>
      </c>
      <c r="D2" t="inlineStr">
        <is>
          <t>是</t>
        </is>
      </c>
      <c r="E2"/>
      <c r="F2" s="2"/>
      <c r="G2"/>
      <c r="H2" s="2"/>
      <c r="I2"/>
      <c r="J2"/>
      <c r="K2" t="inlineStr">
        <is>
          <t>【赠品】</t>
        </is>
      </c>
    </row>
    <row r="3" ht="25.5" customHeight="1">
      <c r="A3" t="inlineStr">
        <is>
          <t>葬送的芙莉莲</t>
        </is>
      </c>
      <c r="B3">
        <v>2</v>
      </c>
      <c r="C3" t="inlineStr">
        <is>
          <t>百度：
https://pan.baidu.com/s/1Bswdx7COeEy-l2JDdX_tAw?pwd=13s2
夸克：
https://pan.quark.cn/s/9a9f99a3630b</t>
        </is>
      </c>
      <c r="D3" t="inlineStr">
        <is>
          <t>是</t>
        </is>
      </c>
      <c r="E3" t="inlineStr">
        <is>
          <t>葬送的芙莉莲(28集全) 蓝光4K+超清1080P/官方正式版/原声中字/超高清动漫电视剧/完整版全集/原版未删减/适合收藏
同时发4K和1080P两版资源</t>
        </is>
      </c>
      <c r="F3" s="2"/>
      <c r="G3"/>
      <c r="H3" s="2"/>
      <c r="I3"/>
      <c r="J3"/>
      <c r="K3" t="inlineStr">
        <is>
          <t>葬送的芙莉莲</t>
        </is>
      </c>
    </row>
    <row r="4" ht="25.5" customHeight="1">
      <c r="A4" t="inlineStr">
        <is>
          <t>甄嬛传</t>
        </is>
      </c>
      <c r="B4">
        <v>3</v>
      </c>
      <c r="C4" t="inlineStr">
        <is>
          <t>百度网盘链接: https://pan.baidu.com/s/1eFgu7FMLf_P0JwsDuuymGA?pwd=68z3
我用夸克网盘链接：https://pan.quark.cn/s/6ae800ba1241</t>
        </is>
      </c>
      <c r="D4" t="inlineStr">
        <is>
          <t>是</t>
        </is>
      </c>
      <c r="E4" t="inlineStr">
        <is>
          <t>《甄嬛传》全76集 蓝光4K+1080➕国粤中字幕➕可投屏
━━━━━━24小时自动发货━━━━━━
[超便宜]夸克网盘包含:
甄嬛传国语:4K  单集2.8G版本〔共198G〕
            4KHDR  单集6G版本〔490G〕收藏版
[超便宜]百度网盘包含:
甄嬛传国语:4K  单集2.8G版本〔共198G〕
            超清1080P  单集400M〔32G〕小体积
[钉子]附带赠送:超清1080+[国粤双音轨]+[内封外挂字幕][可剪辑版][共123G][mkv]
[hot]百度网盘下载后才可以切换粤语
[钉子]需知：在线观看高级别画质需开通会员，无会员可下载后观看视频原画质。
=========夸克+百度双盘===========
[超便宜]注意:拍“2人小刀”时，可点击右上方〔还差一人刀成，直接刀成〕，这样无需等待，秒发货
[超便宜]本资源是免费分享，价格为整理材料人工费用。如有侵权，联系我主动下架删除。最终版权归作者所有，本人不承担任何法律责任。#电视剧</t>
        </is>
      </c>
      <c r="F4" s="2"/>
      <c r="G4"/>
      <c r="H4" s="2"/>
      <c r="I4"/>
      <c r="J4"/>
      <c r="K4" t="inlineStr">
        <is>
          <t>甄嬛传</t>
        </is>
      </c>
    </row>
    <row r="5" ht="25.5" customHeight="1">
      <c r="A5" t="inlineStr">
        <is>
          <t>僵尸先生1-7</t>
        </is>
      </c>
      <c r="B5">
        <v>4</v>
      </c>
      <c r="C5" t="inlineStr">
        <is>
          <t>夸克链接：https://pan.quark.cn/s/00a476a000df
百度链接: https://pan.baidu.com/s/1WTaL2bTeohOtoIzUMz0Jqg?pwd=czcf</t>
        </is>
      </c>
      <c r="D5" t="inlineStr">
        <is>
          <t>是</t>
        </is>
      </c>
      <c r="E5" t="inlineStr">
        <is>
          <t>《僵尸先生1-7部》超清修复4K+1080➕夸度双盘秒发➕7部全➕国粤中字幕
━━━━━━24小时自动发货━━━━━━
1.《僵尸先生》（1985年）4K+1080双版
2.《僵尸家族》（1986年）4K+1080双版
3.《灵幻先生》（1987年）4K+1080双版
4.《僵尸叔叔》（1988年）4K+1080双版
5.《一眉道人》（1989年）1080p
6.《驱魔警察》（1990年）1080p
7.《新僵尸先生》（1992年）4K+1080双版
[钉子]需知：在线观看高级别画质需开通会员，无会员可下载后观看视频原画质。
[钉子]介绍:国语+粤语（百度网盘默认国语）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[火]本资源是免费分享，价格为整理材料人工费用。如有侵权，联系我主动下架删除。最终版权归作者所有，本人不承担任何法律责任。#电影#高清修复#老电影</t>
        </is>
      </c>
      <c r="F5" s="2"/>
      <c r="G5"/>
      <c r="H5" s="2"/>
      <c r="I5"/>
      <c r="J5"/>
      <c r="K5" t="inlineStr">
        <is>
          <t>新僵尸先生</t>
        </is>
      </c>
    </row>
    <row r="6" ht="25.5" customHeight="1">
      <c r="A6" t="inlineStr">
        <is>
          <t>战狼1-2</t>
        </is>
      </c>
      <c r="B6">
        <v>5</v>
      </c>
      <c r="C6" t="inlineStr">
        <is>
          <t>我用夸克网盘链接：https://pan.quark.cn/s/3b5351291539
通过百度网盘链接: https://pan.baidu.com/s/1uQ2IaRHkf2Jp1nBudHswag?pwd=ut2s</t>
        </is>
      </c>
      <c r="D6" t="inlineStr">
        <is>
          <t>是</t>
        </is>
      </c>
      <c r="E6" t="inlineStr">
        <is>
          <t>《战狼1+2》原盘高清！支持投屏！双盘秒发货！可投屏！
━━━━━━◈◈◈━━━━━━
▫️资源规格：原盘高清（单部30G/共2部）
▫️字幕类型：国语中英字幕（右下角自由选择）
▫️发货方试：百度+夸克网盘双盘秒发！
[超便宜]需知：在线观看高级别画质需开通会员，无会员可下载后观看视频原画质。
=========夸克+百度双盘===========
[钉子]注意:拍“2人小刀”时，可点击右上方〔还差一人刀成，直接刀成〕，这样无需等待，秒发货
[钉子]本资源是免费分享，价格为整理材料人工费用。如有侵权，联系我主动下架删除。最终版权归作者所有，本人不承担任何法律责任。#电影</t>
        </is>
      </c>
      <c r="F6" s="2"/>
      <c r="G6"/>
      <c r="H6" s="2"/>
      <c r="I6"/>
      <c r="J6"/>
      <c r="K6" t="inlineStr">
        <is>
          <t>战狼1</t>
        </is>
      </c>
    </row>
    <row r="7" ht="25.5" customHeight="1">
      <c r="A7" t="inlineStr">
        <is>
          <t>狂飙</t>
        </is>
      </c>
      <c r="B7">
        <v>6</v>
      </c>
      <c r="C7" t="inlineStr">
        <is>
          <t>夸克网盘链接：https://pan.quark.cn/s/46eab5132dc0
百度网盘链接: https://pan.baidu.com/s/13NXU58cTFkK7WpUvh0F34g?pwd=5d6s</t>
        </is>
      </c>
      <c r="D7" t="inlineStr">
        <is>
          <t>是</t>
        </is>
      </c>
      <c r="E7" t="inlineStr">
        <is>
          <t>《狂飙》蓝光4K➕夸度双盘秒发➕39集全➕国语中字幕
━━━━━━24小时自动发货━━━━━━
▫️资源规格:  4K蓝光（共73G）
▫️字幕类型:  原声中字
▫️文件类型:  mp4
▫️发货方试:  百度+夸克网盘双盘秒发！
[钉子]需知：在线观看高级别画质需开通会员，无会员可下载后观看视频原画质。
[钉子]介绍:京海市一线刑警安欣（张译 饰），在与黑恶势力的斗争中，不断遭到保护伞的打击，始终无法将犯罪分子绳之以法。全国政法队伍教育整顿工作开展后，临江省派出指导组入驻京海，联合公检法司各部门，清除了政法队伍内部的腐败分子，粉碎了黑恶势力的保护伞，一举铲除了盘踞京海多年的强盛集团。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is>
      </c>
      <c r="F7" s="2"/>
      <c r="G7"/>
      <c r="H7" s="2"/>
      <c r="I7"/>
      <c r="J7"/>
      <c r="K7" t="inlineStr">
        <is>
          <t>狂飙</t>
        </is>
      </c>
    </row>
    <row r="8" ht="25.5" customHeight="1">
      <c r="A8" t="inlineStr">
        <is>
          <t xml:space="preserve">人民的名义 </t>
        </is>
      </c>
      <c r="B8">
        <v>7</v>
      </c>
      <c r="C8" t="inlineStr">
        <is>
          <t>
我用夸克网盘链接：https://pan.quark.cn/s/fcba4912e87f
通过百度网盘链接: https://pan.baidu.com/s/18Hi32xc0NQunM3VK13p8xQ?pwd=896r</t>
        </is>
      </c>
      <c r="D8" t="inlineStr">
        <is>
          <t>是</t>
        </is>
      </c>
      <c r="E8" t="inlineStr">
        <is>
          <t>《人民的名义》4k蓝光全集珍藏版！未删减！夸度双盘秒发！
━━━━━━◈◈◈━━━━━━
▫️资源规格：超清4K（单集2.8G/共55集）
▫️字幕类型：国语中字幕
▫️发货方试：百度云+夸克网盘双盘秒发！
[钉子]需知：在线观看高级别画质需开通会员，无会员可下载后观看视频原画质。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is>
      </c>
      <c r="F8" s="2"/>
      <c r="G8"/>
      <c r="H8" s="2"/>
      <c r="I8"/>
      <c r="J8"/>
      <c r="K8" t="inlineStr">
        <is>
          <t xml:space="preserve">人民的名义 </t>
        </is>
      </c>
    </row>
    <row r="9" ht="25.5" customHeight="1">
      <c r="A9" t="inlineStr">
        <is>
          <t>圣斗士星矢 12部</t>
        </is>
      </c>
      <c r="B9">
        <v>8</v>
      </c>
      <c r="C9" t="inlineStr">
        <is>
          <t>我用夸克链接：https://pan.quark.cn/s/16fe692d244f
百度链接: https://pan.baidu.com/s/1BPbS7l_7S9EBqav4eKRA7g?pwd=c226</t>
        </is>
      </c>
      <c r="D9" t="inlineStr">
        <is>
          <t>是</t>
        </is>
      </c>
      <c r="E9" t="inlineStr">
        <is>
          <t>【圣斗士星矢】 蓝光压缩1080P 12部珍藏版 每集900M 多语顶配动画片(广配国语+台配国语+粤语+日语+法语配音+中文字幕) + 圣斗士星矢全系列漫画 共500G 超大容量 童年回忆 珍藏版
[cool]动画片可以直接在网盘上播放(无需下载)
[火][火][火]动画片(460G)  蓝光压缩1080P 高码HDR 极清画质 国粤法日多语配音 中文字幕： 
   01.TV版(银河战争篇+教皇刺客篇+黄道十二宫篇+北欧篇+海皇篇)114话全   
   02.冥王十二宫篇 13话全
   03.冥界篇前后章 12话全 
   04.极乐净土篇 6话全
   05.冥王神话篇 26话全 
   06.欧米伽 97话全
   07.黄金魂 13话全
   08.剧场版 6部
   09.圣斗少女翔 10话全
   10.十二宫骑士 12话全
   11.圣斗士星矢 真人版电影
   12.圣斗士星矢3D动画电影 
[火][火][火]圣斗士全系列漫画(36G) (多格式):
   圣斗士星矢完全版【港版】
   圣斗士星矢完全版【台版】
   圣斗士星矢（简体版）
   圣斗士星矢冥王神话
   圣斗士星矢冥王神话外传
   圣斗少女翔
   圣斗士星矢EPIS斗士星矢Ω
发货方试：百度+夸克网盘双盘秒发
━━━━━━◈◈◈━━━━━━
1️⃣ 选择【立即购买】自动秒发货
2️⃣ 2人小刀用户请注意！请选择【直接刀成】不然可能需要等待！第一位免拼！
3️⃣【声明】本资源是免费分享，价格为整理材料人工费用。如有侵权，联系我主动下架删除。最终版权归作者所有，本人不承担任何法律责任。
━━━━━━━━━━━━━━━#圣斗士</t>
        </is>
      </c>
      <c r="F9" s="2"/>
      <c r="G9"/>
      <c r="H9" s="2"/>
      <c r="I9"/>
      <c r="J9"/>
      <c r="K9" t="inlineStr">
        <is>
          <t>圣斗士星矢 12部</t>
        </is>
      </c>
    </row>
    <row r="10" ht="25.5" customHeight="1">
      <c r="A10" t="inlineStr">
        <is>
          <t>启示</t>
        </is>
      </c>
      <c r="B10">
        <v>9</v>
      </c>
      <c r="C10" t="inlineStr">
        <is>
          <t>【秒发】启示/4K蓝光/国语版+玛雅版正式139分钟完整版+
百度网盘链接: https://pan.baidu.com/s/18TJmWRdUQ7OYBNt6QmTPjw?pwd=44zd
夸克链接：https://pan.quark.cn/s/047362f4ce0a</t>
        </is>
      </c>
      <c r="D10" t="inlineStr">
        <is>
          <t>是</t>
        </is>
      </c>
      <c r="E10" t="inlineStr">
        <is>
          <t>【秒发】启示/4K蓝光/国语版+玛雅版正式139分钟完整版+
中英文字幕/可投屏
极致画质58G珍藏完整版 包括：
《启示》2006年 4K蓝光HDR超高清[国语版]
正式完整139分钟，国语+内嵌中文字幕
《启示》2006年 4K蓝光HDR超高清[玛雅版]
正式完整139分钟，玛雅语+内嵌中英文字幕
[国语版+玛雅原版]一起发！支持投屏！秒发货
百度网盘➕夸克网盘 双盘秒发
【24小时自动发货】
点击【直接刀成】不用等发货
点击【直接刀成】不用等发货
点击【直接刀成】不用等发货</t>
        </is>
      </c>
      <c r="F10" s="2"/>
      <c r="G10"/>
      <c r="H10" s="2"/>
      <c r="I10"/>
      <c r="J10"/>
      <c r="K10" t="inlineStr">
        <is>
          <t>启示</t>
        </is>
      </c>
    </row>
    <row r="11" ht="25.5" customHeight="1">
      <c r="A11" t="inlineStr">
        <is>
          <t>个人简历ppt模板</t>
        </is>
      </c>
      <c r="B11">
        <v>10</v>
      </c>
      <c r="C11" t="inlineStr">
        <is>
          <t>链接【请复制链接到百度网盘打开，然后即可保存和下载。不要直接点！不要直接点！不要直接点！】：https://pan.baidu.com/s/1Tdg_gxJDnCUyqn6sM09tsA?pwd=5678
提取码:5678
  永久链接  持续更新中
收货好平 再送一款哦，祝您生活愉快~</t>
        </is>
      </c>
      <c r="D11" t="inlineStr">
        <is>
          <t>是</t>
        </is>
      </c>
      <c r="E11" t="inlineStr">
        <is>
          <t>个人简历ppt模板自我介绍工作岗位竞聘竞选应聘求职转正述职演讲
⭐️无需解压，打开即可编辑
⭐️每套风格都是我精心挑选出来的。
⭐️每个风格都有单独归类文档编号跟预览，方便查找！
⭐️标价就是售价，直接拍 拍下秒发☁️盘
此套全员高级！一步到位~
全部精品！没有一个滥竽充数的模板！
喜欢的亲们，不用问在不在，直接拍。</t>
        </is>
      </c>
      <c r="F11" s="2"/>
      <c r="G11"/>
      <c r="H11" s="2"/>
      <c r="I11"/>
      <c r="J11"/>
      <c r="K11"/>
    </row>
    <row r="12" ht="25.5" customHeight="1">
      <c r="A12" t="inlineStr">
        <is>
          <t>科研PPT模板</t>
        </is>
      </c>
      <c r="B12">
        <v>11</v>
      </c>
      <c r="C12" t="inlineStr">
        <is>
          <t>通过网盘分享的文件：A047-科研学术汇报文献汇报PPT 链接: https://pan.baidu.com/s/1i3YBzMmKEwO_-PRuBsgmEQ?pwd=i6cy 提取码: i6cy 手机使用：复制整段话到百度网盘自动提取 电脑使用：复制上面发您的链接在浏览器地址栏 好-平，可任选店里一个宝贝免费送哦！</t>
        </is>
      </c>
      <c r="D12" t="inlineStr">
        <is>
          <t>是</t>
        </is>
      </c>
      <c r="E12"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2" s="2"/>
      <c r="G12"/>
      <c r="H12" s="2"/>
      <c r="I12"/>
      <c r="J12"/>
      <c r="K12"/>
    </row>
    <row r="13" ht="25.5" customHeight="1">
      <c r="A13" t="inlineStr">
        <is>
          <t>【秒发】英语课堂游戏ppt</t>
        </is>
      </c>
      <c r="B13">
        <v>12</v>
      </c>
      <c r="C13" t="inlineStr">
        <is>
          <t>这是您要的资料：
【超级会员V3】通过百度网盘分享的文件：英语课堂游戏PP…
链接:https://pan.baidu.com/s/1cp-X8sDmFl6Q4DajLCa81w?pwd=jh35 
提取码:jh35
复制这段内容打开「百度网盘APP 即可获取」</t>
        </is>
      </c>
      <c r="D13" t="inlineStr">
        <is>
          <t>是</t>
        </is>
      </c>
      <c r="E13" t="inlineStr">
        <is>
          <t>【秒发】英语课堂游戏ppt教具趣味教学互动教师公开课单词造句小游戏课件
4000款学英语游戏PPT
拿来就用/可修改/可编辑
销量前三我都买了
标价就是售价
24小时自动发货
拍下即发货
下单后自动秒发货到聊天窗口
如果没有收到链接或链接失效
请联系人工客服
客服在线时间晚10:00点
#发布技能来赚钱 #学习资料教材</t>
        </is>
      </c>
      <c r="F13" s="2" t="str">
        <f>=HYPERLINK("http://img.alicdn.com/bao/uploaded/i4/O1CN015ph24l1LvqS14RntA_!!4611686018427381938-53-fleamarket.heic_790x10000Q90.jpg_.webp", "img.alicdn.com/bao/uploaded/i4/O1CN015ph24l1LvqS14RntA_!!4611686018427381938-53-fleamarket.heic_790x10000Q90.jpg_.webp")</f>
        <v>img.alicdn.com/bao/uploaded/i4/O1CN015ph24l1LvqS14RntA_!!4611686018427381938-53-fleamarket.heic_790x10000Q90.jpg_.webp</v>
      </c>
      <c r="G13"/>
      <c r="H13" s="2"/>
      <c r="I13"/>
      <c r="J13"/>
      <c r="K13"/>
    </row>
    <row r="14" ht="25.5" customHeight="1">
      <c r="A14" t="inlineStr">
        <is>
          <t>ppt模板高级感简约商务</t>
        </is>
      </c>
      <c r="B14">
        <v>13</v>
      </c>
      <c r="C14" t="inlineStr">
        <is>
          <t>通过网盘分享的文件：SS100-9999PPT
链接: https://pan.baidu.com/s/1Q5wU5DtRlub8SWKujZmtVA?pwd=frqh 提取码: frqh 
手机使用：复制整段话到百度网盘自动提取
电脑使用：复制上面发您的链接在浏览器地址栏</t>
        </is>
      </c>
      <c r="D14" t="inlineStr">
        <is>
          <t>是</t>
        </is>
      </c>
      <c r="E14" t="inlineStr">
        <is>
          <t>ppt模板高级感简约商务毕业答辩教师课件工作汇报总结动态模版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4" s="2" t="str">
        <f>=HYPERLINK("http://img.alicdn.com/bao/uploaded/i2/O1CN01EM2dUg1dZ5wnvSFdA_!!4611686018427387605-0-fleamarket.jpg_790x10000Q90.jpg_.webp", "img.alicdn.com/bao/uploaded/i2/O1CN01EM2dUg1dZ5wnvSFdA_!!4611686018427387605-0-fleamarket.jpg_790x10000Q90.jpg_.webp")</f>
        <v>img.alicdn.com/bao/uploaded/i2/O1CN01EM2dUg1dZ5wnvSFdA_!!4611686018427387605-0-fleamarket.jpg_790x10000Q90.jpg_.webp</v>
      </c>
      <c r="G14"/>
      <c r="H14" s="2"/>
      <c r="I14"/>
      <c r="J14"/>
      <c r="K14"/>
    </row>
    <row r="15" ht="25.5" customHeight="1">
      <c r="A15" t="inlineStr">
        <is>
          <t>500页创意图文PPT模板，一键换图超实用</t>
        </is>
      </c>
      <c r="B15">
        <v>14</v>
      </c>
      <c r="C15" t="inlineStr">
        <is>
          <t>通过网盘分享的文件：B107-最新500页全动画PPT模板
链接: https://pan.baidu.com/s/1JFXEgeQoQwF29nujKz-h1Q 提取码: 9999 
--来自百度网盘超级会员v3的分享</t>
        </is>
      </c>
      <c r="D15" t="inlineStr">
        <is>
          <t>是</t>
        </is>
      </c>
      <c r="E15" t="inlineStr">
        <is>
          <t>500页创意图文PPT模板，一键换图超实用！适合工作汇报、项目报告、策划方案等场景。包含多图排版、截图展示、人物介绍等多种模板，100%可编辑，用更少时间做出更高级的图文页面。标价就是卖价，24小时自动发货，网盘链接永久有效。
百度网盘发货
免责声明:
1.本店均通过网络等渠道合法获得，仅作为阅读交流使用，无任何商业目的。
2.本店商品价格是网盘储存费用和人工整理资料费用，并非资料本身价格。
3.本店为广大朋友提供音频视频资料学习，特此声明，版权归原作者所有，如有侵权请联系客服删除，谢谢!
B107</t>
        </is>
      </c>
      <c r="F15" s="2" t="str">
        <f>=HYPERLINK("http://img.alicdn.com/bao/uploaded/i4/O1CN01HmIEXn2KMIL44jL6E_!!4611686018427383542-53-fleamarket.heic_790x10000Q90.jpg_.webp", "img.alicdn.com/bao/uploaded/i4/O1CN01HmIEXn2KMIL44jL6E_!!4611686018427383542-53-fleamarket.heic_790x10000Q90.jpg_.webp")</f>
        <v>img.alicdn.com/bao/uploaded/i4/O1CN01HmIEXn2KMIL44jL6E_!!4611686018427383542-53-fleamarket.heic_790x10000Q90.jpg_.webp</v>
      </c>
      <c r="G15"/>
      <c r="H15" s="2"/>
      <c r="I15"/>
      <c r="J15"/>
      <c r="K15"/>
    </row>
    <row r="16" ht="25.5" customHeight="1">
      <c r="A16" t="inlineStr">
        <is>
          <t>【速发】999+套经典正红主题PPT模板</t>
        </is>
      </c>
      <c r="B16">
        <v>15</v>
      </c>
      <c r="C16" t="inlineStr">
        <is>
          <t>----
您好，感谢光临小店
以下是发货内容：
「888红色主题-...以免丢失」，复制整段内容，打开最新版「夸克APP」即可获取。
畅享原画，免费5倍速播放，支持AI字幕和投屏，更有网盘TV版。
筷莱茳鹙违张夜夺郝
/~1fbf36mfkJ~:/
链接：https://pan.quark.cn/s/848cc93e47ca
通过网盘分享的文件：888红色主题-先转存在提取以免丢失
链接: https://pan.baidu.com/s/1WfkSXsMzi2z3-OGRLDcttw?pwd=6666 提取码: 6666 
--来自百度网盘超级会员v3的分享
----</t>
        </is>
      </c>
      <c r="D16" t="inlineStr">
        <is>
          <t>是</t>
        </is>
      </c>
      <c r="E16" t="inlineStr">
        <is>
          <t>【速发】999+套经典正红主题PPT模板 高端商务课件 工作总结汇报 简约大气套装
——★24小时自动发货★——
[精选分类]专题学习｜历史教育｜会议精神｜年度总结｜主题会议｜政策解读｜周年纪念｜团队建设｜职业道德｜行业发展｜传统文化｜精神传承｜纪律规范...
[亮点]主题全覆盖，即下载即使用！
【适用场景】
职场汇报｜年度总结｜市场研究｜毕业答辩｜教学课件｜学术竞赛｜高校应用｜教师教研｜创新创业｜项目展示｜
品牌推广｜新品发布｜人才招聘｜员工培训｜商业提案｜工程技术｜时尚产业｜建筑地产｜家居设计｜健康产业｜媒体传播｜餐饮文旅｜招生宣传｜庆典活动｜服务行业｜东方美学｜极简扁平｜机构应用
[核心优势]
• 百款模板一键打包，行业超高性价比
• 专业设计团队出品，品质保障
• 智能分类管理，标签清晰易查找
• 可自定义修改，高效省时</t>
        </is>
      </c>
      <c r="F16" s="2" t="str">
        <f>=HYPERLINK("http://img.alicdn.com/bao/uploaded/i4/O1CN01ooS73v2LM7moIUBKC_!!4611686018427383533-0-fleamarket.jpg_790x10000Q90.jpg_.webp", "img.alicdn.com/bao/uploaded/i4/O1CN01ooS73v2LM7moIUBKC_!!4611686018427383533-0-fleamarket.jpg_790x10000Q90.jpg_.webp")</f>
        <v>img.alicdn.com/bao/uploaded/i4/O1CN01ooS73v2LM7moIUBKC_!!4611686018427383533-0-fleamarket.jpg_790x10000Q90.jpg_.webp</v>
      </c>
      <c r="G16"/>
      <c r="H16" s="2"/>
      <c r="I16"/>
      <c r="J16"/>
      <c r="K16"/>
    </row>
    <row r="17" ht="25.5" customHeight="1">
      <c r="A17" t="inlineStr">
        <is>
          <t>少儿创意美术PPT课件600个＋</t>
        </is>
      </c>
      <c r="B17">
        <v>16</v>
      </c>
      <c r="C17" t="inlineStr">
        <is>
          <t>~~~~~
您好！感谢光临本店，这是您的订单
以下为订单内容，请注意查收：
【超级会员V2】通过百度网盘分享的文件：少儿创意美术60...
链接：https://pan.baidu.com/s/12v46UsJtBQM4Dy4TlLaXZQ 
提取码：8877 
复制这段内容打开「百度网盘APP 即可获取」
记得再来哦！！
~~~~~</t>
        </is>
      </c>
      <c r="D17" t="inlineStr">
        <is>
          <t>是</t>
        </is>
      </c>
      <c r="E17" t="inlineStr">
        <is>
          <t>少儿创意美术PPT课件600个＋，适合3-16岁，中小大班通用。不用问在不在，1元即可拥有600个ppt，需要直接拍下！
内容丰富，包括步骤和范画，适合美术社团、线上自学、兴趣班等。图片精美，范画详尽，省心省力，让教学更轻松。
已开通24小时自动发货，需要的朋友直接拍下。质量信得过，适合美术教培机构。发的是网盘链接，永不失效，售出不退。
所有文件均来自网络公开渠道，仅供学习交流使用，版权归版权人所有。如有版权问题，请联系小店删除。
欢迎有兴趣的朋友点击“我想要”！</t>
        </is>
      </c>
      <c r="F17" s="2" t="str">
        <f>=HYPERLINK("http://img.alicdn.com/bao/uploaded/i3/O1CN01ehY5p822M96bIzjRX_!!4611686018427385297-53-fleamarket.heic_790x10000Q90.jpg_.webp", "img.alicdn.com/bao/uploaded/i3/O1CN01ehY5p822M96bIzjRX_!!4611686018427385297-53-fleamarket.heic_790x10000Q90.jpg_.webp")</f>
        <v>img.alicdn.com/bao/uploaded/i3/O1CN01ehY5p822M96bIzjRX_!!4611686018427385297-53-fleamarket.heic_790x10000Q90.jpg_.webp</v>
      </c>
      <c r="G17"/>
      <c r="H17" s="2"/>
      <c r="I17"/>
      <c r="J17"/>
      <c r="K17"/>
    </row>
    <row r="18" ht="25.5" customHeight="1">
      <c r="A18" t="inlineStr">
        <is>
          <t>ai指令</t>
        </is>
      </c>
      <c r="B18">
        <v>18</v>
      </c>
      <c r="C18" t="inlineStr">
        <is>
          <t>【超级会员V1】通过百度网盘分享的文件：92-ai指令价…
链接:https://pan.baidu.com/s/1703Y2tXOzVFCXlWrSJDs0w 
提取码:6d92
复制这段内容打开「百度网盘APP 即可获取」</t>
        </is>
      </c>
      <c r="D18" t="inlineStr">
        <is>
          <t>是</t>
        </is>
      </c>
      <c r="E18" t="inlineStr">
        <is>
          <t>ai指令</t>
        </is>
      </c>
      <c r="F18" s="2"/>
      <c r="G18"/>
      <c r="H18" s="2"/>
      <c r="I18"/>
      <c r="J18"/>
      <c r="K18"/>
    </row>
    <row r="19" ht="25.5" customHeight="1">
      <c r="A19" t="inlineStr">
        <is>
          <t>adobe软件</t>
        </is>
      </c>
      <c r="B19">
        <v>19</v>
      </c>
      <c r="C19" t="inlineStr">
        <is>
          <t>浏览器不限速链接:https://ai.feishu.cn/（去掉我）record/B04OrPsuLebCCFczwTocZf87nTh(一定转存后下载）
 通过网盘分享的文件：ai(一定要转存后下载，以免文件损坏）
链接: https://pan.baidu.com/s/1SDrrIVNp5Rn1rCbIu89SpA 提取码: 52d8 (一定手机转存自己网盘后下载，以免文件丢失)
安装教程以及问题解决：https://www.yuque.com/xiaogaifenxiang/eerhzc/wfs9flxo0dgkgy1w?singleDoc#
（网盘复制链接即可，不要全部复制）</t>
        </is>
      </c>
      <c r="D19" t="inlineStr">
        <is>
          <t>是</t>
        </is>
      </c>
      <c r="E19" t="inlineStr">
        <is>
          <t>adobe软件</t>
        </is>
      </c>
      <c r="F19" s="2"/>
      <c r="G19"/>
      <c r="H19" s="2"/>
      <c r="I19"/>
      <c r="J19"/>
      <c r="K19"/>
    </row>
    <row r="20" ht="25.5" customHeight="1">
      <c r="A20" t="inlineStr">
        <is>
          <t>即梦会员</t>
        </is>
      </c>
      <c r="B20">
        <v>20</v>
      </c>
      <c r="C20" t="inlineStr">
        <is>
          <t>【既梦】最新版资源
----------------------------------------
夸克网盘链接：https://pan.quark.cn/s/957aaeb9c4f7
【先保存到网盘，再下载查看，终身包更新！！】
----------------------------------------
使用教程：复制以上链接打开跨克或浏览器即可查看
注意：虚拟商品发货后不支持退款！！！</t>
        </is>
      </c>
      <c r="D20" t="inlineStr">
        <is>
          <t>是</t>
        </is>
      </c>
      <c r="E20" t="inlineStr">
        <is>
          <t>即梦会员</t>
        </is>
      </c>
      <c r="F20" s="2"/>
      <c r="G20"/>
      <c r="H20" s="2"/>
      <c r="I20"/>
      <c r="J20"/>
      <c r="K20"/>
    </row>
    <row r="21" ht="25.5" customHeight="1">
      <c r="A21" t="inlineStr">
        <is>
          <t>【秒发】个人简历PPT模板简</t>
        </is>
      </c>
      <c r="B21">
        <v>21</v>
      </c>
      <c r="C21" t="inlineStr">
        <is>
          <t>G 个人简历PPT模板简约大学生自我介绍工作求职面试岗位竞聘晋升ppt
链接: https://pan.baidu.com/s/1zov9tXPjLlk1Rm1eHpIXOQ?pwd=5555 提取码: 5555</t>
        </is>
      </c>
      <c r="D21" t="inlineStr">
        <is>
          <t>是</t>
        </is>
      </c>
      <c r="E21" t="inlineStr">
        <is>
          <t>【秒发】个人简历PPT模板简约大学生自我介绍工作求职面试岗位竞聘晋升ppt
自动发货，基本24小时都可以秒发，需要直接拍，发白度网盘链接</t>
        </is>
      </c>
      <c r="F21" s="2" t="str">
        <f>=HYPERLINK("http://img.alicdn.com/bao/uploaded/i4/O1CN01DURtu11oLJiyhmkBB_!!4611686018427383640-53-fleamarket.heic_790x10000Q90.jpg_.webp", "img.alicdn.com/bao/uploaded/i4/O1CN01DURtu11oLJiyhmkBB_!!4611686018427383640-53-fleamarket.heic_790x10000Q90.jpg_.webp")</f>
        <v>img.alicdn.com/bao/uploaded/i4/O1CN01DURtu11oLJiyhmkBB_!!4611686018427383640-53-fleamarket.heic_790x10000Q90.jpg_.webp</v>
      </c>
      <c r="G21"/>
      <c r="H21" s="2"/>
      <c r="I21"/>
      <c r="J21"/>
      <c r="K21"/>
    </row>
    <row r="22" ht="25.5" customHeight="1">
      <c r="A22" t="inlineStr">
        <is>
          <t>ai模板科研绘图素材</t>
        </is>
      </c>
      <c r="B22">
        <v>30</v>
      </c>
      <c r="C22" t="inlineStr">
        <is>
          <t>~~~~~
您好！感谢光临本店，这是您的订单以下为订单内容，请注意查收：
素材提取链接：
链接: https://pan.baidu.com/s/10Mvts9BU6FAUVOxNqPCmIw?pwd=8888 提取码: 8888</t>
        </is>
      </c>
      <c r="D22" t="inlineStr">
        <is>
          <t>是</t>
        </is>
      </c>
      <c r="E22" t="inlineStr">
        <is>
          <t>ai模板科研绘图素材ppt医学插画器官细胞流程图片png生物作图资料
[钉子]资料拍下发佰度盘
[火]资料都是我自己工作期间，一个一个收集整理的，分类清晰，内容丰富，非常适合参考学习；
-----★24小时自动发货，直接拍秒发★-----
[1]这些资料，能让你的工作更方便，帮你提高工作效率，节省时间和精力！
[2]东西不贵，算是整理资料的一点点辛苦费，需要的朋友可以直接下单，大部分产品是秒发货！
遇到困难很需要这份资料可以随时联系我</t>
        </is>
      </c>
      <c r="F22" s="2" t="str">
        <f>=HYPERLINK("http://img.alicdn.com/bao/uploaded/i1/O1CN01OT8h9p1P2Co2yKhm7_!!4611686018427379974-0-fleamarket.jpg_790x10000Q90.jpg_.webp", "img.alicdn.com/bao/uploaded/i1/O1CN01OT8h9p1P2Co2yKhm7_!!4611686018427379974-0-fleamarket.jpg_790x10000Q90.jpg_.webp")</f>
        <v>img.alicdn.com/bao/uploaded/i1/O1CN01OT8h9p1P2Co2yKhm7_!!4611686018427379974-0-fleamarket.jpg_790x10000Q90.jpg_.webp</v>
      </c>
      <c r="G22"/>
      <c r="H22" s="2"/>
      <c r="I22"/>
      <c r="J22"/>
      <c r="K22"/>
    </row>
    <row r="23" ht="25.5" customHeight="1">
      <c r="A23" t="inlineStr">
        <is>
          <t>家装室内设计软装</t>
        </is>
      </c>
      <c r="B23">
        <v>31</v>
      </c>
      <c r="C23" t="inlineStr">
        <is>
          <t>链接：https://pan.baidu.com/s/1KKcjynRfSBqeZaYHegDZCA?pwd=xvxr 提取码：xvxr
复制这段内容后打开百度网盘手机App，操作更方便哦
免解压版：
链接：https://pan.baidu.com/s/12jvCN0F06vBA6swwme8ZBQ?pwd=1kym 
提取码：1kym</t>
        </is>
      </c>
      <c r="D23" t="inlineStr">
        <is>
          <t>是</t>
        </is>
      </c>
      <c r="E23" t="inlineStr">
        <is>
          <t>家装室内设计软装ppt模板310套素材！！！！！动态装修家居现代北欧轻奢方案素材
不要问有没有，能看到就有，直接拍下就可以！拍了自动发货的！直接下单就行
产品介绍：
310套PPT
大小大约8个G
各种风格都有
拍下发网盘链接 ！！
点赞并且收藏一下，防止以后找不到我家哦。
10秒内发货，随时咨询
本素材为电子图册，因资料有可复制性，下单后不退款。介意勿拍。
素材收集于网络，不可用于商业目的，收取的费用为整理素材的辛苦费用</t>
        </is>
      </c>
      <c r="F23" s="2" t="str">
        <f>=HYPERLINK("http://img.alicdn.com/bao/uploaded/i4/O1CN01DV6E451XfbkqqQpiT_!!53-fleamarket.heic_790x10000Q90.jpg_.webp", "img.alicdn.com/bao/uploaded/i4/O1CN01DV6E451XfbkqqQpiT_!!53-fleamarket.heic_790x10000Q90.jpg_.webp")</f>
        <v>img.alicdn.com/bao/uploaded/i4/O1CN01DV6E451XfbkqqQpiT_!!53-fleamarket.heic_790x10000Q90.jpg_.webp</v>
      </c>
      <c r="G23"/>
      <c r="H23" s="2"/>
      <c r="I23"/>
      <c r="J23"/>
      <c r="K23"/>
    </row>
    <row r="24" ht="25.5" customHeight="1">
      <c r="A24" t="inlineStr">
        <is>
          <t>科研学术答辩PPT</t>
        </is>
      </c>
      <c r="B24">
        <v>32</v>
      </c>
      <c r="C24" t="inlineStr">
        <is>
          <t>科研学术答辩PP...辩PPT
链接：https://pan.quark.cn/s/ead4528ebc65
-----------------------
记得保存，防止链接失效
-----------------------
转存方法： 先转存，然后在网盘下载
【手机】复制本段话，粘贴到网盘搜索栏获取文件。
【电脑】单独复制链接，通过浏览器打开获取文件。
-----------------------
由于佰度网盘不是阿里官方网盘，容易导致禁言，以及佰度网盘和谐，无法分享，就算分享出来也是空文件。</t>
        </is>
      </c>
      <c r="D24" t="inlineStr">
        <is>
          <t>是</t>
        </is>
      </c>
      <c r="E24" t="inlineStr">
        <is>
          <t>⚠️科研学术答辩PPT、毕业答辩PPT（四种配色全发，支持一|||
键换色）
[闪亮]ppt模版适用范围：国自然基金答辩、重点项目申报答辩、青年科学基金答辩、科研学术项目申报答辩、职称晋升答辩、学术论坛会议汇报、组会文献汇报答辩、开题答辩、中期答辩、毕业答辩等，工作汇报、路演汇报等。。
[蓝圆]国自然基金答辩模版ppt，精美版专业汇报
[绿圆]组会文献汇报模版ppt，秒胜同门师兄妹
[红圆]本科、硕士、博士全领域专属答辩ppt模版
[黄圆]科研、学术论坛汇报ppt模版，尽显专业
[火]职称晋升、重点实验室申报答辩ppt模版
[1]支持一键换色
[2]蓝色、绿色、红色、紫色四种配色全发
[3]ppt内所有元素均可自由编辑
～ 所见即所得 ～
需要可以直接拍下，看到马上发货哦
❤️❤️❤️自动发货，标价就是卖价，需要直接拍，24小时秒发网盘链接
[钉子]任何情况，不要申请退款，私信沟通给你处理，小店经营不易。
[钉子]所有文件均获取自网络公开渠道，仅供学习和交流使用，所有版权归版权人所有，如版权方认为侵犯了您的版权，请及时联系小店删除。</t>
        </is>
      </c>
      <c r="F24" s="2" t="str">
        <f>=HYPERLINK("http://img.alicdn.com/bao/uploaded/i2/O1CN01dmg1R21IFlIK5Cisb_!!4611686018427383856-53-fleamarket.heic_790x10000Q90.jpg_.webp", "img.alicdn.com/bao/uploaded/i2/O1CN01dmg1R21IFlIK5Cisb_!!4611686018427383856-53-fleamarket.heic_790x10000Q90.jpg_.webp")</f>
        <v>img.alicdn.com/bao/uploaded/i2/O1CN01dmg1R21IFlIK5Cisb_!!4611686018427383856-53-fleamarket.heic_790x10000Q90.jpg_.webp</v>
      </c>
      <c r="G24"/>
      <c r="H24" s="2"/>
      <c r="I24"/>
      <c r="J24"/>
      <c r="K24"/>
    </row>
    <row r="25" ht="25.5" customHeight="1">
      <c r="A25" t="inlineStr">
        <is>
          <t>课题平面逻辑</t>
        </is>
      </c>
      <c r="B25">
        <v>33</v>
      </c>
      <c r="C25" t="inlineStr">
        <is>
          <t>请先转存网盘，保存数据，防止链接失效
通过网盘分享的文件：技术线路图内部资料.pptx
链接: https://pan.baidu.com/s/11EJsh2ykjfF7cU43vbFUiw?pwd=8888 提取码: 8888 
--来自百度网盘超级会员v1的分享</t>
        </is>
      </c>
      <c r="D25" t="inlineStr">
        <is>
          <t>是</t>
        </is>
      </c>
      <c r="E25" t="inlineStr">
        <is>
          <t>课题平面逻辑框架图ppt模板
可编辑课题框架图，适用于课题项目申报，答辩等
适用范围：国家重大科技专项，国家重点研发，国自然/国社科基金项目等
设计素材可自由编辑，内容完整清晰，适合做课题申报的朋友用。价格实惠。通过网盘发送，即拍即发。</t>
        </is>
      </c>
      <c r="F25" s="2" t="str">
        <f>=HYPERLINK("http://img.alicdn.com/bao/uploaded/i2/O1CN01TKBFZu1cR1KA4f7dp_!!4611686018427385644-53-fleamarket.heic_790x10000Q90.jpg_.webp", "img.alicdn.com/bao/uploaded/i2/O1CN01TKBFZu1cR1KA4f7dp_!!4611686018427385644-53-fleamarket.heic_790x10000Q90.jpg_.webp")</f>
        <v>img.alicdn.com/bao/uploaded/i2/O1CN01TKBFZu1cR1KA4f7dp_!!4611686018427385644-53-fleamarket.heic_790x10000Q90.jpg_.webp</v>
      </c>
      <c r="G25"/>
      <c r="H25" s="2"/>
      <c r="I25"/>
      <c r="J25"/>
      <c r="K25"/>
    </row>
    <row r="26" ht="25.5" customHeight="1">
      <c r="A26" t="inlineStr">
        <is>
          <t>900多套ppt模板</t>
        </is>
      </c>
      <c r="B26">
        <v>34</v>
      </c>
      <c r="C26" t="inlineStr">
        <is>
          <t>----
您好，你购买的订单号：3133813623640075187 以下是给您发货的内容：
链接：https://pan.baidu.com/s/17JEAHcOsMcZHMChovcvHrQ?pwd=6666 
提取码：6666 
----</t>
        </is>
      </c>
      <c r="D26" t="inlineStr">
        <is>
          <t>是</t>
        </is>
      </c>
      <c r="E26" t="inlineStr">
        <is>
          <t>900多套ppt模板打包价2.8元，拍后再送店内其他素材1份（全店任选）俩也行~
店内所有2.8元的ppt都与这套一样滴，展示的都在这个链接里。
拍后发b.d网 盘 链 接，发后不退。
只能用电脑或者平板编辑</t>
        </is>
      </c>
      <c r="F26" s="2" t="str">
        <f>=HYPERLINK("http://img.alicdn.com/bao/uploaded/i4/O1CN01fAXSCI27GiDg6MdlX_!!0-fleamarket.jpg_790x10000Q90.jpg_.webp", "img.alicdn.com/bao/uploaded/i4/O1CN01fAXSCI27GiDg6MdlX_!!0-fleamarket.jpg_790x10000Q90.jpg_.webp")</f>
        <v>img.alicdn.com/bao/uploaded/i4/O1CN01fAXSCI27GiDg6MdlX_!!0-fleamarket.jpg_790x10000Q90.jpg_.webp</v>
      </c>
      <c r="G26"/>
      <c r="H26" s="2" t="str">
        <f>=HYPERLINK("https://www.goofish.com/item?spm=a21ybx.search.searchFeedList.6.22e26c82F4k9k2&amp;id=689853330803&amp;categoryId=201454708", "https://www.goofish.com/item?spm=a21ybx.search.searchFeedList.6.22e26c82F4k9k2&amp;id=689853330803&amp;categoryId=201454708")</f>
        <v>https://www.goofish.com/item?spm=a21ybx.search.searchFeedList.6.22e26c82F4k9k2&amp;id=689853330803&amp;categoryId=201454708</v>
      </c>
      <c r="I26"/>
      <c r="J26"/>
      <c r="K26"/>
    </row>
    <row r="27" ht="25.5" customHeight="1">
      <c r="A27" t="inlineStr">
        <is>
          <t>动态PPT模板</t>
        </is>
      </c>
      <c r="B27">
        <v>35</v>
      </c>
      <c r="C27" t="inlineStr">
        <is>
          <t>PPT转盘轮播套…
链接：https://pan.quark.cn/s/bb62a9bbdcbd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D27" t="inlineStr">
        <is>
          <t>是</t>
        </is>
      </c>
      <c r="E27" t="inlineStr">
        <is>
          <t>动态PPT模板，高级感答辩汇报用【拍下秒发货】动态高级感ppt模板平滑切换答辩工作汇报简约蓝|||色展示大气高端
——★24小时自动发货★——
【适用】
商务｜工作总结｜答辩｜工作汇报｜数据分析｜市场调研｜科技创新｜汇报展示｜企业宣传｜产品介绍｜企业招聘｜企业培训｜商业计划书｜能源科技｜时尚｜文化传媒｜教育招生｜企业年会｜产品发布
[比心] 全部都是动态的ppt
[比心]仅20份，快来捡漏吧～
[五角星]可编辑，可下载～
[五角星]分类清晰，独立文件夹标注～
[五角星]售后无忧，可放心拍～
效果图如下～（仅部分展示）</t>
        </is>
      </c>
      <c r="F27" s="2" t="str">
        <f>=HYPERLINK("http://img.alicdn.com/bao/uploaded/i1/O1CN01w8cWp71IFlGGHtkF4_!!4611686018427383856-53-fleamarket.heic_790x10000Q90.jpg_.webp", "img.alicdn.com/bao/uploaded/i1/O1CN01w8cWp71IFlGGHtkF4_!!4611686018427383856-53-fleamarket.heic_790x10000Q90.jpg_.webp")</f>
        <v>img.alicdn.com/bao/uploaded/i1/O1CN01w8cWp71IFlGGHtkF4_!!4611686018427383856-53-fleamarket.heic_790x10000Q90.jpg_.webp</v>
      </c>
      <c r="G27"/>
      <c r="H27" s="2" t="str">
        <f>=HYPERLINK("https://www.goofish.com/item?spm=a21ybx.search.searchFeedList.4.22e26c82F4k9k2&amp;id=931771158389&amp;categoryId=201454708", "https://www.goofish.com/item?spm=a21ybx.search.searchFeedList.4.22e26c82F4k9k2&amp;id=931771158389&amp;categoryId=201454708")</f>
        <v>https://www.goofish.com/item?spm=a21ybx.search.searchFeedList.4.22e26c82F4k9k2&amp;id=931771158389&amp;categoryId=201454708</v>
      </c>
      <c r="I27"/>
      <c r="J27"/>
      <c r="K27"/>
    </row>
    <row r="28" ht="25.5" customHeight="1">
      <c r="A28" t="inlineStr">
        <is>
          <t>屎盆子镶金边PPT模板</t>
        </is>
      </c>
      <c r="B28">
        <v>36</v>
      </c>
      <c r="C28" t="inlineStr">
        <is>
          <t>通过网盘分享的文件：屎盆子镶金边PPT模板
链接: https://pan.baidu.com/s/16t_6O2EkFPp1U1h-bXAUHQ?pwd=7wk4 提取码: 7wk4 
手机使用：复制整段话到百度网盘自动提取
电脑使用：复制上面发您的链接在浏览器地址栏
好-平，可任选店里一个宝贝免费送哦！</t>
        </is>
      </c>
      <c r="D28" t="inlineStr">
        <is>
          <t>是</t>
        </is>
      </c>
      <c r="E28" t="inlineStr">
        <is>
          <t>屎盆子镶金边PPT模板素材高端创意平滑轮播旋转极简动态快闪汇报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8" s="2" t="str">
        <f>=HYPERLINK("http://img.alicdn.com/bao/uploaded/i4/O1CN01APpF6p1dZ5xE4kSzQ_!!4611686018427387605-0-fleamarket.jpg_790x10000Q90.jpg_.webp", "img.alicdn.com/bao/uploaded/i4/O1CN01APpF6p1dZ5xE4kSzQ_!!4611686018427387605-0-fleamarket.jpg_790x10000Q90.jpg_.webp")</f>
        <v>img.alicdn.com/bao/uploaded/i4/O1CN01APpF6p1dZ5xE4kSzQ_!!4611686018427387605-0-fleamarket.jpg_790x10000Q90.jpg_.webp</v>
      </c>
      <c r="G28"/>
      <c r="H28" s="2" t="str">
        <f>=HYPERLINK("https://www.goofish.com/item?spm=a21ybx.search.searchFeedList.21.22e26c82F4k9k2&amp;id=993239941201&amp;categoryId=201454708", "https://www.goofish.com/item?spm=a21ybx.search.searchFeedList.21.22e26c82F4k9k2&amp;id=993239941201&amp;categoryId=201454708")</f>
        <v>https://www.goofish.com/item?spm=a21ybx.search.searchFeedList.21.22e26c82F4k9k2&amp;id=993239941201&amp;categoryId=201454708</v>
      </c>
      <c r="I28"/>
      <c r="J28"/>
      <c r="K28"/>
    </row>
    <row r="29" ht="25.5" customHeight="1">
      <c r="A29" t="inlineStr">
        <is>
          <t>大学生职业生涯规划大赛</t>
        </is>
      </c>
      <c r="B29">
        <v>37</v>
      </c>
      <c r="C29" t="inlineStr">
        <is>
          <t>通过网盘分享的文件：大学生职业生涯规划大赛PPT模板
链接: https://pan.baidu.com/s/1cA1ff0IdAkSlChvNj_XQIg?pwd=3t2x 提取码: 3t2x 
手机使用：复制整段话到百度网盘自动提取
电脑使用：复制上面发您的链接在浏览器地址栏</t>
        </is>
      </c>
      <c r="D29" t="inlineStr">
        <is>
          <t>是</t>
        </is>
      </c>
      <c r="E29" t="inlineStr">
        <is>
          <t>大学生职业生涯规划大赛PPT模版职规赛成长就业赛道指导答辩高级
——★24小时自动秒发百度网盘 ★——
——★24小时自动秒发百度网盘 ★——
——★24小时自动秒发百度网盘 ★——
299套PPT职业规划大赛 成长赛道 就业赛道 带导航栏 结构完整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9" s="2" t="str">
        <f>=HYPERLINK("http://img.alicdn.com/bao/uploaded/i1/O1CN01QyKCN61dZ5xXsDTvo_!!4611686018427387605-0-fleamarket.jpg_790x10000Q90.jpg_.webp", "img.alicdn.com/bao/uploaded/i1/O1CN01QyKCN61dZ5xXsDTvo_!!4611686018427387605-0-fleamarket.jpg_790x10000Q90.jpg_.webp")</f>
        <v>img.alicdn.com/bao/uploaded/i1/O1CN01QyKCN61dZ5xXsDTvo_!!4611686018427387605-0-fleamarket.jpg_790x10000Q90.jpg_.webp</v>
      </c>
      <c r="G29"/>
      <c r="H29" s="2" t="str">
        <f>=HYPERLINK("https://www.goofish.com/item?spm=a21ybx.search.searchFeedList.9.22e26c82F4k9k2&amp;id=998863131131&amp;categoryId=201454708", "https://www.goofish.com/item?spm=a21ybx.search.searchFeedList.9.22e26c82F4k9k2&amp;id=998863131131&amp;categoryId=201454708")</f>
        <v>https://www.goofish.com/item?spm=a21ybx.search.searchFeedList.9.22e26c82F4k9k2&amp;id=998863131131&amp;categoryId=201454708</v>
      </c>
      <c r="I29"/>
      <c r="J29"/>
      <c r="K29"/>
    </row>
    <row r="30" ht="25.5" customHeight="1">
      <c r="A30" t="inlineStr">
        <is>
          <t>13色1950页高级感工作汇</t>
        </is>
      </c>
      <c r="B30">
        <v>38</v>
      </c>
      <c r="C30" t="inlineStr">
        <is>
          <t>13色1950页
链接：https://pan.quark.cn/s/ce9ecc66ccef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D30" t="inlineStr">
        <is>
          <t>是</t>
        </is>
      </c>
      <c r="E30" t="inlineStr">
        <is>
          <t>13色1950页高级感工作汇报数据分析PPT模板 工作汇报||| | 数据分析 | 市场调研
格式：PPT（可编辑）
超值还赠送：
[1]500页精美通用PPT模板
[2]PPT设计小图标
[3]各类逻辑图表
13种配色，每色150页，共1950页
适用范围：日常报告，市场调研，数据分析，工作总结，工作汇报等各种场景。流程进度、数据图表、逻辑图表应有尽有
拍下24小时自动发货，拍下网盘秒发货</t>
        </is>
      </c>
      <c r="F30" s="2" t="str">
        <f>=HYPERLINK("http://img.alicdn.com/bao/uploaded/i1/O1CN01rB27Ci1IFlGmDdjQH_!!4611686018427383856-53-fleamarket.heic_790x10000Q90.jpg_.webp", "img.alicdn.com/bao/uploaded/i1/O1CN01rB27Ci1IFlGmDdjQH_!!4611686018427383856-53-fleamarket.heic_790x10000Q90.jpg_.webp")</f>
        <v>img.alicdn.com/bao/uploaded/i1/O1CN01rB27Ci1IFlGmDdjQH_!!4611686018427383856-53-fleamarket.heic_790x10000Q90.jpg_.webp</v>
      </c>
      <c r="G30"/>
      <c r="H30" s="2" t="str">
        <f>=HYPERLINK("https://www.goofish.com/item?spm=a21ybx.search.searchFeedList.23.22e26c82F4k9k2&amp;id=949004980033&amp;categoryId=201454708", "https://www.goofish.com/item?spm=a21ybx.search.searchFeedList.23.22e26c82F4k9k2&amp;id=949004980033&amp;categoryId=201454708")</f>
        <v>https://www.goofish.com/item?spm=a21ybx.search.searchFeedList.23.22e26c82F4k9k2&amp;id=949004980033&amp;categoryId=201454708</v>
      </c>
      <c r="I30"/>
      <c r="J30"/>
      <c r="K30"/>
    </row>
    <row r="31" ht="25.5" customHeight="1">
      <c r="A31" t="inlineStr">
        <is>
          <t>国自然PPT模板国家自然科学基金科研</t>
        </is>
      </c>
      <c r="B31">
        <v>40</v>
      </c>
      <c r="C31" t="inlineStr">
        <is>
          <t>通过网盘分享的文件：B40-国家自然科学
链接: https://pan.baidu.com/s/1MA8WUBt2eroHC3awi0NeeA?pwd=9999 提取码: 9999 
--来自百度网盘超级会员v3的分享</t>
        </is>
      </c>
      <c r="D31" t="inlineStr">
        <is>
          <t>是</t>
        </is>
      </c>
      <c r="E31" t="inlineStr">
        <is>
          <t>国自然PPT模板国家自然科学基金科研项目申请答辩结题汇报PPT模板
24小时自动发货，直接拍秒发
主页置顶商品全店会员6.6，包含全店所有素材和以后更新的素材
每套模版都是我精挑细选出来的
每款模板都是质量高，适用于任何场合
每个模板都可以帮你节省大量时间
B40</t>
        </is>
      </c>
      <c r="F31" s="2" t="str">
        <f>=HYPERLINK("http://img.alicdn.com/bao/uploaded/i4/O1CN011S9AVE2KMIKlnhsE6_!!4611686018427383542-53-fleamarket.heic_790x10000Q90.jpg_.webp", "img.alicdn.com/bao/uploaded/i4/O1CN011S9AVE2KMIKlnhsE6_!!4611686018427383542-53-fleamarket.heic_790x10000Q90.jpg_.webp")</f>
        <v>img.alicdn.com/bao/uploaded/i4/O1CN011S9AVE2KMIKlnhsE6_!!4611686018427383542-53-fleamarket.heic_790x10000Q90.jpg_.webp</v>
      </c>
      <c r="G31"/>
      <c r="H31" s="2" t="str">
        <f>=HYPERLINK("https://www.goofish.com/item?spm=a21ybx.search.searchFeedList.16.22e26c82F4k9k2&amp;id=953863212313&amp;categoryId=201454708", "https://www.goofish.com/item?spm=a21ybx.search.searchFeedList.16.22e26c82F4k9k2&amp;id=953863212313&amp;categoryId=201454708")</f>
        <v>https://www.goofish.com/item?spm=a21ybx.search.searchFeedList.16.22e26c82F4k9k2&amp;id=953863212313&amp;categoryId=201454708</v>
      </c>
      <c r="I31"/>
      <c r="J31"/>
      <c r="K31"/>
    </row>
    <row r="32" ht="25.5" customHeight="1">
      <c r="A32" t="inlineStr">
        <is>
          <t>105套国赛金奖ppt模板大学生创新创业</t>
        </is>
      </c>
      <c r="B32">
        <v>41</v>
      </c>
      <c r="C32" t="inlineStr">
        <is>
          <t>您好，您此次购物的订单编号是：3134153461078075187。
以下是给您发货的内容。
通过网盘分享的文件：105套国赛金奖ppt模板
链接: https://pan.baidu.com/s/1ft-TL7tLTcYY2nR1rqUTcw?pwd=xurc 提取码: xurc 
--来自百度网盘超级会员v6的分享:
复制上面这段话到佰度网盘即可打开，记得及时保存，避免失效！
要是宝贝合您心意，还请不吝好评。我们准备了惊喜赠品，赶紧好评解锁吧！</t>
        </is>
      </c>
      <c r="D32" t="inlineStr">
        <is>
          <t>是</t>
        </is>
      </c>
      <c r="E32" t="inlineStr">
        <is>
          <t>105套国赛金奖ppt模板大学生创新创业大赛挑战杯创赛获奖
都是可编辑修改的
拍下后另外赠送：
[1] 500+套互联网＋，大创，挑战杯，往届获奖作品等资料参考，部分附带演示视频，路演视频！
[2] 10000套大学生创新创业计划书word成品互联网+大赛ppt模板商业策划书撰。
[3] 100个专业大学生职业生涯规划书Word范文赠送PPT
需要的直接拍，拍下后网盘秒发货</t>
        </is>
      </c>
      <c r="F32" s="2" t="str">
        <f>=HYPERLINK("http://img.alicdn.com/bao/uploaded/i2/O1CN01doYnYm1bo5dNtbyQN_!!4611686018427387015-53-fleamarket.heic_790x10000Q90.jpg_.webp", "img.alicdn.com/bao/uploaded/i2/O1CN01doYnYm1bo5dNtbyQN_!!4611686018427387015-53-fleamarket.heic_790x10000Q90.jpg_.webp")</f>
        <v>img.alicdn.com/bao/uploaded/i2/O1CN01doYnYm1bo5dNtbyQN_!!4611686018427387015-53-fleamarket.heic_790x10000Q90.jpg_.webp</v>
      </c>
      <c r="G32"/>
      <c r="H32" s="2" t="str">
        <f>=HYPERLINK("https://www.goofish.com/item?spm=a21ybx.search.searchFeedList.25.22e26c82F4k9k2&amp;id=909700993980&amp;categoryId=201454708", "https://www.goofish.com/item?spm=a21ybx.search.searchFeedList.25.22e26c82F4k9k2&amp;id=909700993980&amp;categoryId=201454708")</f>
        <v>https://www.goofish.com/item?spm=a21ybx.search.searchFeedList.25.22e26c82F4k9k2&amp;id=909700993980&amp;categoryId=201454708</v>
      </c>
      <c r="I32"/>
      <c r="J32"/>
      <c r="K32"/>
    </row>
    <row r="33" ht="25.5" customHeight="1">
      <c r="A33" t="inlineStr">
        <is>
          <t>高品质400+简历模</t>
        </is>
      </c>
      <c r="B33">
        <v>62</v>
      </c>
      <c r="C33"/>
      <c r="D33" t="inlineStr">
        <is>
          <t>是</t>
        </is>
      </c>
      <c r="E33" t="inlineStr">
        <is>
          <t>高品质400+简历模板个人求职电子版word封面应届毕业生表格英文设计制作定制
——★24小时自动秒发百度网盘 ★——
预览图对应相应源文件名字，不是卖图片，也没有任何额外费用，如果不会使用可以咨询解决[送花][送花][送花]
拍下直接发400套高质量简历模板
单页，双页，四页，多页均有，自荐信模版，英文版，多种模板，任你选择
可以用手机直接编辑哦
不要问在不在，喜欢的直接拍下即可！秒发
您想要的各种素材都在这里 任何不满意直接退款</t>
        </is>
      </c>
      <c r="F33" s="2" t="str">
        <f>=HYPERLINK("http://img.alicdn.com/bao/uploaded/i2/O1CN01XvG7871dZ5w9EjfQX_!!4611686018427387605-0-fleamarket.jpg_790x10000Q90.jpg_.webp", "img.alicdn.com/bao/uploaded/i2/O1CN01XvG7871dZ5w9EjfQX_!!4611686018427387605-0-fleamarket.jpg_790x10000Q90.jpg_.webp")</f>
        <v>img.alicdn.com/bao/uploaded/i2/O1CN01XvG7871dZ5w9EjfQX_!!4611686018427387605-0-fleamarket.jpg_790x10000Q90.jpg_.webp</v>
      </c>
      <c r="G33"/>
      <c r="H33" s="2" t="str">
        <f>=HYPERLINK("https://www.goofish.com/item?spm=a21ybx.personal.feeds.295.12e16ac2PYxLX9&amp;id=750009782412&amp;categoryId=50023914", "https://www.goofish.com/item?spm=a21ybx.personal.feeds.295.12e16ac2PYxLX9&amp;id=750009782412&amp;categoryId=50023914")</f>
        <v>https://www.goofish.com/item?spm=a21ybx.personal.feeds.295.12e16ac2PYxLX9&amp;id=750009782412&amp;categoryId=50023914</v>
      </c>
      <c r="I33"/>
      <c r="J33"/>
      <c r="K33"/>
    </row>
    <row r="34" ht="25.5" customHeight="1">
      <c r="A34" t="inlineStr">
        <is>
          <t>科研PPT模板学术汇</t>
        </is>
      </c>
      <c r="B34">
        <v>63</v>
      </c>
      <c r="C34"/>
      <c r="D34" t="inlineStr">
        <is>
          <t>是</t>
        </is>
      </c>
      <c r="E34"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4" s="2" t="str">
        <f>=HYPERLINK("http://img.alicdn.com/bao/uploaded/i3/O1CN01aRdK1I1dZ5wmHoKdF_!!4611686018427387605-0-fleamarket.jpg_790x10000Q90.jpg_.webp", "img.alicdn.com/bao/uploaded/i3/O1CN01aRdK1I1dZ5wmHoKdF_!!4611686018427387605-0-fleamarket.jpg_790x10000Q90.jpg_.webp")</f>
        <v>img.alicdn.com/bao/uploaded/i3/O1CN01aRdK1I1dZ5wmHoKdF_!!4611686018427387605-0-fleamarket.jpg_790x10000Q90.jpg_.webp</v>
      </c>
      <c r="G34"/>
      <c r="H34" s="2" t="str">
        <f>=HYPERLINK("https://www.goofish.com/item?spm=a21ybx.personal.feeds.360.12e16ac2PYxLX9&amp;id=986502332050&amp;categoryId=50023914", "https://www.goofish.com/item?spm=a21ybx.personal.feeds.360.12e16ac2PYxLX9&amp;id=986502332050&amp;categoryId=50023914")</f>
        <v>https://www.goofish.com/item?spm=a21ybx.personal.feeds.360.12e16ac2PYxLX9&amp;id=986502332050&amp;categoryId=50023914</v>
      </c>
      <c r="I34"/>
      <c r="J34"/>
      <c r="K34"/>
    </row>
    <row r="35" ht="25.5" customHeight="1">
      <c r="A35" t="inlineStr">
        <is>
          <t>课题申报框架构图教学</t>
        </is>
      </c>
      <c r="B35">
        <v>64</v>
      </c>
      <c r="C35"/>
      <c r="D35" t="inlineStr">
        <is>
          <t>是</t>
        </is>
      </c>
      <c r="E35" t="inlineStr">
        <is>
          <t>课题申报框架构图教学思政科研绘图技术路线图visoi流程图ppt模板
——★24小时自动秒发百度网盘 ★——
——★24小时自动秒发百度网盘 ★——
——★24小时自动秒发百度网盘 ★——
280款流程架构路线图 PPT + WORD +VISOI
课题申报 教学大赛 技术路线 科研论文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5" s="2" t="str">
        <f>=HYPERLINK("http://img.alicdn.com/bao/uploaded/i1/O1CN01oQTUGX1dZ5wze9757_!!4611686018427387605-0-fleamarket.jpg_790x10000Q90.jpg_.webp", "img.alicdn.com/bao/uploaded/i1/O1CN01oQTUGX1dZ5wze9757_!!4611686018427387605-0-fleamarket.jpg_790x10000Q90.jpg_.webp")</f>
        <v>img.alicdn.com/bao/uploaded/i1/O1CN01oQTUGX1dZ5wze9757_!!4611686018427387605-0-fleamarket.jpg_790x10000Q90.jpg_.webp</v>
      </c>
      <c r="G35"/>
      <c r="H35" s="2" t="str">
        <f>=HYPERLINK("https://www.goofish.com/item?spm=a21ybx.personal.feeds.108.12e16ac2PYxLX9&amp;id=990745156115&amp;categoryId=50023914", "https://www.goofish.com/item?spm=a21ybx.personal.feeds.108.12e16ac2PYxLX9&amp;id=990745156115&amp;categoryId=50023914")</f>
        <v>https://www.goofish.com/item?spm=a21ybx.personal.feeds.108.12e16ac2PYxLX9&amp;id=990745156115&amp;categoryId=50023914</v>
      </c>
      <c r="I35"/>
      <c r="J35"/>
      <c r="K35"/>
    </row>
    <row r="36" ht="25.5" customHeight="1">
      <c r="A36" t="inlineStr">
        <is>
          <t>大学生国家奖学金励志</t>
        </is>
      </c>
      <c r="B36">
        <v>65</v>
      </c>
      <c r="C36"/>
      <c r="D36" t="inlineStr">
        <is>
          <t>是</t>
        </is>
      </c>
      <c r="E36" t="inlineStr">
        <is>
          <t>大学生国家奖学金励志国奖答辩竞选PPT模板蓝红色主题大气高级感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6" s="2" t="str">
        <f>=HYPERLINK("http://img.alicdn.com/bao/uploaded/i2/O1CN014Sac8D1dZ5wncs34U_!!4611686018427387605-0-fleamarket.jpg_790x10000Q90.jpg_.webp", "img.alicdn.com/bao/uploaded/i2/O1CN014Sac8D1dZ5wncs34U_!!4611686018427387605-0-fleamarket.jpg_790x10000Q90.jpg_.webp")</f>
        <v>img.alicdn.com/bao/uploaded/i2/O1CN014Sac8D1dZ5wncs34U_!!4611686018427387605-0-fleamarket.jpg_790x10000Q90.jpg_.webp</v>
      </c>
      <c r="G36"/>
      <c r="H36" s="2" t="str">
        <f>=HYPERLINK("https://www.goofish.com/item?spm=a21ybx.personal.feeds.114.12e16ac2PYxLX9&amp;id=985828185520&amp;categoryId=50023914", "https://www.goofish.com/item?spm=a21ybx.personal.feeds.114.12e16ac2PYxLX9&amp;id=985828185520&amp;categoryId=50023914")</f>
        <v>https://www.goofish.com/item?spm=a21ybx.personal.feeds.114.12e16ac2PYxLX9&amp;id=985828185520&amp;categoryId=50023914</v>
      </c>
      <c r="I36"/>
      <c r="J36"/>
      <c r="K36"/>
    </row>
    <row r="37" ht="25.5" customHeight="1">
      <c r="A37" t="inlineStr">
        <is>
          <t>电商详情页psd模板</t>
        </is>
      </c>
      <c r="B37">
        <v>66</v>
      </c>
      <c r="C37"/>
      <c r="D37" t="inlineStr">
        <is>
          <t>是</t>
        </is>
      </c>
      <c r="E37" t="inlineStr">
        <is>
          <t>电商详情页psd模板店铺装修设计主图美工背景促销海报源文件素材
——★24小时自动秒发百度网盘 ★——
——★24小时自动秒发百度网盘 ★——
——★24小时自动秒发百度网盘 ★——
5万款全套电商素材模板 主图 详情图 首页 店招 促销 标签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7" s="2" t="str">
        <f>=HYPERLINK("http://img.alicdn.com/bao/uploaded/i4/O1CN010gRoUm1dZ5x3WeSEi_!!4611686018427387605-2-fleamarket.png_790x10000.jpg_.webp", "img.alicdn.com/bao/uploaded/i4/O1CN010gRoUm1dZ5x3WeSEi_!!4611686018427387605-2-fleamarket.png_790x10000.jpg_.webp")</f>
        <v>img.alicdn.com/bao/uploaded/i4/O1CN010gRoUm1dZ5x3WeSEi_!!4611686018427387605-2-fleamarket.png_790x10000.jpg_.webp</v>
      </c>
      <c r="G37"/>
      <c r="H37" s="2" t="str">
        <f>=HYPERLINK("https://www.goofish.com/item?spm=a21ybx.personal.feeds.365.12e16ac2PYxLX9&amp;id=989828106972&amp;categoryId=50023914", "https://www.goofish.com/item?spm=a21ybx.personal.feeds.365.12e16ac2PYxLX9&amp;id=989828106972&amp;categoryId=50023914")</f>
        <v>https://www.goofish.com/item?spm=a21ybx.personal.feeds.365.12e16ac2PYxLX9&amp;id=989828106972&amp;categoryId=50023914</v>
      </c>
      <c r="I37"/>
      <c r="J37"/>
      <c r="K37"/>
    </row>
    <row r="38" ht="25.5" customHeight="1">
      <c r="A38" t="inlineStr">
        <is>
          <t>大学生职业生涯规划大</t>
        </is>
      </c>
      <c r="B38">
        <v>67</v>
      </c>
      <c r="C38"/>
      <c r="D38" t="inlineStr">
        <is>
          <t>是</t>
        </is>
      </c>
      <c r="E38" t="inlineStr">
        <is>
          <t>大学生职业生涯规划大赛职规赛PPT模板书成长就业赛道高级感红色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8" s="2" t="str">
        <f>=HYPERLINK("http://img.alicdn.com/bao/uploaded/i3/O1CN01nILD4o1dZ5wwxYefP_!!4611686018427387605-0-fleamarket.jpg_790x10000Q90.jpg_.webp", "img.alicdn.com/bao/uploaded/i3/O1CN01nILD4o1dZ5wwxYefP_!!4611686018427387605-0-fleamarket.jpg_790x10000Q90.jpg_.webp")</f>
        <v>img.alicdn.com/bao/uploaded/i3/O1CN01nILD4o1dZ5wwxYefP_!!4611686018427387605-0-fleamarket.jpg_790x10000Q90.jpg_.webp</v>
      </c>
      <c r="G38"/>
      <c r="H38" s="2" t="str">
        <f>=HYPERLINK("https://www.goofish.com/item?spm=a21ybx.personal.feeds.109.12e16ac2PYxLX9&amp;id=987781883336&amp;categoryId=50023914", "https://www.goofish.com/item?spm=a21ybx.personal.feeds.109.12e16ac2PYxLX9&amp;id=987781883336&amp;categoryId=50023914")</f>
        <v>https://www.goofish.com/item?spm=a21ybx.personal.feeds.109.12e16ac2PYxLX9&amp;id=987781883336&amp;categoryId=50023914</v>
      </c>
      <c r="I38"/>
      <c r="J38"/>
      <c r="K38"/>
    </row>
    <row r="39" ht="25.5" customHeight="1">
      <c r="A39" t="inlineStr">
        <is>
          <t>100页高级感商务大</t>
        </is>
      </c>
      <c r="B39">
        <v>68</v>
      </c>
      <c r="C39"/>
      <c r="D39" t="inlineStr">
        <is>
          <t>是</t>
        </is>
      </c>
      <c r="E39" t="inlineStr">
        <is>
          <t>100页高级感商务大气版式多图片排版图文工作总结汇报动态ppt模板
——★24小时自动秒发百度网盘 ★——
——★24小时自动秒发百度网盘 ★——
——★24小时自动秒发百度网盘 ★——
1款(4色)高级感图表PPT共100页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9" s="2" t="str">
        <f>=HYPERLINK("http://img.alicdn.com/bao/uploaded/i3/O1CN01OscPje1dZ5wkQSRoe_!!4611686018427387605-0-fleamarket.jpg_790x10000Q90.jpg_.webp", "img.alicdn.com/bao/uploaded/i3/O1CN01OscPje1dZ5wkQSRoe_!!4611686018427387605-0-fleamarket.jpg_790x10000Q90.jpg_.webp")</f>
        <v>img.alicdn.com/bao/uploaded/i3/O1CN01OscPje1dZ5wkQSRoe_!!4611686018427387605-0-fleamarket.jpg_790x10000Q90.jpg_.webp</v>
      </c>
      <c r="G39"/>
      <c r="H39" s="2" t="str">
        <f>=HYPERLINK("https://www.goofish.com/item?spm=a21ybx.personal.feeds.520.12e16ac2PYxLX9&amp;id=984361009829&amp;categoryId=50023914", "https://www.goofish.com/item?spm=a21ybx.personal.feeds.520.12e16ac2PYxLX9&amp;id=984361009829&amp;categoryId=50023914")</f>
        <v>https://www.goofish.com/item?spm=a21ybx.personal.feeds.520.12e16ac2PYxLX9&amp;id=984361009829&amp;categoryId=50023914</v>
      </c>
      <c r="I39"/>
      <c r="J39"/>
      <c r="K39"/>
    </row>
    <row r="40" ht="25.5" customHeight="1">
      <c r="A40" t="inlineStr">
        <is>
          <t>企业宣传册模板wor</t>
        </is>
      </c>
      <c r="B40">
        <v>69</v>
      </c>
      <c r="C40"/>
      <c r="D40" t="inlineStr">
        <is>
          <t>是</t>
        </is>
      </c>
      <c r="E40" t="inlineStr">
        <is>
          <t>企业宣传册模板word商务公司简介产品手画册CDR排版PSD设计AI素材
——★24小时自动秒发百度网盘 ★——
9999套宣传画册PSD/AI/CDR/WORD分层高清素材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40" s="2" t="str">
        <f>=HYPERLINK("http://img.alicdn.com/bao/uploaded/i1/O1CN01cfBJJb1dZ5wElUGf4_!!4611686018427387605-0-fleamarket.jpg_790x10000Q90.jpg_.webp", "img.alicdn.com/bao/uploaded/i1/O1CN01cfBJJb1dZ5wElUGf4_!!4611686018427387605-0-fleamarket.jpg_790x10000Q90.jpg_.webp")</f>
        <v>img.alicdn.com/bao/uploaded/i1/O1CN01cfBJJb1dZ5wElUGf4_!!4611686018427387605-0-fleamarket.jpg_790x10000Q90.jpg_.webp</v>
      </c>
      <c r="G40"/>
      <c r="H40" s="2" t="str">
        <f>=HYPERLINK("https://www.goofish.com/item?spm=a21ybx.personal.feeds.279.12e16ac2PYxLX9&amp;id=971315835141&amp;categoryId=50023914", "https://www.goofish.com/item?spm=a21ybx.personal.feeds.279.12e16ac2PYxLX9&amp;id=971315835141&amp;categoryId=50023914")</f>
        <v>https://www.goofish.com/item?spm=a21ybx.personal.feeds.279.12e16ac2PYxLX9&amp;id=971315835141&amp;categoryId=50023914</v>
      </c>
      <c r="I40"/>
      <c r="J40"/>
      <c r="K40"/>
    </row>
    <row r="41" ht="25.5" customHeight="1">
      <c r="A41" t="inlineStr">
        <is>
          <t>2025新款CAD图</t>
        </is>
      </c>
      <c r="B41">
        <v>70</v>
      </c>
      <c r="C41"/>
      <c r="D41" t="inlineStr">
        <is>
          <t>是</t>
        </is>
      </c>
      <c r="E41" t="inlineStr">
        <is>
          <t>2025新款CAD图库室内设计家装家具平面中式欧式施工图动态素材库
——★24小时自动秒发百度网盘 ★——
——★24小时自动秒发百度网盘 ★——
——★24小时自动秒发百度网盘 ★——
室内设计CAD图库欧式/中式/现代 赠:动态图库
家装+工装+平面+立面+动态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1" s="2" t="str">
        <f>=HYPERLINK("http://img.alicdn.com/bao/uploaded/i2/O1CN01iM0BpW1dZ5x4YdUaj_!!4611686018427387605-0-fleamarket.jpg_790x10000Q90.jpg_.webp", "img.alicdn.com/bao/uploaded/i2/O1CN01iM0BpW1dZ5x4YdUaj_!!4611686018427387605-0-fleamarket.jpg_790x10000Q90.jpg_.webp")</f>
        <v>img.alicdn.com/bao/uploaded/i2/O1CN01iM0BpW1dZ5x4YdUaj_!!4611686018427387605-0-fleamarket.jpg_790x10000Q90.jpg_.webp</v>
      </c>
      <c r="G41"/>
      <c r="H41" s="2" t="str">
        <f>=HYPERLINK("https://www.goofish.com/item?spm=a21ybx.personal.feeds.349.12e16ac2PYxLX9&amp;id=991568744881&amp;categoryId=50023914", "https://www.goofish.com/item?spm=a21ybx.personal.feeds.349.12e16ac2PYxLX9&amp;id=991568744881&amp;categoryId=50023914")</f>
        <v>https://www.goofish.com/item?spm=a21ybx.personal.feeds.349.12e16ac2PYxLX9&amp;id=991568744881&amp;categoryId=50023914</v>
      </c>
      <c r="I41"/>
      <c r="J41"/>
      <c r="K41"/>
    </row>
    <row r="42" ht="25.5" customHeight="1">
      <c r="A42" t="inlineStr">
        <is>
          <t>电商美工店铺装修电商</t>
        </is>
      </c>
      <c r="B42">
        <v>71</v>
      </c>
      <c r="C42"/>
      <c r="D42" t="inlineStr">
        <is>
          <t>是</t>
        </is>
      </c>
      <c r="E42" t="inlineStr">
        <is>
          <t>电商美工店铺装修电商美妆详情页专题页面排版PSD模板PS设计素材 5000款电商详情可编辑psd源文件店铺装修素材
-----★24小时自动发货，直接拍秒发★--
⭐️每套模版都是我精挑细选出来的
⭐️每款模板都是质量高，适用于任何场合
⭐️每个模板都可以帮你节省大量时间
</t>
        </is>
      </c>
      <c r="F42" s="2" t="str">
        <f>=HYPERLINK("http://img.alicdn.com/bao/uploaded/i2/O1CN010gFUNh2CLMYSlu5lb_!!4611686018427382025-53-fleamarket.heic_790x10000Q90.jpg_.webp", "img.alicdn.com/bao/uploaded/i2/O1CN010gFUNh2CLMYSlu5lb_!!4611686018427382025-53-fleamarket.heic_790x10000Q90.jpg_.webp")</f>
        <v>img.alicdn.com/bao/uploaded/i2/O1CN010gFUNh2CLMYSlu5lb_!!4611686018427382025-53-fleamarket.heic_790x10000Q90.jpg_.webp</v>
      </c>
      <c r="G42"/>
      <c r="H42" s="2" t="str">
        <f>=HYPERLINK("https://www.goofish.com/item?spm=a21ybx.personal.feeds.17.77e76ac22jN7kj&amp;id=838970575462&amp;categoryId=50023914", "https://www.goofish.com/item?spm=a21ybx.personal.feeds.17.77e76ac22jN7kj&amp;id=838970575462&amp;categoryId=50023914")</f>
        <v>https://www.goofish.com/item?spm=a21ybx.personal.feeds.17.77e76ac22jN7kj&amp;id=838970575462&amp;categoryId=50023914</v>
      </c>
      <c r="I42"/>
      <c r="J42"/>
      <c r="K42"/>
    </row>
    <row r="43" ht="25.5" customHeight="1">
      <c r="A43" t="inlineStr">
        <is>
          <t>100款高端整套文创</t>
        </is>
      </c>
      <c r="B43">
        <v>72</v>
      </c>
      <c r="C43"/>
      <c r="D43" t="inlineStr">
        <is>
          <t>是</t>
        </is>
      </c>
      <c r="E43" t="inlineStr">
        <is>
          <t>100款高端整套文创品牌VI提案效果展示贴图样机PSD设计素材 精选100款文创样机psd可编辑源文件素材
-----★24小时自动发货，直接拍秒发★-----
⭐️每套模版都是我精挑细选出来的
⭐️每款模板都是质量高，适用于任何场合
⭐️每个模板都可以帮你节省大量时间
</t>
        </is>
      </c>
      <c r="F43" s="2" t="str">
        <f>=HYPERLINK("http://img.alicdn.com/bao/uploaded/i3/O1CN01zDGmul2CLMWUS0as9_!!53-fleamarket.heic_790x10000Q90.jpg_.webp", "img.alicdn.com/bao/uploaded/i3/O1CN01zDGmul2CLMWUS0as9_!!53-fleamarket.heic_790x10000Q90.jpg_.webp")</f>
        <v>img.alicdn.com/bao/uploaded/i3/O1CN01zDGmul2CLMWUS0as9_!!53-fleamarket.heic_790x10000Q90.jpg_.webp</v>
      </c>
      <c r="G43"/>
      <c r="H43" s="2" t="str">
        <f>=HYPERLINK("https://www.goofish.com/item?spm=a21ybx.personal.feeds.66.77e76ac22jN7kj&amp;id=839406600249&amp;categoryId=50023914", "https://www.goofish.com/item?spm=a21ybx.personal.feeds.66.77e76ac22jN7kj&amp;id=839406600249&amp;categoryId=50023914")</f>
        <v>https://www.goofish.com/item?spm=a21ybx.personal.feeds.66.77e76ac22jN7kj&amp;id=839406600249&amp;categoryId=50023914</v>
      </c>
      <c r="I43"/>
      <c r="J43"/>
      <c r="K43"/>
    </row>
    <row r="44" ht="25.5" customHeight="1">
      <c r="A44" t="inlineStr">
        <is>
          <t>企业公司介绍宣传商务</t>
        </is>
      </c>
      <c r="B44">
        <v>73</v>
      </c>
      <c r="C44"/>
      <c r="D44" t="inlineStr">
        <is>
          <t>是</t>
        </is>
      </c>
      <c r="E44" t="inlineStr">
        <is>
          <t>企业公司介绍宣传商务x展架活动易拉宝广告海报模板PSD设计素材PS 精选239款企业易拉宝招聘宣传展架 可编辑素材源文件
-----★24小时自动发货，直接拍秒发★----
⭐️每套模版都是我精挑细选出来的
⭐️每款模板都是质量高，适用于任何场合
⭐️每个模板都可以帮你节省大量时间
</t>
        </is>
      </c>
      <c r="F44" s="2" t="str">
        <f>=HYPERLINK("http://img.alicdn.com/bao/uploaded/i2/O1CN01J0jqjZ2CLMWU6wTOA_!!53-fleamarket.heic_790x10000Q90.jpg_.webp", "img.alicdn.com/bao/uploaded/i2/O1CN01J0jqjZ2CLMWU6wTOA_!!53-fleamarket.heic_790x10000Q90.jpg_.webp")</f>
        <v>img.alicdn.com/bao/uploaded/i2/O1CN01J0jqjZ2CLMWU6wTOA_!!53-fleamarket.heic_790x10000Q90.jpg_.webp</v>
      </c>
      <c r="G44"/>
      <c r="H44" s="2" t="str">
        <f>=HYPERLINK("https://www.goofish.com/item?spm=a21ybx.personal.feeds.142.77e76ac22jN7kj&amp;id=838965135188&amp;categoryId=50023914", "https://www.goofish.com/item?spm=a21ybx.personal.feeds.142.77e76ac22jN7kj&amp;id=838965135188&amp;categoryId=50023914")</f>
        <v>https://www.goofish.com/item?spm=a21ybx.personal.feeds.142.77e76ac22jN7kj&amp;id=838965135188&amp;categoryId=50023914</v>
      </c>
      <c r="I44"/>
      <c r="J44"/>
      <c r="K44"/>
    </row>
    <row r="45" ht="25.5" customHeight="1">
      <c r="A45" t="inlineStr">
        <is>
          <t>记账系统Excel表</t>
        </is>
      </c>
      <c r="B45">
        <v>74</v>
      </c>
      <c r="C45"/>
      <c r="D45" t="inlineStr">
        <is>
          <t>是</t>
        </is>
      </c>
      <c r="E45" t="inlineStr">
        <is>
          <t>记账系统Excel表格模板 excel记账表格 家庭账本年度分析表 个人月度费用支出记账管理系统52套
✨✨
-----★24小时自动发货，直接拍秒发★-----
⭐️每套模版都是我精挑细选出来的
⭐️每款模板都是质量高，适用于任何场合
⭐️每个模板都可以帮你节省大量时间
</t>
        </is>
      </c>
      <c r="F45" s="2" t="str">
        <f>=HYPERLINK("http://img.alicdn.com/bao/uploaded/i4/O1CN01T4AYaW2CLMWROUuB5_!!53-fleamarket.heic_790x10000Q90.jpg_.webp", "img.alicdn.com/bao/uploaded/i4/O1CN01T4AYaW2CLMWROUuB5_!!53-fleamarket.heic_790x10000Q90.jpg_.webp")</f>
        <v>img.alicdn.com/bao/uploaded/i4/O1CN01T4AYaW2CLMWROUuB5_!!53-fleamarket.heic_790x10000Q90.jpg_.webp</v>
      </c>
      <c r="G45"/>
      <c r="H45" s="2" t="str">
        <f>=HYPERLINK("https://www.goofish.com/item?spm=a21ybx.personal.feeds.53.77e76ac22jN7kj&amp;id=839341433731&amp;categoryId=50023914", "https://www.goofish.com/item?spm=a21ybx.personal.feeds.53.77e76ac22jN7kj&amp;id=839341433731&amp;categoryId=50023914")</f>
        <v>https://www.goofish.com/item?spm=a21ybx.personal.feeds.53.77e76ac22jN7kj&amp;id=839341433731&amp;categoryId=50023914</v>
      </c>
      <c r="I45"/>
      <c r="J45"/>
      <c r="K45"/>
    </row>
    <row r="46" ht="25.5" customHeight="1">
      <c r="A46" t="inlineStr">
        <is>
          <t>6000张动漫线稿</t>
        </is>
      </c>
      <c r="B46">
        <v>75</v>
      </c>
      <c r="C46"/>
      <c r="D46" t="inlineStr">
        <is>
          <t>是</t>
        </is>
      </c>
      <c r="E46" t="inlineStr">
        <is>
          <t>6000张动漫线稿，超多！可以平时用来练习。
想要直接拍
【线稿】上万张人体结构建筑线稿临摹参考五官表情光影表现身体动作肌肉骨骼透视漫画练习日式场景cg 建筑风景速写等绘画设计参考素材绘画速写古风线稿PS手绘图Q版人体造型多角度线稿草稿动态姿势合集
★页(张)数：13153张【精选高质量】
★文件大小：4.8G【解压后】（方便保存）
★文件格式：JPG，JPEG
★图片类型：日韩人物、日系插画、人体动态欧美角色、建筑设定、概念设计、建筑物件、科幻设定、现代场景、日系场景、表情结构、肌肉透视、漫画分镜等
------★24小时自动发货，直接拍秒发★-----
⭐️每套风格的模版都是我精心挑选出来的。
⭐️每款都是 质量高，适用于任何场合～
⭐️每个风格都有单独归类文档编号跟预览物
</t>
        </is>
      </c>
      <c r="F46" s="2" t="str">
        <f>=HYPERLINK("http://img.alicdn.com/bao/uploaded/i3/O1CN01wy0YmG2CLMWRgZaLC_!!53-fleamarket.heic_790x10000Q90.jpg_.webp", "img.alicdn.com/bao/uploaded/i3/O1CN01wy0YmG2CLMWRgZaLC_!!53-fleamarket.heic_790x10000Q90.jpg_.webp")</f>
        <v>img.alicdn.com/bao/uploaded/i3/O1CN01wy0YmG2CLMWRgZaLC_!!53-fleamarket.heic_790x10000Q90.jpg_.webp</v>
      </c>
      <c r="G46"/>
      <c r="H46" s="2" t="str">
        <f>=HYPERLINK("https://www.goofish.com/item?spm=a21ybx.personal.feeds.63.77e76ac22jN7kj&amp;id=838899803609&amp;categoryId=50023914", "https://www.goofish.com/item?spm=a21ybx.personal.feeds.63.77e76ac22jN7kj&amp;id=838899803609&amp;categoryId=50023914")</f>
        <v>https://www.goofish.com/item?spm=a21ybx.personal.feeds.63.77e76ac22jN7kj&amp;id=838899803609&amp;categoryId=50023914</v>
      </c>
      <c r="I46"/>
      <c r="J46"/>
      <c r="K46"/>
    </row>
    <row r="47" ht="25.5" customHeight="1">
      <c r="A47" t="inlineStr">
        <is>
          <t>茶叶奶茶手册VI品牌</t>
        </is>
      </c>
      <c r="B47">
        <v>76</v>
      </c>
      <c r="C47"/>
      <c r="D47" t="inlineStr">
        <is>
          <t>是</t>
        </is>
      </c>
      <c r="E47" t="inlineStr">
        <is>
          <t>茶叶奶茶手册VI品牌形象企业产品宣传册VIS全套模板矢量设计素材 精选24款茶叶奶茶品牌手册ai可编辑模板素材
-----★24小时自动发货，直接拍秒发★-----
⭐️每套模版都是我精挑细选出来的
⭐️每款模板都是质量高，适用于任何场合
⭐️每个模板都可以帮你节省大量时间
</t>
        </is>
      </c>
      <c r="F47" s="2" t="str">
        <f>=HYPERLINK("http://img.alicdn.com/bao/uploaded/i1/O1CN017GYIxI2CLMWMV6rEa_!!53-fleamarket.heic_790x10000Q90.jpg_.webp", "img.alicdn.com/bao/uploaded/i1/O1CN017GYIxI2CLMWMV6rEa_!!53-fleamarket.heic_790x10000Q90.jpg_.webp")</f>
        <v>img.alicdn.com/bao/uploaded/i1/O1CN017GYIxI2CLMWMV6rEa_!!53-fleamarket.heic_790x10000Q90.jpg_.webp</v>
      </c>
      <c r="G47"/>
      <c r="H47" s="2" t="str">
        <f>=HYPERLINK("https://www.goofish.com/item?spm=a21ybx.personal.feeds.156.77e76ac22jN7kj&amp;id=839233401492&amp;categoryId=50023914", "https://www.goofish.com/item?spm=a21ybx.personal.feeds.156.77e76ac22jN7kj&amp;id=839233401492&amp;categoryId=50023914")</f>
        <v>https://www.goofish.com/item?spm=a21ybx.personal.feeds.156.77e76ac22jN7kj&amp;id=839233401492&amp;categoryId=50023914</v>
      </c>
      <c r="I47"/>
      <c r="J47"/>
      <c r="K47"/>
    </row>
    <row r="48" ht="25.5" customHeight="1">
      <c r="A48" t="inlineStr">
        <is>
          <t>【PPT模板】350</t>
        </is>
      </c>
      <c r="B48">
        <v>77</v>
      </c>
      <c r="C48" t="inlineStr">
        <is>
          <t>链接: https://pan.baidu.com/s/1Zvj6o4qvmM7qc4gJB4uiwg 提取码: 7ndi 
--复制这段内容后打开百度网盘手机APP
========
【温馨提示】：
感谢购买，如有疑问，请联系我哟（哈哈~不满意支持退款），谢谢！
希望亲能给个好评~~^0^
(好评后系统自动赠送店铺热卖款PPT模板一份《精选2000套含莫兰迪风高端大气PPT模板工作汇报小组总结答辩汇报通用》）</t>
        </is>
      </c>
      <c r="D48" t="inlineStr">
        <is>
          <t>是</t>
        </is>
      </c>
      <c r="E48" t="inlineStr">
        <is>
          <t>【PPT模板】350套炫酷科技感ppt模板类动态高端工作汇报商务互联网多媒体ppt模板
-----★24小时自动发货，直接拍秒发★-----
⭐️每套模版都是我精挑细选出来的
⭐️每款模板都是质量高，适用于任何场合
⭐️每个模板都可以帮你节省大量时间
</t>
        </is>
      </c>
      <c r="F48" s="2" t="str">
        <f>=HYPERLINK("http://img.alicdn.com/bao/uploaded/i1/O1CN01LltOwv2CLMVoQWQrs_!!53-fleamarket.heic_790x10000Q90.jpg_.webp", "img.alicdn.com/bao/uploaded/i1/O1CN01LltOwv2CLMVoQWQrs_!!53-fleamarket.heic_790x10000Q90.jpg_.webp")</f>
        <v>img.alicdn.com/bao/uploaded/i1/O1CN01LltOwv2CLMVoQWQrs_!!53-fleamarket.heic_790x10000Q90.jpg_.webp</v>
      </c>
      <c r="G48"/>
      <c r="H48" s="2" t="str">
        <f>=HYPERLINK("https://www.goofish.com/item?spm=a21ybx.personal.feeds.173.77e76ac22jN7kj&amp;id=827741364305&amp;categoryId=50023914", "https://www.goofish.com/item?spm=a21ybx.personal.feeds.173.77e76ac22jN7kj&amp;id=827741364305&amp;categoryId=50023914")</f>
        <v>https://www.goofish.com/item?spm=a21ybx.personal.feeds.173.77e76ac22jN7kj&amp;id=827741364305&amp;categoryId=50023914</v>
      </c>
      <c r="I48"/>
      <c r="J48"/>
      <c r="K48"/>
    </row>
    <row r="49" ht="25.5" customHeight="1">
      <c r="A49" t="inlineStr">
        <is>
          <t>PS海报模板素材图库</t>
        </is>
      </c>
      <c r="B49">
        <v>78</v>
      </c>
      <c r="C49" t="inlineStr">
        <is>
          <t>【超级会员V1】通过百度网盘分享的文件：S108-PS海…
链接:https://pan.baidu.com/s/14CNwuguGTteib53KmxPAHw 
提取码:389k
复制这段内容打开「百度网盘APP 即可获取」</t>
        </is>
      </c>
      <c r="D49" t="inlineStr">
        <is>
          <t>是</t>
        </is>
      </c>
      <c r="E49" t="inlineStr">
        <is>
          <t>PS海报模板素材图库，精选4000套海报设计模板
涉及广告/平面/设计/促销/宣传/食品/招聘/招生/婚纱/电影/音乐/金融/旅游/科技/美容/母婴/教育/地产/电器/等众多领域，psd格式！
-----★24小时自动发货，直接拍秒发★-----
⭐️每套风格的模版都是我精心挑选出来的。
⭐️每款都是 质量高，适用于任何场合～
⭐️每个风格都有单独归类文档编号跟预览物之情
</t>
        </is>
      </c>
      <c r="F49" s="2" t="str">
        <f>=HYPERLINK("http://img.alicdn.com/bao/uploaded/i1/O1CN01p1PijE2CLMWS8ZH7O_!!53-fleamarket.heic_790x10000Q90.jpg_.webp", "img.alicdn.com/bao/uploaded/i1/O1CN01p1PijE2CLMWS8ZH7O_!!53-fleamarket.heic_790x10000Q90.jpg_.webp")</f>
        <v>img.alicdn.com/bao/uploaded/i1/O1CN01p1PijE2CLMWS8ZH7O_!!53-fleamarket.heic_790x10000Q90.jpg_.webp</v>
      </c>
      <c r="G49"/>
      <c r="H49" s="2" t="str">
        <f>=HYPERLINK("https://www.goofish.com/item?spm=a21ybx.personal.feeds.46.77e76ac22jN7kj&amp;id=838995255145&amp;categoryId=50023914", "https://www.goofish.com/item?spm=a21ybx.personal.feeds.46.77e76ac22jN7kj&amp;id=838995255145&amp;categoryId=50023914")</f>
        <v>https://www.goofish.com/item?spm=a21ybx.personal.feeds.46.77e76ac22jN7kj&amp;id=838995255145&amp;categoryId=50023914</v>
      </c>
      <c r="I49"/>
      <c r="J49"/>
      <c r="K49"/>
    </row>
    <row r="50" ht="25.5" customHeight="1">
      <c r="A50" t="inlineStr">
        <is>
          <t>
80套高端PPT模</t>
        </is>
      </c>
      <c r="B50">
        <v>79</v>
      </c>
      <c r="C50"/>
      <c r="D50" t="inlineStr">
        <is>
          <t>是</t>
        </is>
      </c>
      <c r="E50" t="inlineStr">
        <is>
          <t>
80套高端PPT模板，逻辑PPT，高端大气PPT，工作汇报PPT模板
适用于各种行业，设计精美，多种风格款式可选，可编辑修改，使用方便
-----★24小时自动发货，直接拍秒发★-----
⭐️每套模版都是我精挑细选出来的
⭐️每款模板都是质量高，适用于任何场合
⭐️每个模板都可以帮你节省大量时间
</t>
        </is>
      </c>
      <c r="F50" s="2" t="str">
        <f>=HYPERLINK("http://img.alicdn.com/bao/uploaded/i3/O1CN01RQPkEd2CLMW7HQ5cn_!!53-fleamarket.heic_790x10000Q90.jpg_.webp", "img.alicdn.com/bao/uploaded/i3/O1CN01RQPkEd2CLMW7HQ5cn_!!53-fleamarket.heic_790x10000Q90.jpg_.webp")</f>
        <v>img.alicdn.com/bao/uploaded/i3/O1CN01RQPkEd2CLMW7HQ5cn_!!53-fleamarket.heic_790x10000Q90.jpg_.webp</v>
      </c>
      <c r="G50"/>
      <c r="H50" s="2" t="str">
        <f>=HYPERLINK("https://www.goofish.com/item?spm=a21ybx.personal.feeds.96.77e76ac22jN7kj&amp;id=830266147835&amp;categoryId=50023914", "https://www.goofish.com/item?spm=a21ybx.personal.feeds.96.77e76ac22jN7kj&amp;id=830266147835&amp;categoryId=50023914")</f>
        <v>https://www.goofish.com/item?spm=a21ybx.personal.feeds.96.77e76ac22jN7kj&amp;id=830266147835&amp;categoryId=50023914</v>
      </c>
      <c r="I50"/>
      <c r="J50"/>
      <c r="K50"/>
    </row>
    <row r="51" ht="25.5" customHeight="1">
      <c r="A51" t="inlineStr">
        <is>
          <t>2026马年中小学生</t>
        </is>
      </c>
      <c r="B51">
        <v>80</v>
      </c>
      <c r="C51"/>
      <c r="D51" t="inlineStr">
        <is>
          <t>是</t>
        </is>
      </c>
      <c r="E51" t="inlineStr">
        <is>
          <t>2026马年中小学生幼儿园喜迎元旦ppt班会元旦联欢晚会ppt素材企业
——★24小时自动秒发百度网盘 ★——
——★24小时自动秒发百度网盘 ★——
——★24小时自动秒发百度网盘 ★——
200款马年元旦PPT
2026元旦 2026新年 元旦晚会 新年晚会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1" s="2" t="str">
        <f>=HYPERLINK("http://img.alicdn.com/bao/uploaded/i2/O1CN01HAdhZX1dZ5xQsq9cA_!!4611686018427387605-2-fleamarket.png_790x10000.jpg_.webp", "img.alicdn.com/bao/uploaded/i2/O1CN01HAdhZX1dZ5xQsq9cA_!!4611686018427387605-2-fleamarket.png_790x10000.jpg_.webp")</f>
        <v>img.alicdn.com/bao/uploaded/i2/O1CN01HAdhZX1dZ5xQsq9cA_!!4611686018427387605-2-fleamarket.png_790x10000.jpg_.webp</v>
      </c>
      <c r="G51"/>
      <c r="H51" s="2" t="str">
        <f>=HYPERLINK("https://www.goofish.com/item?spm=a21ybx.personal.feeds.57.12e16ac2PYxLX9&amp;id=998398580438&amp;categoryId=50023914", "https://www.goofish.com/item?spm=a21ybx.personal.feeds.57.12e16ac2PYxLX9&amp;id=998398580438&amp;categoryId=50023914")</f>
        <v>https://www.goofish.com/item?spm=a21ybx.personal.feeds.57.12e16ac2PYxLX9&amp;id=998398580438&amp;categoryId=50023914</v>
      </c>
      <c r="I51"/>
      <c r="J51"/>
      <c r="K51"/>
    </row>
    <row r="52" ht="25.5" customHeight="1">
      <c r="A52" t="inlineStr">
        <is>
          <t>邀请函电子版模板企业</t>
        </is>
      </c>
      <c r="B52">
        <v>81</v>
      </c>
      <c r="C52"/>
      <c r="D52" t="inlineStr">
        <is>
          <t>是</t>
        </is>
      </c>
      <c r="E52" t="inlineStr">
        <is>
          <t>邀请函电子版模板企业商务晚宴请柬word公司会议年会庆典请帖素材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2" s="2" t="str">
        <f>=HYPERLINK("http://img.alicdn.com/bao/uploaded/i3/O1CN01GHbUGR1dZ5wr9Y8Z9_!!4611686018427387605-0-fleamarket.jpg_790x10000Q90.jpg_.webp", "img.alicdn.com/bao/uploaded/i3/O1CN01GHbUGR1dZ5wr9Y8Z9_!!4611686018427387605-0-fleamarket.jpg_790x10000Q90.jpg_.webp")</f>
        <v>img.alicdn.com/bao/uploaded/i3/O1CN01GHbUGR1dZ5wr9Y8Z9_!!4611686018427387605-0-fleamarket.jpg_790x10000Q90.jpg_.webp</v>
      </c>
      <c r="G52"/>
      <c r="H52" s="2" t="str">
        <f>=HYPERLINK("https://www.goofish.com/item?spm=a21ybx.personal.feeds.475.12e16ac2PYxLX9&amp;id=985666559871&amp;categoryId=50023914", "https://www.goofish.com/item?spm=a21ybx.personal.feeds.475.12e16ac2PYxLX9&amp;id=985666559871&amp;categoryId=50023914")</f>
        <v>https://www.goofish.com/item?spm=a21ybx.personal.feeds.475.12e16ac2PYxLX9&amp;id=985666559871&amp;categoryId=50023914</v>
      </c>
      <c r="I52"/>
      <c r="J52"/>
      <c r="K52"/>
    </row>
    <row r="53" ht="25.5" customHeight="1">
      <c r="A53" t="inlineStr">
        <is>
          <t>高级感年终工作总结转</t>
        </is>
      </c>
      <c r="B53">
        <v>82</v>
      </c>
      <c r="C53"/>
      <c r="D53" t="inlineStr">
        <is>
          <t>是</t>
        </is>
      </c>
      <c r="E53" t="inlineStr">
        <is>
          <t>高级感年终工作总结转正述职汇报甘特图逻辑架构数据图表ppt模板
——★24小时自动秒发百度网盘 ★——
——★24小时自动秒发百度网盘 ★——
——★24小时自动秒发百度网盘 ★——
一款218页，不是218款哦亲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3" s="2" t="str">
        <f>=HYPERLINK("http://img.alicdn.com/bao/uploaded/i2/O1CN01fzjgv91dZ5wxmRYjG_!!4611686018427387605-0-fleamarket.jpg_790x10000Q90.jpg_.webp", "img.alicdn.com/bao/uploaded/i2/O1CN01fzjgv91dZ5wxmRYjG_!!4611686018427387605-0-fleamarket.jpg_790x10000Q90.jpg_.webp")</f>
        <v>img.alicdn.com/bao/uploaded/i2/O1CN01fzjgv91dZ5wxmRYjG_!!4611686018427387605-0-fleamarket.jpg_790x10000Q90.jpg_.webp</v>
      </c>
      <c r="G53"/>
      <c r="H53" s="2" t="str">
        <f>=HYPERLINK("https://www.goofish.com/item?spm=a21ybx.personal.feeds.421.12e16ac2PYxLX9&amp;id=989300669579&amp;categoryId=50023914", "https://www.goofish.com/item?spm=a21ybx.personal.feeds.421.12e16ac2PYxLX9&amp;id=989300669579&amp;categoryId=50023914")</f>
        <v>https://www.goofish.com/item?spm=a21ybx.personal.feeds.421.12e16ac2PYxLX9&amp;id=989300669579&amp;categoryId=50023914</v>
      </c>
      <c r="I53"/>
      <c r="J53"/>
      <c r="K53"/>
    </row>
    <row r="54" ht="25.5" customHeight="1">
      <c r="A54" t="inlineStr">
        <is>
          <t>屎盆子镶金边PPT模</t>
        </is>
      </c>
      <c r="B54">
        <v>83</v>
      </c>
      <c r="C54"/>
      <c r="D54" t="inlineStr">
        <is>
          <t>是</t>
        </is>
      </c>
      <c r="E54" t="inlineStr">
        <is>
          <t>屎盆子镶金边PPT模板素材高级感动态快闪创意平滑轮播极简约商务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4" s="2" t="str">
        <f>=HYPERLINK("http://img.alicdn.com/bao/uploaded/i1/O1CN01mNw1wM1dZ5wxmO5rL_!!4611686018427387605-0-fleamarket.jpg_790x10000Q90.jpg_.webp", "img.alicdn.com/bao/uploaded/i1/O1CN01mNw1wM1dZ5wxmO5rL_!!4611686018427387605-0-fleamarket.jpg_790x10000Q90.jpg_.webp")</f>
        <v>img.alicdn.com/bao/uploaded/i1/O1CN01mNw1wM1dZ5wxmO5rL_!!4611686018427387605-0-fleamarket.jpg_790x10000Q90.jpg_.webp</v>
      </c>
      <c r="G54"/>
      <c r="H54" s="2" t="str">
        <f>=HYPERLINK("https://www.goofish.com/item?spm=a21ybx.personal.feeds.427.12e16ac2PYxLX9&amp;id=987781123378&amp;categoryId=50023914", "https://www.goofish.com/item?spm=a21ybx.personal.feeds.427.12e16ac2PYxLX9&amp;id=987781123378&amp;categoryId=50023914")</f>
        <v>https://www.goofish.com/item?spm=a21ybx.personal.feeds.427.12e16ac2PYxLX9&amp;id=987781123378&amp;categoryId=50023914</v>
      </c>
      <c r="I54"/>
      <c r="J54"/>
      <c r="K54"/>
    </row>
    <row r="55" ht="25.5" customHeight="1">
      <c r="A55" t="inlineStr">
        <is>
          <t>研究生组会文献汇报P</t>
        </is>
      </c>
      <c r="B55">
        <v>84</v>
      </c>
      <c r="C55"/>
      <c r="D55" t="inlineStr">
        <is>
          <t>是</t>
        </is>
      </c>
      <c r="E55" t="inlineStr">
        <is>
          <t>研究生组会文献汇报PPT模板解读研究现状英文综述博士后阅读报告
——★24小时自动秒发百度网盘 ★——
——★24小时自动秒发百度网盘 ★——
——★24小时自动秒发百度网盘 ★——
33套PPT组会文献汇报 硕士博士 中文英文 学术汇报 框架完整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5" s="2" t="str">
        <f>=HYPERLINK("http://img.alicdn.com/bao/uploaded/i2/O1CN01aDqa5E1dZ5x0uC6nh_!!4611686018427387605-0-fleamarket.jpg_790x10000Q90.jpg_.webp", "img.alicdn.com/bao/uploaded/i2/O1CN01aDqa5E1dZ5x0uC6nh_!!4611686018427387605-0-fleamarket.jpg_790x10000Q90.jpg_.webp")</f>
        <v>img.alicdn.com/bao/uploaded/i2/O1CN01aDqa5E1dZ5x0uC6nh_!!4611686018427387605-0-fleamarket.jpg_790x10000Q90.jpg_.webp</v>
      </c>
      <c r="G55"/>
      <c r="H55" s="2" t="str">
        <f>=HYPERLINK("https://www.goofish.com/item?spm=a21ybx.personal.feeds.392.12e16ac2PYxLX9&amp;id=989296162241&amp;categoryId=50023914", "https://www.goofish.com/item?spm=a21ybx.personal.feeds.392.12e16ac2PYxLX9&amp;id=989296162241&amp;categoryId=50023914")</f>
        <v>https://www.goofish.com/item?spm=a21ybx.personal.feeds.392.12e16ac2PYxLX9&amp;id=989296162241&amp;categoryId=50023914</v>
      </c>
      <c r="I55"/>
      <c r="J55"/>
      <c r="K55"/>
    </row>
    <row r="56" ht="25.5" customHeight="1">
      <c r="A56" t="inlineStr">
        <is>
          <t>世界全国职业院校技能</t>
        </is>
      </c>
      <c r="B56">
        <v>85</v>
      </c>
      <c r="C56"/>
      <c r="D56" t="inlineStr">
        <is>
          <t>是</t>
        </is>
      </c>
      <c r="E56" t="inlineStr">
        <is>
          <t>世界全国职业院校技能大赛PPT模板资料逐字稿全赛道高级感可编辑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6" s="2" t="str">
        <f>=HYPERLINK("http://img.alicdn.com/bao/uploaded/i1/O1CN01TUaGZb1dZ5wq1dPl4_!!4611686018427387605-0-fleamarket.jpg_790x10000Q90.jpg_.webp", "img.alicdn.com/bao/uploaded/i1/O1CN01TUaGZb1dZ5wq1dPl4_!!4611686018427387605-0-fleamarket.jpg_790x10000Q90.jpg_.webp")</f>
        <v>img.alicdn.com/bao/uploaded/i1/O1CN01TUaGZb1dZ5wq1dPl4_!!4611686018427387605-0-fleamarket.jpg_790x10000Q90.jpg_.webp</v>
      </c>
      <c r="G56"/>
      <c r="H56" s="2" t="str">
        <f>=HYPERLINK("https://www.goofish.com/item?spm=a21ybx.personal.feeds.477.12e16ac2PYxLX9&amp;id=987649944333&amp;categoryId=50023914", "https://www.goofish.com/item?spm=a21ybx.personal.feeds.477.12e16ac2PYxLX9&amp;id=987649944333&amp;categoryId=50023914")</f>
        <v>https://www.goofish.com/item?spm=a21ybx.personal.feeds.477.12e16ac2PYxLX9&amp;id=987649944333&amp;categoryId=50023914</v>
      </c>
      <c r="I56"/>
      <c r="J56"/>
      <c r="K56"/>
    </row>
    <row r="57" ht="25.5" customHeight="1">
      <c r="A57" t="inlineStr">
        <is>
          <t>excel高级可视化</t>
        </is>
      </c>
      <c r="B57">
        <v>86</v>
      </c>
      <c r="C57"/>
      <c r="D57" t="inlineStr">
        <is>
          <t>是</t>
        </is>
      </c>
      <c r="E57" t="inlineStr">
        <is>
          <t>excel高级可视化大屏数据分析图表模版PPT动态销售财务看板柱状图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7" s="2" t="str">
        <f>=HYPERLINK("http://img.alicdn.com/bao/uploaded/i2/O1CN01JO1zmS1dZ5wxos4Yf_!!4611686018427387605-0-fleamarket.jpg_790x10000Q90.jpg_.webp", "img.alicdn.com/bao/uploaded/i2/O1CN01JO1zmS1dZ5wxos4Yf_!!4611686018427387605-0-fleamarket.jpg_790x10000Q90.jpg_.webp")</f>
        <v>img.alicdn.com/bao/uploaded/i2/O1CN01JO1zmS1dZ5wxos4Yf_!!4611686018427387605-0-fleamarket.jpg_790x10000Q90.jpg_.webp</v>
      </c>
      <c r="G57"/>
      <c r="H57" s="2" t="str">
        <f>=HYPERLINK("https://www.goofish.com/item?spm=a21ybx.personal.feeds.409.12e16ac2PYxLX9&amp;id=989312953171&amp;categoryId=50023914", "https://www.goofish.com/item?spm=a21ybx.personal.feeds.409.12e16ac2PYxLX9&amp;id=989312953171&amp;categoryId=50023914")</f>
        <v>https://www.goofish.com/item?spm=a21ybx.personal.feeds.409.12e16ac2PYxLX9&amp;id=989312953171&amp;categoryId=50023914</v>
      </c>
      <c r="I57"/>
      <c r="J57"/>
      <c r="K57"/>
    </row>
    <row r="58" ht="25.5" customHeight="1">
      <c r="A58" t="inlineStr">
        <is>
          <t>创赛PPT模板创新创</t>
        </is>
      </c>
      <c r="B58">
        <v>87</v>
      </c>
      <c r="C58"/>
      <c r="D58" t="inlineStr">
        <is>
          <t>是</t>
        </is>
      </c>
      <c r="E58" t="inlineStr">
        <is>
          <t>创赛PPT模板创新创业大赛三创赛互联网加挑战杯绿色蓝色非遗科技
——★24小时自动秒发百度网盘 ★——
拍下全发带内容！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58" s="2" t="str">
        <f>=HYPERLINK("http://img.alicdn.com/bao/uploaded/i4/O1CN01Q63Ezx1dZ5wFvlkgn_!!4611686018427387605-0-fleamarket.jpg_790x10000Q90.jpg_.webp", "img.alicdn.com/bao/uploaded/i4/O1CN01Q63Ezx1dZ5wFvlkgn_!!4611686018427387605-0-fleamarket.jpg_790x10000Q90.jpg_.webp")</f>
        <v>img.alicdn.com/bao/uploaded/i4/O1CN01Q63Ezx1dZ5wFvlkgn_!!4611686018427387605-0-fleamarket.jpg_790x10000Q90.jpg_.webp</v>
      </c>
      <c r="G58"/>
      <c r="H58" s="2" t="str">
        <f>=HYPERLINK("https://www.goofish.com/item?spm=a21ybx.personal.feeds.275.12e16ac2PYxLX9&amp;id=973239537314&amp;categoryId=201664707", "https://www.goofish.com/item?spm=a21ybx.personal.feeds.275.12e16ac2PYxLX9&amp;id=973239537314&amp;categoryId=201664707")</f>
        <v>https://www.goofish.com/item?spm=a21ybx.personal.feeds.275.12e16ac2PYxLX9&amp;id=973239537314&amp;categoryId=201664707</v>
      </c>
      <c r="I58"/>
      <c r="J58"/>
      <c r="K58"/>
    </row>
    <row r="59" ht="25.5" customHeight="1">
      <c r="A59" t="inlineStr">
        <is>
          <t>读书分享ppt成品模</t>
        </is>
      </c>
      <c r="B59">
        <v>88</v>
      </c>
      <c r="C59"/>
      <c r="D59" t="inlineStr">
        <is>
          <t>是</t>
        </is>
      </c>
      <c r="E59" t="inlineStr">
        <is>
          <t>读书分享ppt成品模板名著诗词带讲稿教师学生读后感课外好书推荐
——★24小时自动秒发百度网盘 ★——
——★24小时自动秒发百度网盘 ★——
——★24小时自动秒发百度网盘 ★——
4800套读书分享PPT 教师读书 世界读书日 诗词名著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9" s="2" t="str">
        <f>=HYPERLINK("http://img.alicdn.com/bao/uploaded/i2/O1CN01lAIKG01dZ5x1etfQr_!!4611686018427387605-0-fleamarket.jpg_790x10000Q90.jpg_.webp", "img.alicdn.com/bao/uploaded/i2/O1CN01lAIKG01dZ5x1etfQr_!!4611686018427387605-0-fleamarket.jpg_790x10000Q90.jpg_.webp")</f>
        <v>img.alicdn.com/bao/uploaded/i2/O1CN01lAIKG01dZ5x1etfQr_!!4611686018427387605-0-fleamarket.jpg_790x10000Q90.jpg_.webp</v>
      </c>
      <c r="G59"/>
      <c r="H59" s="2" t="str">
        <f>=HYPERLINK("https://www.goofish.com/item?spm=a21ybx.personal.feeds.379.12e16ac2PYxLX9&amp;id=991214376436&amp;categoryId=50023914", "https://www.goofish.com/item?spm=a21ybx.personal.feeds.379.12e16ac2PYxLX9&amp;id=991214376436&amp;categoryId=50023914")</f>
        <v>https://www.goofish.com/item?spm=a21ybx.personal.feeds.379.12e16ac2PYxLX9&amp;id=991214376436&amp;categoryId=50023914</v>
      </c>
      <c r="I59"/>
      <c r="J59"/>
      <c r="K59"/>
    </row>
    <row r="60" ht="25.5" customHeight="1">
      <c r="A60" t="inlineStr">
        <is>
          <t>ppt科研绘图素材材</t>
        </is>
      </c>
      <c r="B60">
        <v>89</v>
      </c>
      <c r="C60"/>
      <c r="D60" t="inlineStr">
        <is>
          <t>是</t>
        </is>
      </c>
      <c r="E60" t="inlineStr">
        <is>
          <t>ppt科研绘图素材材料实验仪器设备化学生物流程图片SCI器官细胞AI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0" s="2" t="str">
        <f>=HYPERLINK("http://img.alicdn.com/bao/uploaded/i1/O1CN01bVhU2t1dZ5woY9rgd_!!4611686018427387605-0-fleamarket.jpg_790x10000Q90.jpg_.webp", "img.alicdn.com/bao/uploaded/i1/O1CN01bVhU2t1dZ5woY9rgd_!!4611686018427387605-0-fleamarket.jpg_790x10000Q90.jpg_.webp")</f>
        <v>img.alicdn.com/bao/uploaded/i1/O1CN01bVhU2t1dZ5woY9rgd_!!4611686018427387605-0-fleamarket.jpg_790x10000Q90.jpg_.webp</v>
      </c>
      <c r="G60"/>
      <c r="H60" s="2" t="str">
        <f>=HYPERLINK("https://www.goofish.com/item?spm=a21ybx.personal.feeds.487.12e16ac2PYxLX9&amp;id=986229413477&amp;categoryId=50023914", "https://www.goofish.com/item?spm=a21ybx.personal.feeds.487.12e16ac2PYxLX9&amp;id=986229413477&amp;categoryId=50023914")</f>
        <v>https://www.goofish.com/item?spm=a21ybx.personal.feeds.487.12e16ac2PYxLX9&amp;id=986229413477&amp;categoryId=50023914</v>
      </c>
      <c r="I60"/>
      <c r="J60"/>
      <c r="K60"/>
    </row>
    <row r="61" ht="25.5" customHeight="1">
      <c r="A61" t="inlineStr">
        <is>
          <t>全国赛教学能力大赛实</t>
        </is>
      </c>
      <c r="B61">
        <v>90</v>
      </c>
      <c r="C61"/>
      <c r="D61" t="inlineStr">
        <is>
          <t>是</t>
        </is>
      </c>
      <c r="E61" t="inlineStr">
        <is>
          <t>全国赛教学能力大赛实施报告PPT模板十二图汇报配图职业院校技能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1" s="2" t="str">
        <f>=HYPERLINK("http://img.alicdn.com/bao/uploaded/i3/O1CN01CQpTko1dZ5wuPT7GU_!!4611686018427387605-0-fleamarket.jpg_790x10000Q90.jpg_.webp", "img.alicdn.com/bao/uploaded/i3/O1CN01CQpTko1dZ5wuPT7GU_!!4611686018427387605-0-fleamarket.jpg_790x10000Q90.jpg_.webp")</f>
        <v>img.alicdn.com/bao/uploaded/i3/O1CN01CQpTko1dZ5wuPT7GU_!!4611686018427387605-0-fleamarket.jpg_790x10000Q90.jpg_.webp</v>
      </c>
      <c r="G61"/>
      <c r="H61" s="2" t="str">
        <f>=HYPERLINK("https://www.goofish.com/item?spm=a21ybx.personal.feeds.443.12e16ac2PYxLX9&amp;id=987346986432&amp;categoryId=50023914", "https://www.goofish.com/item?spm=a21ybx.personal.feeds.443.12e16ac2PYxLX9&amp;id=987346986432&amp;categoryId=50023914")</f>
        <v>https://www.goofish.com/item?spm=a21ybx.personal.feeds.443.12e16ac2PYxLX9&amp;id=987346986432&amp;categoryId=50023914</v>
      </c>
      <c r="I61"/>
      <c r="J61"/>
      <c r="K61"/>
    </row>
    <row r="62" ht="25.5" customHeight="1">
      <c r="A62" t="inlineStr">
        <is>
          <t>非遗文化PPT模板成</t>
        </is>
      </c>
      <c r="B62">
        <v>91</v>
      </c>
      <c r="C62"/>
      <c r="D62" t="inlineStr">
        <is>
          <t>是</t>
        </is>
      </c>
      <c r="E62" t="inlineStr">
        <is>
          <t>非遗文化PPT模板成品课件保护项目知识宣传中国传统元素带内容ppt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2" s="2" t="str">
        <f>=HYPERLINK("http://img.alicdn.com/bao/uploaded/i3/O1CN011Na5nO1dZ5xEIJogw_!!4611686018427387605-0-fleamarket.jpg_790x10000Q90.jpg_.webp", "img.alicdn.com/bao/uploaded/i3/O1CN011Na5nO1dZ5xEIJogw_!!4611686018427387605-0-fleamarket.jpg_790x10000Q90.jpg_.webp")</f>
        <v>img.alicdn.com/bao/uploaded/i3/O1CN011Na5nO1dZ5xEIJogw_!!4611686018427387605-0-fleamarket.jpg_790x10000Q90.jpg_.webp</v>
      </c>
      <c r="G62"/>
      <c r="H62" s="2" t="str">
        <f>=HYPERLINK("https://www.goofish.com/item?spm=a21ybx.personal.feeds.205.12e16ac2PYxLX9&amp;id=992755850412&amp;categoryId=50023914", "https://www.goofish.com/item?spm=a21ybx.personal.feeds.205.12e16ac2PYxLX9&amp;id=992755850412&amp;categoryId=50023914")</f>
        <v>https://www.goofish.com/item?spm=a21ybx.personal.feeds.205.12e16ac2PYxLX9&amp;id=992755850412&amp;categoryId=50023914</v>
      </c>
      <c r="I62"/>
      <c r="J62"/>
      <c r="K62"/>
    </row>
    <row r="63" ht="25.5" customHeight="1">
      <c r="A63" t="inlineStr">
        <is>
          <t>旅游宣传PPT模板出</t>
        </is>
      </c>
      <c r="B63">
        <v>92</v>
      </c>
      <c r="C63"/>
      <c r="D63" t="inlineStr">
        <is>
          <t>是</t>
        </is>
      </c>
      <c r="E63" t="inlineStr">
        <is>
          <t>旅游宣传PPT模板出行攻略旅行画册城市介绍景点文旅推广简约风格
——★24小时自动秒发百度网盘 ★——
——★24小时自动秒发百度网盘 ★——
——★24小时自动秒发百度网盘 ★——
精选118套旅游宣传PPT 城市介绍 规划攻略 景点宣传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3" s="2" t="str">
        <f>=HYPERLINK("http://img.alicdn.com/bao/uploaded/i3/O1CN011BoLn11dZ5x7866PT_!!4611686018427387605-0-fleamarket.jpg_790x10000Q90.jpg_.webp", "img.alicdn.com/bao/uploaded/i3/O1CN011BoLn11dZ5x7866PT_!!4611686018427387605-0-fleamarket.jpg_790x10000Q90.jpg_.webp")</f>
        <v>img.alicdn.com/bao/uploaded/i3/O1CN011BoLn11dZ5x7866PT_!!4611686018427387605-0-fleamarket.jpg_790x10000Q90.jpg_.webp</v>
      </c>
      <c r="G63"/>
      <c r="H63" s="2" t="str">
        <f>=HYPERLINK("https://www.goofish.com/item?spm=a21ybx.personal.feeds.336.12e16ac2PYxLX9&amp;id=992134284696&amp;categoryId=50023914", "https://www.goofish.com/item?spm=a21ybx.personal.feeds.336.12e16ac2PYxLX9&amp;id=992134284696&amp;categoryId=50023914")</f>
        <v>https://www.goofish.com/item?spm=a21ybx.personal.feeds.336.12e16ac2PYxLX9&amp;id=992134284696&amp;categoryId=50023914</v>
      </c>
      <c r="I63"/>
      <c r="J63"/>
      <c r="K63"/>
    </row>
    <row r="64" ht="25.5" customHeight="1">
      <c r="A64" t="inlineStr">
        <is>
          <t>爱国主题诗歌朗诵演讲</t>
        </is>
      </c>
      <c r="B64">
        <v>93</v>
      </c>
      <c r="C64"/>
      <c r="D64" t="inlineStr">
        <is>
          <t>是</t>
        </is>
      </c>
      <c r="E64" t="inlineStr">
        <is>
          <t>爱国主题诗歌朗诵演讲比赛晚会舞台演出红歌led高清背景视频素材
——★24小时自动秒发百度网盘 ★——
——★24小时自动秒发百度网盘 ★——
——★24小时自动秒发百度网盘 ★——
演讲/朗诵视频合集
部分是:示范版(有人声)+配乐版(纯音乐)+MP3音乐+词稿
我们是高清像素!1920X1080!
像素很高!几米宽的显示屏也可使用!
全为MP4格式，均带伴奏视频，时长1-15分钟不等
218个背景视频全发您，很全!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4" s="2" t="str">
        <f>=HYPERLINK("http://img.alicdn.com/bao/uploaded/i1/O1CN01JZPG4i1dZ5wkU7eRp_!!4611686018427387605-0-fleamarket.jpg_790x10000Q90.jpg_.webp", "img.alicdn.com/bao/uploaded/i1/O1CN01JZPG4i1dZ5wkU7eRp_!!4611686018427387605-0-fleamarket.jpg_790x10000Q90.jpg_.webp")</f>
        <v>img.alicdn.com/bao/uploaded/i1/O1CN01JZPG4i1dZ5wkU7eRp_!!4611686018427387605-0-fleamarket.jpg_790x10000Q90.jpg_.webp</v>
      </c>
      <c r="G64"/>
      <c r="H64" s="2" t="str">
        <f>=HYPERLINK("https://www.goofish.com/item?spm=a21ybx.personal.feeds.498.12e16ac2PYxLX9&amp;id=985529520678&amp;categoryId=50023914", "https://www.goofish.com/item?spm=a21ybx.personal.feeds.498.12e16ac2PYxLX9&amp;id=985529520678&amp;categoryId=50023914")</f>
        <v>https://www.goofish.com/item?spm=a21ybx.personal.feeds.498.12e16ac2PYxLX9&amp;id=985529520678&amp;categoryId=50023914</v>
      </c>
      <c r="I64"/>
      <c r="J64"/>
      <c r="K64"/>
    </row>
    <row r="65" ht="25.5" customHeight="1">
      <c r="A65" t="inlineStr">
        <is>
          <t>2026年带农历丙午</t>
        </is>
      </c>
      <c r="B65">
        <v>94</v>
      </c>
      <c r="C65"/>
      <c r="D65" t="inlineStr">
        <is>
          <t>是</t>
        </is>
      </c>
      <c r="E65" t="inlineStr">
        <is>
          <t>2026年带农历丙午年【马年】日历电子版文件素材高清可编辑excel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5" s="2" t="str">
        <f>=HYPERLINK("http://img.alicdn.com/bao/uploaded/i2/O1CN01Mz388x1dZ5x3GgWrX_!!4611686018427387605-0-fleamarket.jpg_790x10000Q90.jpg_.webp", "img.alicdn.com/bao/uploaded/i2/O1CN01Mz388x1dZ5x3GgWrX_!!4611686018427387605-0-fleamarket.jpg_790x10000Q90.jpg_.webp")</f>
        <v>img.alicdn.com/bao/uploaded/i2/O1CN01Mz388x1dZ5x3GgWrX_!!4611686018427387605-0-fleamarket.jpg_790x10000Q90.jpg_.webp</v>
      </c>
      <c r="G65"/>
      <c r="H65" s="2" t="str">
        <f>=HYPERLINK("https://www.goofish.com/item?spm=a21ybx.personal.feeds.358.12e16ac2PYxLX9&amp;id=991552412013&amp;categoryId=50023914", "https://www.goofish.com/item?spm=a21ybx.personal.feeds.358.12e16ac2PYxLX9&amp;id=991552412013&amp;categoryId=50023914")</f>
        <v>https://www.goofish.com/item?spm=a21ybx.personal.feeds.358.12e16ac2PYxLX9&amp;id=991552412013&amp;categoryId=50023914</v>
      </c>
      <c r="I65"/>
      <c r="J65"/>
      <c r="K65"/>
    </row>
    <row r="66" ht="25.5" customHeight="1">
      <c r="A66" t="inlineStr">
        <is>
          <t>疯狂动物城PPT模板</t>
        </is>
      </c>
      <c r="B66">
        <v>95</v>
      </c>
      <c r="C66"/>
      <c r="D66" t="inlineStr">
        <is>
          <t>是</t>
        </is>
      </c>
      <c r="E66" t="inlineStr">
        <is>
          <t>疯狂动物城PPT模板影视介绍赏析推荐创意角色素材班会课件中英文
——★24小时自动秒发百度网盘 ★——
——★24小时自动秒发百度网盘 ★——
——★24小时自动秒发百度网盘 ★——
10套PPT疯狂动物城
影视介绍 电影赏析 主题班会 图片素材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6" s="2" t="str">
        <f>=HYPERLINK("http://img.alicdn.com/bao/uploaded/i2/O1CN01E6FcQF1dZ5xX0xSC0_!!4611686018427387605-0-fleamarket.jpg_790x10000Q90.jpg_.webp", "img.alicdn.com/bao/uploaded/i2/O1CN01E6FcQF1dZ5xX0xSC0_!!4611686018427387605-0-fleamarket.jpg_790x10000Q90.jpg_.webp")</f>
        <v>img.alicdn.com/bao/uploaded/i2/O1CN01E6FcQF1dZ5xX0xSC0_!!4611686018427387605-0-fleamarket.jpg_790x10000Q90.jpg_.webp</v>
      </c>
      <c r="G66"/>
      <c r="H66" s="2" t="str">
        <f>=HYPERLINK("https://www.goofish.com/item?spm=a21ybx.personal.feeds.32.12e16ac2PYxLX9&amp;id=999137226968&amp;categoryId=50023914", "https://www.goofish.com/item?spm=a21ybx.personal.feeds.32.12e16ac2PYxLX9&amp;id=999137226968&amp;categoryId=50023914")</f>
        <v>https://www.goofish.com/item?spm=a21ybx.personal.feeds.32.12e16ac2PYxLX9&amp;id=999137226968&amp;categoryId=50023914</v>
      </c>
      <c r="I66"/>
      <c r="J66"/>
      <c r="K66"/>
    </row>
    <row r="67" ht="25.5" customHeight="1">
      <c r="A67" t="inlineStr">
        <is>
          <t>儿童绘本故事PPT电</t>
        </is>
      </c>
      <c r="B67">
        <v>96</v>
      </c>
      <c r="C67"/>
      <c r="D67" t="inlineStr">
        <is>
          <t>是</t>
        </is>
      </c>
      <c r="E67" t="inlineStr">
        <is>
          <t>儿童绘本故事PPT电子版幼儿园小学早教大中小班英语阅读课件教案
——★24小时自动秒发百度网盘 ★——
——★24小时自动秒发百度网盘 ★——
——★24小时自动秒发百度网盘 ★——
8900套儿童故事绘本 PPT+教案+绘本+动画
小班/中班/大班/小学绘本 今年新款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7" s="2" t="str">
        <f>=HYPERLINK("http://img.alicdn.com/bao/uploaded/i3/O1CN01IO6yEj1dZ5wyD6qmm_!!4611686018427387605-0-fleamarket.jpg_790x10000Q90.jpg_.webp", "img.alicdn.com/bao/uploaded/i3/O1CN01IO6yEj1dZ5wyD6qmm_!!4611686018427387605-0-fleamarket.jpg_790x10000Q90.jpg_.webp")</f>
        <v>img.alicdn.com/bao/uploaded/i3/O1CN01IO6yEj1dZ5wyD6qmm_!!4611686018427387605-0-fleamarket.jpg_790x10000Q90.jpg_.webp</v>
      </c>
      <c r="G67"/>
      <c r="H67" s="2" t="str">
        <f>=HYPERLINK("https://www.goofish.com/item?spm=a21ybx.personal.feeds.346.12e16ac2PYxLX9&amp;id=990876161430&amp;categoryId=50023914", "https://www.goofish.com/item?spm=a21ybx.personal.feeds.346.12e16ac2PYxLX9&amp;id=990876161430&amp;categoryId=50023914")</f>
        <v>https://www.goofish.com/item?spm=a21ybx.personal.feeds.346.12e16ac2PYxLX9&amp;id=990876161430&amp;categoryId=50023914</v>
      </c>
      <c r="I67"/>
      <c r="J67"/>
      <c r="K67"/>
    </row>
    <row r="68" ht="25.5" customHeight="1">
      <c r="A68" t="inlineStr">
        <is>
          <t>大学生个人职业生涯规</t>
        </is>
      </c>
      <c r="B68">
        <v>97</v>
      </c>
      <c r="C68"/>
      <c r="D68" t="inlineStr">
        <is>
          <t>是</t>
        </is>
      </c>
      <c r="E68" t="inlineStr">
        <is>
          <t>大学生个人职业生涯规划书简约就业指导求职工作计划通用ppt模板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8" s="2" t="str">
        <f>=HYPERLINK("http://img.alicdn.com/bao/uploaded/i3/O1CN01xkkmvq1dZ5x8bNJ3Q_!!4611686018427387605-0-fleamarket.jpg_790x10000Q90.jpg_.webp", "img.alicdn.com/bao/uploaded/i3/O1CN01xkkmvq1dZ5x8bNJ3Q_!!4611686018427387605-0-fleamarket.jpg_790x10000Q90.jpg_.webp")</f>
        <v>img.alicdn.com/bao/uploaded/i3/O1CN01xkkmvq1dZ5x8bNJ3Q_!!4611686018427387605-0-fleamarket.jpg_790x10000Q90.jpg_.webp</v>
      </c>
      <c r="G68"/>
      <c r="H68" s="2" t="str">
        <f>=HYPERLINK("https://www.goofish.com/item?spm=a21ybx.personal.feeds.319.12e16ac2PYxLX9&amp;id=991146598294&amp;categoryId=50023914", "https://www.goofish.com/item?spm=a21ybx.personal.feeds.319.12e16ac2PYxLX9&amp;id=991146598294&amp;categoryId=50023914")</f>
        <v>https://www.goofish.com/item?spm=a21ybx.personal.feeds.319.12e16ac2PYxLX9&amp;id=991146598294&amp;categoryId=50023914</v>
      </c>
      <c r="I68"/>
      <c r="J68"/>
      <c r="K68"/>
    </row>
    <row r="69" ht="25.5" customHeight="1">
      <c r="A69" t="inlineStr">
        <is>
          <t>创赛PPT模板专用字</t>
        </is>
      </c>
      <c r="B69">
        <v>98</v>
      </c>
      <c r="C69"/>
      <c r="D69" t="inlineStr">
        <is>
          <t>是</t>
        </is>
      </c>
      <c r="E69" t="inlineStr">
        <is>
          <t>创赛PPT模板专用字体包封面高级三创赛新创业大赛互联网加挑战杯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9" s="2" t="str">
        <f>=HYPERLINK("http://img.alicdn.com/bao/uploaded/i1/O1CN01Md3B5Q1dZ5x3NSLRI_!!4611686018427387605-0-fleamarket.jpg_790x10000Q90.jpg_.webp", "img.alicdn.com/bao/uploaded/i1/O1CN01Md3B5Q1dZ5x3NSLRI_!!4611686018427387605-0-fleamarket.jpg_790x10000Q90.jpg_.webp")</f>
        <v>img.alicdn.com/bao/uploaded/i1/O1CN01Md3B5Q1dZ5x3NSLRI_!!4611686018427387605-0-fleamarket.jpg_790x10000Q90.jpg_.webp</v>
      </c>
      <c r="G69"/>
      <c r="H69" s="2" t="str">
        <f>=HYPERLINK("https://www.goofish.com/item?spm=a21ybx.personal.feeds.364.12e16ac2PYxLX9&amp;id=990592765264&amp;categoryId=50023914", "https://www.goofish.com/item?spm=a21ybx.personal.feeds.364.12e16ac2PYxLX9&amp;id=990592765264&amp;categoryId=50023914")</f>
        <v>https://www.goofish.com/item?spm=a21ybx.personal.feeds.364.12e16ac2PYxLX9&amp;id=990592765264&amp;categoryId=50023914</v>
      </c>
      <c r="I69"/>
      <c r="J69"/>
      <c r="K69"/>
    </row>
    <row r="70" ht="25.5" customHeight="1">
      <c r="A70" t="inlineStr">
        <is>
          <t>教学能力大赛PPT比</t>
        </is>
      </c>
      <c r="B70">
        <v>99</v>
      </c>
      <c r="C70"/>
      <c r="D70" t="inlineStr">
        <is>
          <t>是</t>
        </is>
      </c>
      <c r="E70" t="inlineStr">
        <is>
          <t>教学能力大赛PPT比赛说课实施报告创新教学设计架构全国职业院校
——★24小时自动秒发百度网盘 ★——
——★24小时自动秒发百度网盘 ★——
——★24小时自动秒发百度网盘 ★——
16套PPT教学能力大赛 老师和评委都喜欢看的汇报PPT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0" s="2" t="str">
        <f>=HYPERLINK("http://img.alicdn.com/bao/uploaded/i1/O1CN011zfU051dZ5x0mz91t_!!4611686018427387605-0-fleamarket.jpg_790x10000Q90.jpg_.webp", "img.alicdn.com/bao/uploaded/i1/O1CN011zfU051dZ5x0mz91t_!!4611686018427387605-0-fleamarket.jpg_790x10000Q90.jpg_.webp")</f>
        <v>img.alicdn.com/bao/uploaded/i1/O1CN011zfU051dZ5x0mz91t_!!4611686018427387605-0-fleamarket.jpg_790x10000Q90.jpg_.webp</v>
      </c>
      <c r="G70"/>
      <c r="H70" s="2" t="str">
        <f>=HYPERLINK("https://www.goofish.com/item?spm=a21ybx.personal.feeds.391.12e16ac2PYxLX9&amp;id=990051145288&amp;categoryId=50023914", "https://www.goofish.com/item?spm=a21ybx.personal.feeds.391.12e16ac2PYxLX9&amp;id=990051145288&amp;categoryId=50023914")</f>
        <v>https://www.goofish.com/item?spm=a21ybx.personal.feeds.391.12e16ac2PYxLX9&amp;id=990051145288&amp;categoryId=50023914</v>
      </c>
      <c r="I70"/>
      <c r="J70"/>
      <c r="K70"/>
    </row>
    <row r="71" ht="25.5" customHeight="1">
      <c r="A71" t="inlineStr">
        <is>
          <t>幼儿园讲故事PPT成</t>
        </is>
      </c>
      <c r="B71">
        <v>100</v>
      </c>
      <c r="C71"/>
      <c r="D71" t="inlineStr">
        <is>
          <t>是</t>
        </is>
      </c>
      <c r="E71" t="inlineStr">
        <is>
          <t>幼儿园讲故事PPT成品含内容幼儿园老师家长进课堂故事资料素材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1" s="2" t="str">
        <f>=HYPERLINK("http://img.alicdn.com/bao/uploaded/i4/O1CN01rguB5z1dZ5wuqVvzZ_!!4611686018427387605-0-fleamarket.jpg_790x10000Q90.jpg_.webp", "img.alicdn.com/bao/uploaded/i4/O1CN01rguB5z1dZ5wuqVvzZ_!!4611686018427387605-0-fleamarket.jpg_790x10000Q90.jpg_.webp")</f>
        <v>img.alicdn.com/bao/uploaded/i4/O1CN01rguB5z1dZ5wuqVvzZ_!!4611686018427387605-0-fleamarket.jpg_790x10000Q90.jpg_.webp</v>
      </c>
      <c r="G71"/>
      <c r="H71" s="2" t="str">
        <f>=HYPERLINK("https://www.goofish.com/item?spm=a21ybx.personal.feeds.451.12e16ac2PYxLX9&amp;id=986798451751&amp;categoryId=50023914", "https://www.goofish.com/item?spm=a21ybx.personal.feeds.451.12e16ac2PYxLX9&amp;id=986798451751&amp;categoryId=50023914")</f>
        <v>https://www.goofish.com/item?spm=a21ybx.personal.feeds.451.12e16ac2PYxLX9&amp;id=986798451751&amp;categoryId=50023914</v>
      </c>
      <c r="I71"/>
      <c r="J71"/>
      <c r="K71"/>
    </row>
    <row r="72" ht="25.5" customHeight="1">
      <c r="A72" t="inlineStr">
        <is>
          <t>教师课堂放松神器抽奖</t>
        </is>
      </c>
      <c r="B72">
        <v>101</v>
      </c>
      <c r="C72"/>
      <c r="D72" t="inlineStr">
        <is>
          <t>是</t>
        </is>
      </c>
      <c r="E72" t="inlineStr">
        <is>
          <t>教师课堂放松神器抽奖红包PPT模板砸金蛋转盘趣味互动游戏课件wps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2" s="2" t="str">
        <f>=HYPERLINK("http://img.alicdn.com/bao/uploaded/i1/O1CN01z80CQn1dZ5wup0fwo_!!4611686018427387605-2-fleamarket.png_790x10000.jpg_.webp", "img.alicdn.com/bao/uploaded/i1/O1CN01z80CQn1dZ5wup0fwo_!!4611686018427387605-2-fleamarket.png_790x10000.jpg_.webp")</f>
        <v>img.alicdn.com/bao/uploaded/i1/O1CN01z80CQn1dZ5wup0fwo_!!4611686018427387605-2-fleamarket.png_790x10000.jpg_.webp</v>
      </c>
      <c r="G72"/>
      <c r="H72" s="2" t="str">
        <f>=HYPERLINK("https://www.goofish.com/item?spm=a21ybx.personal.feeds.448.12e16ac2PYxLX9&amp;id=988784320838&amp;categoryId=50023914", "https://www.goofish.com/item?spm=a21ybx.personal.feeds.448.12e16ac2PYxLX9&amp;id=988784320838&amp;categoryId=50023914")</f>
        <v>https://www.goofish.com/item?spm=a21ybx.personal.feeds.448.12e16ac2PYxLX9&amp;id=988784320838&amp;categoryId=50023914</v>
      </c>
      <c r="I72"/>
      <c r="J72"/>
      <c r="K72"/>
    </row>
    <row r="73" ht="25.5" customHeight="1">
      <c r="A73" t="inlineStr">
        <is>
          <t>红色大气简约励志商务</t>
        </is>
      </c>
      <c r="B73">
        <v>102</v>
      </c>
      <c r="C73"/>
      <c r="D73" t="inlineStr">
        <is>
          <t>是</t>
        </is>
      </c>
      <c r="E73" t="inlineStr">
        <is>
          <t>红色大气简约励志商务个人年终年中工作总结述职汇报动态ppt模板
——★24小时自动秒发百度网盘 ★——
——★24小时自动秒发百度网盘 ★——
——★24小时自动秒发百度网盘 ★——
包含45款 大小:670MB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3" s="2" t="str">
        <f>=HYPERLINK("http://img.alicdn.com/bao/uploaded/i1/O1CN01zmpyI81dZ5wsJEhCX_!!4611686018427387605-0-fleamarket.jpg_790x10000Q90.jpg_.webp", "img.alicdn.com/bao/uploaded/i1/O1CN01zmpyI81dZ5wsJEhCX_!!4611686018427387605-0-fleamarket.jpg_790x10000Q90.jpg_.webp")</f>
        <v>img.alicdn.com/bao/uploaded/i1/O1CN01zmpyI81dZ5wsJEhCX_!!4611686018427387605-0-fleamarket.jpg_790x10000Q90.jpg_.webp</v>
      </c>
      <c r="G73"/>
      <c r="H73" s="2" t="str">
        <f>=HYPERLINK("https://www.goofish.com/item?spm=a21ybx.personal.feeds.468.12e16ac2PYxLX9&amp;id=987779177319&amp;categoryId=50023914", "https://www.goofish.com/item?spm=a21ybx.personal.feeds.468.12e16ac2PYxLX9&amp;id=987779177319&amp;categoryId=50023914")</f>
        <v>https://www.goofish.com/item?spm=a21ybx.personal.feeds.468.12e16ac2PYxLX9&amp;id=987779177319&amp;categoryId=50023914</v>
      </c>
      <c r="I73"/>
      <c r="J73"/>
      <c r="K73"/>
    </row>
    <row r="74" ht="25.5" customHeight="1">
      <c r="A74" t="inlineStr">
        <is>
          <t>电商设计详情页模板淘</t>
        </is>
      </c>
      <c r="B74">
        <v>103</v>
      </c>
      <c r="C74"/>
      <c r="D74" t="inlineStr">
        <is>
          <t>是</t>
        </is>
      </c>
      <c r="E74" t="inlineStr">
        <is>
          <t>电商设计详情页模板淘宝商品主图店铺装修首页psd美工ps素材网店
——★24小时自动秒发百度网盘 ★——
——★24小时自动秒发百度网盘 ★——
——★24小时自动秒发百度网盘 ★——
4000套电商详情页 分层PSD+预览图 35类产品介绍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4" s="2" t="str">
        <f>=HYPERLINK("http://img.alicdn.com/bao/uploaded/i2/O1CN01XyFF9V1dZ5x6i5JFC_!!4611686018427387605-0-fleamarket.jpg_790x10000Q90.jpg_.webp", "img.alicdn.com/bao/uploaded/i2/O1CN01XyFF9V1dZ5x6i5JFC_!!4611686018427387605-0-fleamarket.jpg_790x10000Q90.jpg_.webp")</f>
        <v>img.alicdn.com/bao/uploaded/i2/O1CN01XyFF9V1dZ5x6i5JFC_!!4611686018427387605-0-fleamarket.jpg_790x10000Q90.jpg_.webp</v>
      </c>
      <c r="G74"/>
      <c r="H74" s="2" t="str">
        <f>=HYPERLINK("https://www.goofish.com/item?spm=a21ybx.personal.feeds.335.12e16ac2PYxLX9&amp;id=991443629845&amp;categoryId=50023914", "https://www.goofish.com/item?spm=a21ybx.personal.feeds.335.12e16ac2PYxLX9&amp;id=991443629845&amp;categoryId=50023914")</f>
        <v>https://www.goofish.com/item?spm=a21ybx.personal.feeds.335.12e16ac2PYxLX9&amp;id=991443629845&amp;categoryId=50023914</v>
      </c>
      <c r="I74"/>
      <c r="J74"/>
      <c r="K74"/>
    </row>
    <row r="75" ht="25.5" customHeight="1">
      <c r="A75" t="inlineStr">
        <is>
          <t>医学品管圈医疗医护理</t>
        </is>
      </c>
      <c r="B75">
        <v>104</v>
      </c>
      <c r="C75"/>
      <c r="D75" t="inlineStr">
        <is>
          <t>是</t>
        </is>
      </c>
      <c r="E75" t="inlineStr">
        <is>
          <t>医学品管圈医疗医护理查房ppt模板医生护士病例工作汇报培训课件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5" s="2" t="str">
        <f>=HYPERLINK("http://img.alicdn.com/bao/uploaded/i1/O1CN01M6z5491dZ5wyX6Gmj_!!4611686018427387605-0-fleamarket.jpg_790x10000Q90.jpg_.webp", "img.alicdn.com/bao/uploaded/i1/O1CN01M6z5491dZ5wyX6Gmj_!!4611686018427387605-0-fleamarket.jpg_790x10000Q90.jpg_.webp")</f>
        <v>img.alicdn.com/bao/uploaded/i1/O1CN01M6z5491dZ5wyX6Gmj_!!4611686018427387605-0-fleamarket.jpg_790x10000Q90.jpg_.webp</v>
      </c>
      <c r="G75"/>
      <c r="H75" s="2" t="str">
        <f>=HYPERLINK("https://www.goofish.com/item?spm=a21ybx.personal.feeds.411.12e16ac2PYxLX9&amp;id=988549746797&amp;categoryId=50023914", "https://www.goofish.com/item?spm=a21ybx.personal.feeds.411.12e16ac2PYxLX9&amp;id=988549746797&amp;categoryId=50023914")</f>
        <v>https://www.goofish.com/item?spm=a21ybx.personal.feeds.411.12e16ac2PYxLX9&amp;id=988549746797&amp;categoryId=50023914</v>
      </c>
      <c r="I75"/>
      <c r="J75"/>
      <c r="K75"/>
    </row>
    <row r="76" ht="25.5" customHeight="1">
      <c r="A76" t="inlineStr">
        <is>
          <t>活跃气氛课前热身小游</t>
        </is>
      </c>
      <c r="B76">
        <v>105</v>
      </c>
      <c r="C76"/>
      <c r="D76" t="inlineStr">
        <is>
          <t>是</t>
        </is>
      </c>
      <c r="E76" t="inlineStr">
        <is>
          <t>活跃气氛课前热身小游戏PPT破冰线上网课小游戏互动创意课堂游戏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6" s="2" t="str">
        <f>=HYPERLINK("http://img.alicdn.com/bao/uploaded/i3/O1CN01I1mFzw1dZ5wogAJUc_!!4611686018427387605-0-fleamarket.jpg_790x10000Q90.jpg_.webp", "img.alicdn.com/bao/uploaded/i3/O1CN01I1mFzw1dZ5wogAJUc_!!4611686018427387605-0-fleamarket.jpg_790x10000Q90.jpg_.webp")</f>
        <v>img.alicdn.com/bao/uploaded/i3/O1CN01I1mFzw1dZ5wogAJUc_!!4611686018427387605-0-fleamarket.jpg_790x10000Q90.jpg_.webp</v>
      </c>
      <c r="G76"/>
      <c r="H76" s="2" t="str">
        <f>=HYPERLINK("https://www.goofish.com/item?spm=a21ybx.personal.feeds.481.12e16ac2PYxLX9&amp;id=984952487130&amp;categoryId=50023914", "https://www.goofish.com/item?spm=a21ybx.personal.feeds.481.12e16ac2PYxLX9&amp;id=984952487130&amp;categoryId=50023914")</f>
        <v>https://www.goofish.com/item?spm=a21ybx.personal.feeds.481.12e16ac2PYxLX9&amp;id=984952487130&amp;categoryId=50023914</v>
      </c>
      <c r="I76"/>
      <c r="J76"/>
      <c r="K76"/>
    </row>
    <row r="77" ht="25.5" customHeight="1">
      <c r="A77" t="inlineStr">
        <is>
          <t>大学生国家奖学金竞选</t>
        </is>
      </c>
      <c r="B77">
        <v>106</v>
      </c>
      <c r="C77"/>
      <c r="D77" t="inlineStr">
        <is>
          <t>是</t>
        </is>
      </c>
      <c r="E77" t="inlineStr">
        <is>
          <t>大学生国家奖学金竞选红色简约学术风励志导航栏国奖答辩ppt模板
——★24小时自动秒发百度网盘 ★——
——★24小时自动秒发百度网盘 ★——
——★24小时自动秒发百度网盘 ★——
高端精选250款国奖答辩PPT
大小:5GB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7" s="2" t="str">
        <f>=HYPERLINK("http://img.alicdn.com/bao/uploaded/i2/O1CN01qhwjve1dZ5wta1pkJ_!!4611686018427387605-0-fleamarket.jpg_790x10000Q90.jpg_.webp", "img.alicdn.com/bao/uploaded/i2/O1CN01qhwjve1dZ5wta1pkJ_!!4611686018427387605-0-fleamarket.jpg_790x10000Q90.jpg_.webp")</f>
        <v>img.alicdn.com/bao/uploaded/i2/O1CN01qhwjve1dZ5wta1pkJ_!!4611686018427387605-0-fleamarket.jpg_790x10000Q90.jpg_.webp</v>
      </c>
      <c r="G77"/>
      <c r="H77" s="2" t="str">
        <f>=HYPERLINK("https://www.goofish.com/item?spm=a21ybx.personal.feeds.460.12e16ac2PYxLX9&amp;id=987016574924&amp;categoryId=50023914", "https://www.goofish.com/item?spm=a21ybx.personal.feeds.460.12e16ac2PYxLX9&amp;id=987016574924&amp;categoryId=50023914")</f>
        <v>https://www.goofish.com/item?spm=a21ybx.personal.feeds.460.12e16ac2PYxLX9&amp;id=987016574924&amp;categoryId=50023914</v>
      </c>
      <c r="I77"/>
      <c r="J77"/>
      <c r="K77"/>
    </row>
    <row r="78" ht="25.5" customHeight="1">
      <c r="A78" t="inlineStr">
        <is>
          <t>职业规划大赛精选PP</t>
        </is>
      </c>
      <c r="B78">
        <v>107</v>
      </c>
      <c r="C78"/>
      <c r="D78" t="inlineStr">
        <is>
          <t>是</t>
        </is>
      </c>
      <c r="E78" t="inlineStr">
        <is>
          <t>职业规划大赛精选PPT模版含计划书成长就业赛道获奖作品高级感
——★24小时自动秒发百度网盘 ★——
——★24小时自动秒发百度网盘 ★——
——★24小时自动秒发百度网盘 ★——
精选PPT模板399套 成长赛道+就业赛道+带导航栏
大学生职业规划大赛 PPT+WORD计划书 PPT含内容可编辑 24小时发网盘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8" s="2" t="str">
        <f>=HYPERLINK("http://img.alicdn.com/bao/uploaded/i3/O1CN01tn5sfE1dZ5xN6s2lb_!!4611686018427387605-0-fleamarket.jpg_790x10000Q90.jpg_.webp", "img.alicdn.com/bao/uploaded/i3/O1CN01tn5sfE1dZ5xN6s2lb_!!4611686018427387605-0-fleamarket.jpg_790x10000Q90.jpg_.webp")</f>
        <v>img.alicdn.com/bao/uploaded/i3/O1CN01tn5sfE1dZ5xN6s2lb_!!4611686018427387605-0-fleamarket.jpg_790x10000Q90.jpg_.webp</v>
      </c>
      <c r="G78"/>
      <c r="H78" s="2" t="str">
        <f>=HYPERLINK("https://www.goofish.com/item?spm=a21ybx.personal.feeds.106.12e16ac2PYxLX9&amp;id=995226486484&amp;categoryId=50023914", "https://www.goofish.com/item?spm=a21ybx.personal.feeds.106.12e16ac2PYxLX9&amp;id=995226486484&amp;categoryId=50023914")</f>
        <v>https://www.goofish.com/item?spm=a21ybx.personal.feeds.106.12e16ac2PYxLX9&amp;id=995226486484&amp;categoryId=50023914</v>
      </c>
      <c r="I78"/>
      <c r="J78"/>
      <c r="K78"/>
    </row>
    <row r="79" ht="25.5" customHeight="1">
      <c r="A79" t="inlineStr">
        <is>
          <t>科研学术文献汇报项目</t>
        </is>
      </c>
      <c r="B79">
        <v>108</v>
      </c>
      <c r="C79"/>
      <c r="D79" t="inlineStr">
        <is>
          <t>是</t>
        </is>
      </c>
      <c r="E79" t="inlineStr">
        <is>
          <t>科研学术文献汇报项目组研究生人才职称申报开题报告答辩ppt模板
——★24小时自动秒发百度网盘 ★——
——★24小时自动秒发百度网盘 ★——
——★24小时自动秒发百度网盘 ★——
99款科研学术汇报PPT 大小:2.6GB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9" s="2" t="str">
        <f>=HYPERLINK("http://img.alicdn.com/bao/uploaded/i4/O1CN01bF9m4w1dZ5wtGchu5_!!4611686018427387605-0-fleamarket.jpg_790x10000Q90.jpg_.webp", "img.alicdn.com/bao/uploaded/i4/O1CN01bF9m4w1dZ5wtGchu5_!!4611686018427387605-0-fleamarket.jpg_790x10000Q90.jpg_.webp")</f>
        <v>img.alicdn.com/bao/uploaded/i4/O1CN01bF9m4w1dZ5wtGchu5_!!4611686018427387605-0-fleamarket.jpg_790x10000Q90.jpg_.webp</v>
      </c>
      <c r="G79"/>
      <c r="H79" s="2" t="str">
        <f>=HYPERLINK("https://www.goofish.com/item?spm=a21ybx.personal.feeds.453.12e16ac2PYxLX9&amp;id=988487908810&amp;categoryId=50023914", "https://www.goofish.com/item?spm=a21ybx.personal.feeds.453.12e16ac2PYxLX9&amp;id=988487908810&amp;categoryId=50023914")</f>
        <v>https://www.goofish.com/item?spm=a21ybx.personal.feeds.453.12e16ac2PYxLX9&amp;id=988487908810&amp;categoryId=50023914</v>
      </c>
      <c r="I79"/>
      <c r="J79"/>
      <c r="K79"/>
    </row>
    <row r="80" ht="25.5" customHeight="1">
      <c r="A80" t="inlineStr">
        <is>
          <t>AI绘画提示词大全S</t>
        </is>
      </c>
      <c r="B80">
        <v>109</v>
      </c>
      <c r="C80"/>
      <c r="D80"/>
      <c r="E80" t="inlineStr">
        <is>
          <t>AI绘画提示词大全SD提示词StableDiffusion提示词关键词咒语绘画案例
标价就是售价，拍下秒发货百度网盘
此商品因特殊性，售出后不支持退款，请大家看清楚后下单
</t>
        </is>
      </c>
      <c r="F80" s="2"/>
      <c r="G80"/>
      <c r="H80" s="2"/>
      <c r="I80"/>
      <c r="J80"/>
      <c r="K80"/>
    </row>
    <row r="81" ht="25.5" customHeight="1">
      <c r="A81" t="inlineStr">
        <is>
          <t>8月最新可灵，即梦美</t>
        </is>
      </c>
      <c r="B81">
        <v>129</v>
      </c>
      <c r="C81"/>
      <c r="D81"/>
      <c r="E81" t="inlineStr">
        <is>
          <t>8月最新可灵，即梦美女生成提示词
[new][new][new][new][new][new][new][new][new][new][new][new]
70多种美女提示词，国产大模型。
[下][下][下][下][下][下][下][下][下][下][下][下][下][下][下]
直接粘贴复制文生视频图，生视频提示词，做原创内容很方便。
[红圆][红圆][红圆][红圆][红圆][红圆][红圆][红圆][红圆][红圆][红圆][红圆][红圆][红圆][红圆][红圆][红圆]
2025年最新版本的美女生成提示词，整理不易，价格实惠。</t>
        </is>
      </c>
      <c r="F81" s="2"/>
      <c r="G81"/>
      <c r="H81" s="2"/>
      <c r="I81"/>
      <c r="J81"/>
      <c r="K81"/>
    </row>
    <row r="82" ht="25.5" customHeight="1">
      <c r="A82" t="inlineStr">
        <is>
          <t>Q/V区双区雪隼，链</t>
        </is>
      </c>
      <c r="B82">
        <v>130</v>
      </c>
      <c r="C82"/>
      <c r="D82"/>
      <c r="E82" t="inlineStr">
        <is>
          <t>Q/V区双区雪隼，链接在就是有，标价出
——————————————————
友情提示:虚拟物品售出不退不换 ，交易过程全程录屏，下单默认成年，看好咨询下单，售出不退，跑单费10%
引流关键词请忽略：MK14 妹控 MG3 GROZA 狗砸杂 AUG 7级套 黑卡 红卡 黄卡 金 龙 护航 无人房 精致弹头 穿甲弹头 铁爪 黑鹰 轩辕 爆炸烈弓 雪隼 特劳斯 列维 火焰刀 蝴蝶刀 双截棍 关连词:双弹头，aug，狗砸，妹控，m4，精致弹头，空心弹头，穿甲弹头，护甲破坏，轻质材料，枪机调试空心弹头，轻质弹夹，精致弹头，空心弹头，穿甲弹头，护甲破坏，枪机调试，轻质，替死
</t>
        </is>
      </c>
      <c r="F82" s="2"/>
      <c r="G82"/>
      <c r="H82" s="2"/>
      <c r="I82"/>
      <c r="J82"/>
      <c r="K82"/>
    </row>
    <row r="83" ht="25.5" customHeight="1">
      <c r="A83" t="inlineStr">
        <is>
          <t xml:space="preserve">【提示词】TRAE </t>
        </is>
      </c>
      <c r="B83">
        <v>131</v>
      </c>
      <c r="C83"/>
      <c r="D83"/>
      <c r="E83" t="inlineStr">
        <is>
          <t>【提示词】TRAE 通用6A规则提示词+敏捷开发5S规则提示词
功能说明:
✅让 AI 按照专业流程工作
✅确保需求理解准确无误
✅保证代码质量和可维护性
✅建立完善的文档体系
✅实现高效的团队协作
内容包含:
6A+5S 规则提示词
【温馨说明】
课程目录已详细附在宝贝描述中，关于内容的疑问建议先查看描述，减少重复咨询，效率更高哦~
【重要提醒】
本店仅售卖教学资料，不提供一对一指导服务，购买后需自行学习操作，介意慎拍~
【发货说明】
资料为电子版，拍下后24小时内通过度盘自动发送链接，请务必及时保存；虚拟商品一经拍下不支持退货，拍前请确认自身需求~
</t>
        </is>
      </c>
      <c r="F83" s="2"/>
      <c r="G83"/>
      <c r="H83" s="2"/>
      <c r="I83"/>
      <c r="J83"/>
      <c r="K83"/>
    </row>
    <row r="84" ht="25.5" customHeight="1">
      <c r="A84" t="inlineStr">
        <is>
          <t>Midjourney</t>
        </is>
      </c>
      <c r="B84">
        <v>132</v>
      </c>
      <c r="C84"/>
      <c r="D84"/>
      <c r="E84" t="inlineStr">
        <is>
          <t>Midjourney咒语AI提示词ai生图咒语描述词MJ提示词热门词AI绘图
</t>
        </is>
      </c>
      <c r="F84" s="2"/>
      <c r="G84"/>
      <c r="H84" s="2"/>
      <c r="I84"/>
      <c r="J84"/>
      <c r="K84"/>
    </row>
    <row r="85" ht="25.5" customHeight="1">
      <c r="A85" t="inlineStr">
        <is>
          <t>【秒发】2025年即</t>
        </is>
      </c>
      <c r="B85">
        <v>133</v>
      </c>
      <c r="C85"/>
      <c r="D85"/>
      <c r="E85" t="inlineStr">
        <is>
          <t>【秒发】2025年即梦AI生成视频指南系统教程讲解教程提示词大全
电子资料 售出不退 介意勿拍 感谢理解
</t>
        </is>
      </c>
      <c r="F85" s="2"/>
      <c r="G85"/>
      <c r="H85" s="2"/>
      <c r="I85"/>
      <c r="J85"/>
      <c r="K85"/>
    </row>
    <row r="86" ht="25.5" customHeight="1">
      <c r="A86" t="inlineStr">
        <is>
          <t>【自动发货】2100</t>
        </is>
      </c>
      <c r="B86">
        <v>134</v>
      </c>
      <c r="C86"/>
      <c r="D86"/>
      <c r="E86" t="inlineStr">
        <is>
          <t>【自动发货】2100+提示词模版|170+细分行业门类|小白秒变大神！
不知道大家发现没有，DeepSeek出来之后，各路大神都在研究它的各种玩法，教程一套接一套。
但其实对于大多数刚接触AI的小白来说，很多复杂或进阶的用法前期根本用不到。
我们更多是因为写文案、做内容、查资料这些文字需求，才开始接触DeepSeek、Kimi、豆包这类AI工具。
所以今天我就来分享一份实用、容易上手的提示词模版合集
你和AI达人间其实只差一套指令清晰，行业门类齐全的提示词模版
一键解锁文案、绘画、视频创作各场景！ 让DeepSeek、豆包、kimi、腾讯元宝等AI准确get你的需求！
小白公式套用，秒出高质量回答
说句题外话，这篇文案也是直接套用里面模版，秒出
夸克网盘发货，电子资料，发货后不退，介意勿拍</t>
        </is>
      </c>
      <c r="F86" s="2"/>
      <c r="G86"/>
      <c r="H86" s="2"/>
      <c r="I86"/>
      <c r="J86"/>
      <c r="K86"/>
    </row>
    <row r="87" ht="25.5" customHeight="1">
      <c r="A87" t="inlineStr">
        <is>
          <t>即梦各种生图提示词，</t>
        </is>
      </c>
      <c r="B87">
        <v>135</v>
      </c>
      <c r="C87"/>
      <c r="D87"/>
      <c r="E87" t="inlineStr">
        <is>
          <t>即梦各种生图提示词，10000➕多种
标价即卖价，拍下后24小时内发货！视频、文件分享，整理成本。
没有比这更划算的，没有时间限制～
24小时秒拍秒发，买得放心用得安心。
注意：电子素材，非实物，网盘发货快，售出不退哦～
感兴趣的话点“我想要”和我私聊吧～
</t>
        </is>
      </c>
      <c r="F87" s="2"/>
      <c r="G87"/>
      <c r="H87" s="2"/>
      <c r="I87"/>
      <c r="J87"/>
      <c r="K87"/>
    </row>
    <row r="88" ht="25.5" customHeight="1">
      <c r="A88" t="inlineStr">
        <is>
          <t>【自动发货】ai提示</t>
        </is>
      </c>
      <c r="B88">
        <v>136</v>
      </c>
      <c r="C88"/>
      <c r="D88"/>
      <c r="E88" t="inlineStr">
        <is>
          <t>【自动发货】ai提示词prompt指令大全/提示工程/AI对话指令/写作
【自动发货】ai提示词prompt指令大全/提示工程/AI对话指令/写作
①资料详情看下图(展示部分），都是精心整理的，分类清晰，内容丰富，拿来即用；
②你买的不只是一份资料，更是一种省时省力的快速做事方法，帮你节省时间和精力！
③需要的朋友点下方的“我想要”，不用问在不在，直接下单就行，拍下发度网盘链接。
</t>
        </is>
      </c>
      <c r="F88" s="2"/>
      <c r="G88"/>
      <c r="H88" s="2"/>
      <c r="I88"/>
      <c r="J88"/>
      <c r="K88"/>
    </row>
    <row r="89" ht="25.5" customHeight="1">
      <c r="A89" t="inlineStr">
        <is>
          <t>Deepseek 即</t>
        </is>
      </c>
      <c r="B89">
        <v>137</v>
      </c>
      <c r="C89"/>
      <c r="D89"/>
      <c r="E89" t="inlineStr">
        <is>
          <t>Deepseek 即梦 可灵ai提示词 ai关键词 多种提示词文生视频图生视频
2025版本，国产大模型工具 内有几十多种生成提示词，多种形式的提示词，详图片介绍，还在艮薪中
简单易懂，打破信息差
不用高价，做原创其实很简单
各种类型关键词都有，少数没自己组合搭配，后续还会免费更新 ai提示词万能模板已更新，只需根据模板填写自己的想法便能生成喜欢的作品 里面还包括教程
【售后说明】因资料性质特殊易复制，一旦售出不退不换，请理解。
有兴趣的朋友请点“我想要”直接下单吧～
</t>
        </is>
      </c>
      <c r="F89" s="2"/>
      <c r="G89"/>
      <c r="H89" s="2"/>
      <c r="I89"/>
      <c r="J89"/>
      <c r="K89"/>
    </row>
    <row r="90" ht="25.5" customHeight="1">
      <c r="A90" t="inlineStr">
        <is>
          <t>CLAUDE｜CUR</t>
        </is>
      </c>
      <c r="B90">
        <v>138</v>
      </c>
      <c r="C90"/>
      <c r="D90"/>
      <c r="E90" t="inlineStr">
        <is>
          <t>CLAUDE｜CURSOR｜TRAE通用智能体项目开发提示词合集
介绍
文件包含61个智能体提示词，基本涵盖了开发过程中的各个环节和开发语言，这一套规则可以让Claude/Cursor/Trae变身为某一领域的专家，指导项目开发，减少幻觉并提高编程效率和代码质量。
这套智能体涵盖了：开发与架构专家、各种编程语言专家、运维专家、质量与安全专家、数据与人工智能开发专家、商业与市场专家等
智能体类别
开发与架构
后端架构师：设计RESTful API、微服务边界和数据库模式
前端开发者：构建React组件，实现响应式布局，处理客户端状态管理
UI/UX设计师：创建界面设计、线框图和设计系统
移动开发者：开发具有原生集成的React Native或Flutter应用
GraphQL架构师：设计GraphQL模式、解析器和联邦架构
架构评审员：审查代码变更，确保架构一致性和模式规范
语言专家
Python专家：编写具有高级特性和优化的地道Python代码
Ruby专家：编写地道Ruby代码，具备元编程、Rails模式、gem开发及测试框架能力
Golang专家：编写地道Go代码，熟练使用goroutine、channel和接口
Rust专家：编写地道Rust，掌握所有权模式、生命周期与trait实现
C语言专家：编写高效C代码，注重内存管理和系统调用
C++专家：编写地道C++代码，采用现代特性、RAII、智能指针与STL算法
JavaScript专家：精通现代JavaScript，掌握ES6+、异步模式和Node.js API
TypeScript专家：精通TypeScript，具备高级类型、泛型和严格类型安全
PHP专家：编写地道PHP代码，采用现代特性和性能优化
Java专家：精通现代Java，掌握流、并发和JVM优化
Elixir专家：编写地道Elixir代码，具备OTP模式、函数式编程和Phoenix框架经验
C#专家：编写现代C#代码，具备高级特性和.NET优化
Scala专家：精通企业级Scala开发，擅长函数式编程、分布式系统和大数据处理
Flutter专家：精通Flutter开发，掌握Dart、组件和平台集成
Unity开发者：构建Unity游戏，优化脚本和性能调优
Minecraft Bukkit专家：精通Minecraft服务器插件开发，熟悉Bukkit、Spigot和Paper API
IOS开发者：使用Swift/SwiftUI开发原生iOS应用
SQL专家：编写复杂SQL查询，优化执行计划，设计规范化模式
基础设施与运维
DevOps故障排查员：调试生产问题，分析日志，修复部署故障
部署工程师：配置CI/CD流水线、Docker容器和云端部署
云架构师：设计AWS/Azure/GCP基础设施并优化云成本
数据库优化师：优化SQL查询，设计高效索引，处理数据库迁移
数据库管理员：管理数据库运维、备份、复制和监控
Terraform专家：编写高级Terraform模块，管理状态文件，实现IaC实践
应急响应员：紧急且精准地处理生产事故
网络工程师：调试网络连接，配置负载均衡，分析流量模式
开发者体验优化师：提升开发者体验，优化工具、环境配置与工作流
质量与安全
code-reviewer：专家级代码审查，深度关注配置安全与生产可靠性
security-auditor：检查代码漏洞并确保符合OWASP标准
test-automator：创建全面的测试套件，包括单元、集成和端到端测试
performance-engineer：分析应用性能，优化瓶颈并实施缓存策略
debugger：错误、测试失败与异常行为的调试专家
error-detective：在日志与代码库中查找错误模式、堆栈跟踪及异常
search-specialist：使用高级搜索技术和综合分析的网络检索专家
数据与人工智能
data-scientist：SQL查询、BigQuery操作和数据洞察分析专家
data-engineer：构建ETL流程、数据仓库与流式架构
ai-engineer：构建LLM应用、RAG系统与提示管道
ml-engineer：实现机器学习流程、模型服务与特征工程
mlops-engineer：构建ML流程、实验跟踪与模型注册
prompt-engineer：优化LLM与AI系统的提示词
专业领域
api-documenter：创建OpenAPI/Swagger规范并编写开发者文档
payment-integration：集成Stripe、PayPal及支付处理器
quant-analyst：构建金融模型、回测交易策略并分析市场数据
risk-manager：监控投资组合风险、R-倍数及持仓限额
legacy-modernizer：重构遗留代码库并逐步实现现代化
context-manager：管理多代理与长时间任务的上下文
文档
docs-architect：基于现有代码库创建全面技术文档
mermaid-expert：创建流程图、时序图、ERD和架构的Mermaid图表
reference-builder：创建详尽的技术参考与API文档
tutorial-engineer：根据代码生成分步教程和教育内容
商业与市场
business-analyst：分析指标、制作报告并跟踪关键绩效指标
content-marketer：撰写博客文章、社交媒体内容与电子邮件简报
sales-automator：起草冷邮件、跟进邮件及提案模板
customer-support：处理支持工单、常见问题及客户邮件
legal-advisor：草拟隐私政策、服务条款、免责声明及法律声明
版权与授权声明：本文件夹中包含的61个专用Agent（以下简称"Agent集合"）仅为技术研究与学习交流目的整理，其中可能涉及的第三方代码、模型、文档或其他内容，其知识产权归原作者或合法权利人所有。使用者应自行核实相关内容的版权状态，确保已获得合法授权（如开源协议许可、原作者书面授权等），严禁未经许可将Agent集合用于商业用途或侵犯第三方知识产权的行为。若因版权问题产生纠纷，由使用者自行承担全部责任，与整理方无关。
【温馨说明】
所有提示词已经打包好，关于内容的疑问建议先查看描述，减少重复咨询，效率更高哦~
【重要提醒】
看清楚商品描述再下单，卖的是提示词，新手小白如果不懂或者不会设置建议不要下单，本店仅售卖教学资料，不提供一对一指导服务，购买后需自行学习操作，介意慎拍~
【发货说明】
资料为电子版，拍下后24小时内通过度盘自动发送链接，请务必及时保存；虚拟商品一经拍下不支持退货，拍前请确认自身需求~
</t>
        </is>
      </c>
      <c r="F90" s="2"/>
      <c r="G90"/>
      <c r="H90" s="2"/>
      <c r="I90"/>
      <c r="J90"/>
      <c r="K90"/>
    </row>
    <row r="91" ht="25.5" customHeight="1">
      <c r="A91" t="inlineStr">
        <is>
          <t>AI美女跳舞提示词教</t>
        </is>
      </c>
      <c r="B91">
        <v>139</v>
      </c>
      <c r="C91"/>
      <c r="D91"/>
      <c r="E91" t="inlineStr">
        <is>
          <t>AI美女跳舞提示词教程，500种+跳舞动作，包含AI生图+AI视频，手机就能操作！
操作简单，一看就会，送AI变现教程。适合摆摊创业，效果好，收益高。包含详细视频教程和文字说明，操作简单容易上手。
因为是电子教程，发货后不退不换哦，介意的别拍。喜欢的朋友可以直接点击我想要，24小时自动发货，网盘发货。
</t>
        </is>
      </c>
      <c r="F91" s="2"/>
      <c r="G91"/>
      <c r="H91" s="2"/>
      <c r="I91"/>
      <c r="J91"/>
      <c r="K91"/>
    </row>
    <row r="92" ht="25.5" customHeight="1">
      <c r="A92" t="inlineStr">
        <is>
          <t>【自动发货】300个</t>
        </is>
      </c>
      <c r="B92">
        <v>140</v>
      </c>
      <c r="C92"/>
      <c r="D92"/>
      <c r="E92" t="inlineStr">
        <is>
          <t>【自动发货】300个去AI味提示词，让你写出高质量小说！
AI写的小说总感觉怪怪的？用这套提示词就能写出流畅自然的故事！
包含：
1.确保内容连贯，主题递进
2.确保情节连贯，故事递进
3.提升信息传达效率
4.强化逻辑与过渡的流畅性
5.调整语气适应不同场景
6.增强表达的精确性
7.注入生动的具体实例
8.保持句式变化与节奏感
9.确保情节连贯，故事递进
10.调整语言以适应不同角色
11.提升叙述节奏与张力
12.强化情节转折与过渡的流畅性
虚拟资料，售出不退不换，介意勿拍！</t>
        </is>
      </c>
      <c r="F92" s="2"/>
      <c r="G92"/>
      <c r="H92" s="2"/>
      <c r="I92"/>
      <c r="J92"/>
      <c r="K92"/>
    </row>
    <row r="93" ht="25.5" customHeight="1">
      <c r="A93" t="inlineStr">
        <is>
          <t>2025年 蕞薪❤绝</t>
        </is>
      </c>
      <c r="B93">
        <v>141</v>
      </c>
      <c r="C93"/>
      <c r="D93"/>
      <c r="E93" t="inlineStr">
        <is>
          <t>2025年 蕞薪❤绝美AI绘画提示词合集｜轻松生成高颜值女神
【商品亮点】
- 精心整理全网热门美女提示词库，涵盖多种风格：清纯校花、气质御姐、混血模特、古风美人等
- 特别收录动态舞蹈专用提示词，可生成专业级舞蹈动作视频
- 所有提示词均经过实测优化，出图效果稳定惊艳
【超值福利】
下单立即赠送：
1. 10条独家高级提示词（价值20元）
2. 快速上手使用指南（附赠AI绘画小技巧）
【交易说明】
- 虚拟商品拍下自动发链接
- 支持7天技术咨询
- 确认收货后可额外领取3条定制提示词
适用主流AI绘画平台，助你轻松创作点赞过万的美女作品！新手友好，效果立竿见影～
</t>
        </is>
      </c>
      <c r="F93" s="2"/>
      <c r="G93"/>
      <c r="H93" s="2"/>
      <c r="I93"/>
      <c r="J93"/>
      <c r="K93"/>
    </row>
    <row r="94" ht="25.5" customHeight="1">
      <c r="A94" t="inlineStr">
        <is>
          <t>秒发！Midjour</t>
        </is>
      </c>
      <c r="B94">
        <v>142</v>
      </c>
      <c r="C94"/>
      <c r="D94"/>
      <c r="E94" t="inlineStr">
        <is>
          <t>秒发！Midjourney咒语AI提示词ai生图咒语MJ热门词AI绘画
问：这个是作图工具吗？
答：亲，这个只是绘图关键词和zhi令，并不是工具哦
问：这个是什么链接?
答：亲，这个链接是Midjourney案例型完整出图咒语包哦~里面有3000+张图片、530+套案例型完整出图咒语、以及免费分享的Tag关键词表格哦~
问：文件包中的图片可以商用吗?
答：亲，由于国内关于Al生成图片尚未有明确条文和法律定义，Al生成图片其背后使用的素材版权归属尚不明确，暂时不支持商业使用，建议同学们以学习交流的目的使用哦~
问：文件包如何使用?
答：亲，文件包中的图片您可以自行下载使用，关键词/咒语使用方法可以看下文件包中的教程哦~有其他问题欢迎来撩~
问：是完整咒语吗?
答：是的哦亲~都是完整的案例型出图咒语哈，同时包含中文和英文以及图片设定，修改性强，主体可以直接修改后使用哦~
问：发货问题?
答：亲，我们使用自动发货功能，在您付款后系统会自动发送网盘链接，您直接点开取货即可哦~发货后不支持以任何理由、任何形式的发起仅退款申请哦!请考虑清楚以后再下单~谢谢亲的理解~
关注或2人小刀拍下获取完整电子版资料，24小时网盘自动发货，注意，电子资料不退不换。
学姐资源均源自公开合法渠道，仅供阅读交流，无商业用途；版权归原作者或出版方所有；费用仅为搜集整理及存储成本，不承担版权责任；若版权方认为侵权，请即告知，将迅速删除，不涉赔偿，尊重版权。
</t>
        </is>
      </c>
      <c r="F94" s="2"/>
      <c r="G94"/>
      <c r="H94" s="2"/>
      <c r="I94"/>
      <c r="J94"/>
      <c r="K94"/>
    </row>
    <row r="95" ht="25.5" customHeight="1">
      <c r="A95" t="inlineStr">
        <is>
          <t>可灵1.6跳舞提示词</t>
        </is>
      </c>
      <c r="B95">
        <v>143</v>
      </c>
      <c r="C95"/>
      <c r="D95"/>
      <c r="E95" t="inlineStr">
        <is>
          <t>可灵1.6跳舞提示词35套
都是进行实际操作过的，百分百真实。
AI火爆视频创作必备！精品跳舞提示词，赶紧入手，让你的创作用词更精准！
感兴趣的话直接拍24小时自动发货。
</t>
        </is>
      </c>
      <c r="F95" s="2"/>
      <c r="G95"/>
      <c r="H95" s="2"/>
      <c r="I95"/>
      <c r="J95"/>
      <c r="K95"/>
    </row>
    <row r="96" ht="25.5" customHeight="1">
      <c r="A96" t="inlineStr">
        <is>
          <t>【k290 秒发】A</t>
        </is>
      </c>
      <c r="B96">
        <v>144</v>
      </c>
      <c r="C96"/>
      <c r="D96"/>
      <c r="E96" t="inlineStr">
        <is>
          <t>【k290 秒发】AI提示词合集，24小时自动发货
包含15个AI指令，19个小红书爆款文案生成指令，详细视频教程+提示词指令
网盘发货，感兴趣的话点"我想要"直接拍
标价就是卖价，拍下即可获得网盘链接，永久在线学习
虚拟商品，一经发货不退不换，介意勿拍
</t>
        </is>
      </c>
      <c r="F96" s="2"/>
      <c r="G96"/>
      <c r="H96" s="2"/>
      <c r="I96"/>
      <c r="J96"/>
      <c r="K96"/>
    </row>
    <row r="97" ht="25.5" customHeight="1">
      <c r="A97" t="inlineStr">
        <is>
          <t>【E408秒发货】A</t>
        </is>
      </c>
      <c r="B97">
        <v>145</v>
      </c>
      <c r="C97"/>
      <c r="D97"/>
      <c r="E97" t="inlineStr">
        <is>
          <t>【E408秒发货】AI绘画提示词大全SD提示词StableDiffusion提示词关键词咒语绘画案例
标价就是售价，拍下秒发网盘链接
此商品因特殊性，售出后不支持退款，请大家看清楚后下单
</t>
        </is>
      </c>
      <c r="F97" s="2"/>
      <c r="G97"/>
      <c r="H97" s="2"/>
      <c r="I97"/>
      <c r="J97"/>
      <c r="K97"/>
    </row>
    <row r="98" ht="25.5" customHeight="1">
      <c r="A98" t="inlineStr">
        <is>
          <t>Nano Banan</t>
        </is>
      </c>
      <c r="B98">
        <v>146</v>
      </c>
      <c r="C98"/>
      <c r="D98"/>
      <c r="E98" t="inlineStr">
        <is>
          <t>Nano Banana的100个惊艳提示词！
24小时自动发货
直接拍，需要的朋友点下方的'我想要'
标价就是卖价，网盘链接发货，有货
包含100个精选提示词，让你的表达更加生动有趣。
拍下即可获得下载链接，支持直接使用。
温馨提示：
需要具备基础写作能力，看清楚再下单。
一经售出不退不换。
</t>
        </is>
      </c>
      <c r="F98" s="2"/>
      <c r="G98"/>
      <c r="H98" s="2"/>
      <c r="I98"/>
      <c r="J98"/>
      <c r="K98"/>
    </row>
    <row r="99" ht="25.5" customHeight="1">
      <c r="A99" t="inlineStr">
        <is>
          <t>即梦3.0运镜提示词</t>
        </is>
      </c>
      <c r="B99">
        <v>147</v>
      </c>
      <c r="C99"/>
      <c r="D99"/>
      <c r="E99" t="inlineStr">
        <is>
          <t>即梦3.0运镜提示词+教程，50多个运镜提示词模板！适合多种场景
AI画面50组运镜词秒变电影感！
[火][火][火][火][火][火][火][火][火][火][火][火]
即梦出图总像“证件照”？内容OK但没镜头感？别急！
搞定镜头语言其实抄简单！掌握这 50组运镜提示词，AI秒懂你的“导演意图”：
人物跟拍：Vlog/剧情代入感拉满
推拉镜头：情绪渲染/突出重点
环绕镜头：氛围感/浪漫瞬间
升降角度：大场景/酷炫转场
转场穿梭：梦境/幻想风必备
POV视角：沉浸式体验抄强
快节奏动作：动感剪辑超带劲！
[红圆][红圆][红圆][红圆][红圆][红圆][红圆][红圆][红圆][红圆][红圆][红圆]
教程非常的全面，包含多位镜头，多机位而上下翻转。前推后推等各种拍摄镜头像自己拍出来的大片一样，再也不用使AI呆呆的生成的人物扭曲看不清。等问题！
[闪亮][闪亮][闪亮][闪亮][闪亮][闪亮][闪亮][闪亮][闪亮][闪亮][闪亮][闪亮][闪亮][闪亮][闪亮]
亲测效率翻倍！已经做成快捷模板，随取随用~ 提升画面表现力！
运镜提示词网盘自动发货，拍下即发，不要问在不在！
直接拍标价即是卖价。
【无任何繁琐流程，直接发教程！】
#发布技能来赚钱 #闲鱼还能卖这个？ #达人在线帮忙</t>
        </is>
      </c>
      <c r="F99" s="2"/>
      <c r="G99"/>
      <c r="H99" s="2"/>
      <c r="I99"/>
      <c r="J99"/>
      <c r="K99"/>
    </row>
  </sheetData>
  <dataValidations count="1">
    <dataValidation allowBlank="false" sqref="D2:D98" type="list">
      <formula1>"是,否"</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