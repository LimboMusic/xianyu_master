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0" customWidth="1"/>
    <col min="8" max="8" width="19" customWidth="1"/>
    <col min="9" max="9" width="19" customWidth="1"/>
    <col min="10" max="10" width="19" customWidth="1"/>
    <col min="11" max="11" width="0" customWidth="1"/>
  </cols>
  <sheetData>
    <row r="1" ht="13" customHeight="1">
      <c r="A1" s="1" t="inlineStr">
        <is>
          <t>名称</t>
        </is>
      </c>
      <c r="B1" s="1" t="inlineStr">
        <is>
          <t>编码</t>
        </is>
      </c>
      <c r="C1" s="1" t="inlineStr">
        <is>
          <t>发货内容</t>
        </is>
      </c>
      <c r="D1" s="1" t="inlineStr">
        <is>
          <t>已经定时发布</t>
        </is>
      </c>
      <c r="E1" s="1" t="inlineStr">
        <is>
          <t>标题</t>
        </is>
      </c>
      <c r="F1" s="1" t="inlineStr">
        <is>
          <t>图片</t>
        </is>
      </c>
      <c r="G1" s="1" t="inlineStr">
        <is>
          <t>图片路径（影刀）</t>
        </is>
      </c>
      <c r="H1" s="1" t="inlineStr">
        <is>
          <t>链接网址</t>
        </is>
      </c>
      <c r="I1" s="1" t="inlineStr">
        <is>
          <t>是否出单</t>
        </is>
      </c>
      <c r="J1" s="1" t="inlineStr">
        <is>
          <t>完成转存</t>
        </is>
      </c>
      <c r="K1" s="1" t="inlineStr">
        <is>
          <t>豆瓣搜索</t>
        </is>
      </c>
    </row>
    <row r="2" ht="25.5" customHeight="1">
      <c r="A2" t="inlineStr">
        <is>
          <t>【赠品】</t>
        </is>
      </c>
      <c r="B2">
        <v>1</v>
      </c>
      <c r="C2" s="2" t="str">
        <f>=HYPERLINK("https://pan.quark.cn/s/824507145116", "https://pan.quark.cn/s/824507145116")</f>
        <v>https://pan.quark.cn/s/824507145116</v>
      </c>
      <c r="D2" t="inlineStr">
        <is>
          <t>是</t>
        </is>
      </c>
      <c r="E2"/>
      <c r="F2" s="2"/>
      <c r="G2"/>
      <c r="H2" s="2"/>
      <c r="I2"/>
      <c r="J2"/>
      <c r="K2" t="inlineStr">
        <is>
          <t>【赠品】</t>
        </is>
      </c>
    </row>
    <row r="3" ht="25.5" customHeight="1">
      <c r="A3" t="inlineStr">
        <is>
          <t>葬送的芙莉莲</t>
        </is>
      </c>
      <c r="B3">
        <v>2</v>
      </c>
      <c r="C3" s="2" t="str">
        <f>=HYPERLINK("https://pan.baidu.com/s/1Bswdx7COeEy-l2JDdX_tAw?pwd=13s2", "https://pan.baidu.com/s/1Bswdx7COeEy-l2JDdX_tAw?pwd=13s2")</f>
        <v>https://pan.baidu.com/s/1Bswdx7COeEy-l2JDdX_tAw?pwd=13s2</v>
      </c>
      <c r="D3" t="inlineStr">
        <is>
          <t>是</t>
        </is>
      </c>
      <c r="E3" t="inlineStr">
        <is>
          <t>葬送的芙莉莲(28集全) 蓝光4K+超清1080P/官方正式版/原声中字/超高清动漫电视剧/完整版全集/原版未删减/适合收藏
同时发4K和1080P两版资源</t>
        </is>
      </c>
      <c r="F3" s="2"/>
      <c r="G3"/>
      <c r="H3" s="2"/>
      <c r="I3"/>
      <c r="J3"/>
      <c r="K3" t="inlineStr">
        <is>
          <t>葬送的芙莉莲</t>
        </is>
      </c>
    </row>
    <row r="4" ht="25.5" customHeight="1">
      <c r="A4" t="inlineStr">
        <is>
          <t>甄嬛传</t>
        </is>
      </c>
      <c r="B4">
        <v>3</v>
      </c>
      <c r="C4" s="2" t="str">
        <f>=HYPERLINK("https://pan.baidu.com/s/1eFgu7FMLf_P0JwsDuuymGA?pwd=68z3", "https://pan.baidu.com/s/1eFgu7FMLf_P0JwsDuuymGA?pwd=68z3")</f>
        <v>https://pan.baidu.com/s/1eFgu7FMLf_P0JwsDuuymGA?pwd=68z3</v>
      </c>
      <c r="D4" t="inlineStr">
        <is>
          <t>是</t>
        </is>
      </c>
      <c r="E4" t="inlineStr">
        <is>
          <t>《甄嬛传》全76集 蓝光4K+1080➕国粤中字幕➕可投屏
━━━━━━24小时自动发货━━━━━━
[超便宜]夸克网盘包含:
甄嬛传国语:4K  单集2.8G版本〔共198G〕
            4KHDR  单集6G版本〔490G〕收藏版
[超便宜]百度网盘包含:
甄嬛传国语:4K  单集2.8G版本〔共198G〕
            超清1080P  单集400M〔32G〕小体积
[钉子]附带赠送:超清1080+[国粤双音轨]+[内封外挂字幕][可剪辑版][共123G][mkv]
[hot]百度网盘下载后才可以切换粤语
[钉子]需知：在线观看高级别画质需开通会员，无会员可下载后观看视频原画质。
=========夸克+百度双盘===========
[超便宜]注意:拍“2人小刀”时，可点击右上方〔还差一人刀成，直接刀成〕，这样无需等待，秒发货
[超便宜]本资源是免费分享，价格为整理材料人工费用。如有侵权，联系我主动下架删除。最终版权归作者所有，本人不承担任何法律责任。#电视剧</t>
        </is>
      </c>
      <c r="F4" s="2"/>
      <c r="G4"/>
      <c r="H4" s="2"/>
      <c r="I4"/>
      <c r="J4"/>
      <c r="K4" t="inlineStr">
        <is>
          <t>甄嬛传</t>
        </is>
      </c>
    </row>
    <row r="5" ht="25.5" customHeight="1">
      <c r="A5" t="inlineStr">
        <is>
          <t>僵尸先生1-7</t>
        </is>
      </c>
      <c r="B5">
        <v>4</v>
      </c>
      <c r="C5" s="2" t="str">
        <f>=HYPERLINK("https://pan.quark.cn/s/00a476a000df", "https://pan.quark.cn/s/00a476a000df")</f>
        <v>https://pan.quark.cn/s/00a476a000df</v>
      </c>
      <c r="D5" t="inlineStr">
        <is>
          <t>是</t>
        </is>
      </c>
      <c r="E5" t="inlineStr">
        <is>
          <t>《僵尸先生1-7部》超清修复4K+1080➕夸度双盘秒发➕7部全➕国粤中字幕
━━━━━━24小时自动发货━━━━━━
1.《僵尸先生》（1985年）4K+1080双版
2.《僵尸家族》（1986年）4K+1080双版
3.《灵幻先生》（1987年）4K+1080双版
4.《僵尸叔叔》（1988年）4K+1080双版
5.《一眉道人》（1989年）1080p
6.《驱魔警察》（1990年）1080p
7.《新僵尸先生》（1992年）4K+1080双版
[钉子]需知：在线观看高级别画质需开通会员，无会员可下载后观看视频原画质。
[钉子]介绍:国语+粤语（百度网盘默认国语）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[火]本资源是免费分享，价格为整理材料人工费用。如有侵权，联系我主动下架删除。最终版权归作者所有，本人不承担任何法律责任。#电影#高清修复#老电影</t>
        </is>
      </c>
      <c r="F5" s="2"/>
      <c r="G5"/>
      <c r="H5" s="2"/>
      <c r="I5"/>
      <c r="J5"/>
      <c r="K5" t="inlineStr">
        <is>
          <t>新僵尸先生</t>
        </is>
      </c>
    </row>
    <row r="6" ht="25.5" customHeight="1">
      <c r="A6" t="inlineStr">
        <is>
          <t>战狼1-2</t>
        </is>
      </c>
      <c r="B6">
        <v>5</v>
      </c>
      <c r="C6" s="2" t="str">
        <f>=HYPERLINK("https://pan.quark.cn/s/3b5351291539", "https://pan.quark.cn/s/3b5351291539")</f>
        <v>https://pan.quark.cn/s/3b5351291539</v>
      </c>
      <c r="D6" t="inlineStr">
        <is>
          <t>是</t>
        </is>
      </c>
      <c r="E6" t="inlineStr">
        <is>
          <t>《战狼1+2》原盘高清！支持投屏！双盘秒发货！可投屏！
━━━━━━◈◈◈━━━━━━
▫️资源规格：原盘高清（单部30G/共2部）
▫️字幕类型：国语中英字幕（右下角自由选择）
▫️发货方试：百度+夸克网盘双盘秒发！
[超便宜]需知：在线观看高级别画质需开通会员，无会员可下载后观看视频原画质。
=========夸克+百度双盘===========
[钉子]注意:拍“2人小刀”时，可点击右上方〔还差一人刀成，直接刀成〕，这样无需等待，秒发货
[钉子]本资源是免费分享，价格为整理材料人工费用。如有侵权，联系我主动下架删除。最终版权归作者所有，本人不承担任何法律责任。#电影</t>
        </is>
      </c>
      <c r="F6" s="2"/>
      <c r="G6"/>
      <c r="H6" s="2"/>
      <c r="I6"/>
      <c r="J6"/>
      <c r="K6" t="inlineStr">
        <is>
          <t>战狼1</t>
        </is>
      </c>
    </row>
    <row r="7" ht="25.5" customHeight="1">
      <c r="A7" t="inlineStr">
        <is>
          <t>狂飙</t>
        </is>
      </c>
      <c r="B7">
        <v>6</v>
      </c>
      <c r="C7" s="2" t="str">
        <f>=HYPERLINK("https://pan.quark.cn/s/46eab5132dc0", "https://pan.quark.cn/s/46eab5132dc0")</f>
        <v>https://pan.quark.cn/s/46eab5132dc0</v>
      </c>
      <c r="D7" t="inlineStr">
        <is>
          <t>是</t>
        </is>
      </c>
      <c r="E7" t="inlineStr">
        <is>
          <t>《狂飙》蓝光4K➕夸度双盘秒发➕39集全➕国语中字幕
━━━━━━24小时自动发货━━━━━━
▫️资源规格:  4K蓝光（共73G）
▫️字幕类型:  原声中字
▫️文件类型:  mp4
▫️发货方试:  百度+夸克网盘双盘秒发！
[钉子]需知：在线观看高级别画质需开通会员，无会员可下载后观看视频原画质。
[钉子]介绍:京海市一线刑警安欣（张译 饰），在与黑恶势力的斗争中，不断遭到保护伞的打击，始终无法将犯罪分子绳之以法。全国政法队伍教育整顿工作开展后，临江省派出指导组入驻京海，联合公检法司各部门，清除了政法队伍内部的腐败分子，粉碎了黑恶势力的保护伞，一举铲除了盘踞京海多年的强盛集团。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is>
      </c>
      <c r="F7" s="2"/>
      <c r="G7"/>
      <c r="H7" s="2"/>
      <c r="I7"/>
      <c r="J7"/>
      <c r="K7" t="inlineStr">
        <is>
          <t>狂飙</t>
        </is>
      </c>
    </row>
    <row r="8" ht="25.5" customHeight="1">
      <c r="A8" t="inlineStr">
        <is>
          <t xml:space="preserve">人民的名义 </t>
        </is>
      </c>
      <c r="B8">
        <v>7</v>
      </c>
      <c r="C8" s="2" t="str">
        <f>=HYPERLINK("https://pan.quark.cn/s/fcba4912e87f", "https://pan.quark.cn/s/fcba4912e87f")</f>
        <v>https://pan.quark.cn/s/fcba4912e87f</v>
      </c>
      <c r="D8" t="inlineStr">
        <is>
          <t>是</t>
        </is>
      </c>
      <c r="E8" t="inlineStr">
        <is>
          <t>《人民的名义》4k蓝光全集珍藏版！未删减！夸度双盘秒发！
━━━━━━◈◈◈━━━━━━
▫️资源规格：超清4K（单集2.8G/共55集）
▫️字幕类型：国语中字幕
▫️发货方试：百度云+夸克网盘双盘秒发！
[钉子]需知：在线观看高级别画质需开通会员，无会员可下载后观看视频原画质。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is>
      </c>
      <c r="F8" s="2"/>
      <c r="G8"/>
      <c r="H8" s="2"/>
      <c r="I8"/>
      <c r="J8"/>
      <c r="K8" t="inlineStr">
        <is>
          <t xml:space="preserve">人民的名义 </t>
        </is>
      </c>
    </row>
    <row r="9" ht="25.5" customHeight="1">
      <c r="A9" t="inlineStr">
        <is>
          <t>圣斗士星矢 12部</t>
        </is>
      </c>
      <c r="B9">
        <v>8</v>
      </c>
      <c r="C9" s="2" t="str">
        <f>=HYPERLINK("https://pan.quark.cn/s/16fe692d244f", "https://pan.quark.cn/s/16fe692d244f")</f>
        <v>https://pan.quark.cn/s/16fe692d244f</v>
      </c>
      <c r="D9" t="inlineStr">
        <is>
          <t>是</t>
        </is>
      </c>
      <c r="E9" t="inlineStr">
        <is>
          <t>【圣斗士星矢】 蓝光压缩1080P 12部珍藏版 每集900M 多语顶配动画片(广配国语+台配国语+粤语+日语+法语配音+中文字幕) + 圣斗士星矢全系列漫画 共500G 超大容量 童年回忆 珍藏版
[cool]动画片可以直接在网盘上播放(无需下载)
[火][火][火]动画片(460G)  蓝光压缩1080P 高码HDR 极清画质 国粤法日多语配音 中文字幕： 
   01.TV版(银河战争篇+教皇刺客篇+黄道十二宫篇+北欧篇+海皇篇)114话全   
   02.冥王十二宫篇 13话全
   03.冥界篇前后章 12话全 
   04.极乐净土篇 6话全
   05.冥王神话篇 26话全 
   06.欧米伽 97话全
   07.黄金魂 13话全
   08.剧场版 6部
   09.圣斗少女翔 10话全
   10.十二宫骑士 12话全
   11.圣斗士星矢 真人版电影
   12.圣斗士星矢3D动画电影 
[火][火][火]圣斗士全系列漫画(36G) (多格式):
   圣斗士星矢完全版【港版】
   圣斗士星矢完全版【台版】
   圣斗士星矢（简体版）
   圣斗士星矢冥王神话
   圣斗士星矢冥王神话外传
   圣斗少女翔
   圣斗士星矢EPIS斗士星矢Ω
发货方试：百度+夸克网盘双盘秒发
━━━━━━◈◈◈━━━━━━
1️⃣ 选择【立即购买】自动秒发货
2️⃣ 2人小刀用户请注意！请选择【直接刀成】不然可能需要等待！第一位免拼！
3️⃣【声明】本资源是免费分享，价格为整理材料人工费用。如有侵权，联系我主动下架删除。最终版权归作者所有，本人不承担任何法律责任。
━━━━━━━━━━━━━━━#圣斗士</t>
        </is>
      </c>
      <c r="F9" s="2"/>
      <c r="G9"/>
      <c r="H9" s="2"/>
      <c r="I9"/>
      <c r="J9"/>
      <c r="K9" t="inlineStr">
        <is>
          <t>圣斗士星矢 12部</t>
        </is>
      </c>
    </row>
    <row r="10" ht="25.5" customHeight="1">
      <c r="A10" t="inlineStr">
        <is>
          <t>启示</t>
        </is>
      </c>
      <c r="B10">
        <v>9</v>
      </c>
      <c r="C10" s="2" t="str">
        <f>=HYPERLINK("https://pan.baidu.com/s/18TJmWRdUQ7OYBNt6QmTPjw?pwd=44zd", "https://pan.baidu.com/s/18TJmWRdUQ7OYBNt6QmTPjw?pwd=44zd")</f>
        <v>https://pan.baidu.com/s/18TJmWRdUQ7OYBNt6QmTPjw?pwd=44zd</v>
      </c>
      <c r="D10" t="inlineStr">
        <is>
          <t>是</t>
        </is>
      </c>
      <c r="E10" t="inlineStr">
        <is>
          <t>【秒发】启示/4K蓝光/国语版+玛雅版正式139分钟完整版+
中英文字幕/可投屏
极致画质58G珍藏完整版 包括：
《启示》2006年 4K蓝光HDR超高清[国语版]
正式完整139分钟，国语+内嵌中文字幕
《启示》2006年 4K蓝光HDR超高清[玛雅版]
正式完整139分钟，玛雅语+内嵌中英文字幕
[国语版+玛雅原版]一起发！支持投屏！秒发货
百度网盘➕夸克网盘 双盘秒发
【24小时自动发货】
点击【直接刀成】不用等发货
点击【直接刀成】不用等发货
点击【直接刀成】不用等发货</t>
        </is>
      </c>
      <c r="F10" s="2"/>
      <c r="G10"/>
      <c r="H10" s="2"/>
      <c r="I10"/>
      <c r="J10"/>
      <c r="K10" t="inlineStr">
        <is>
          <t>启示</t>
        </is>
      </c>
    </row>
    <row r="11" ht="25.5" customHeight="1">
      <c r="A11" t="inlineStr">
        <is>
          <t>个人简历ppt模板</t>
        </is>
      </c>
      <c r="B11">
        <v>10</v>
      </c>
      <c r="C11" s="2" t="str">
        <f>=HYPERLINK("https://pan.baidu.com/s/1Tdg_gxJDnCUyqn6sM09tsA?pwd=5678", "https://pan.baidu.com/s/1Tdg_gxJDnCUyqn6sM09tsA?pwd=5678")</f>
        <v>https://pan.baidu.com/s/1Tdg_gxJDnCUyqn6sM09tsA?pwd=5678</v>
      </c>
      <c r="D11" t="inlineStr">
        <is>
          <t>是</t>
        </is>
      </c>
      <c r="E11" t="inlineStr">
        <is>
          <t>个人简历ppt模板自我介绍工作岗位竞聘竞选应聘求职转正述职演讲
⭐️无需解压，打开即可编辑
⭐️每套风格都是我精心挑选出来的。
⭐️每个风格都有单独归类文档编号跟预览，方便查找！
⭐️标价就是售价，直接拍 拍下秒发☁️盘
此套全员高级！一步到位~
全部精品！没有一个滥竽充数的模板！
喜欢的亲们，不用问在不在，直接拍。</t>
        </is>
      </c>
      <c r="F11" s="2"/>
      <c r="G11"/>
      <c r="H11" s="2"/>
      <c r="I11"/>
      <c r="J11"/>
      <c r="K11"/>
    </row>
    <row r="12" ht="25.5" customHeight="1">
      <c r="A12" t="inlineStr">
        <is>
          <t>科研PPT模板</t>
        </is>
      </c>
      <c r="B12">
        <v>11</v>
      </c>
      <c r="C12" s="2" t="str">
        <f>=HYPERLINK("https://pan.baidu.com/s/1i3YBzMmKEwO_-PRuBsgmEQ?pwd=i6cy", "https://pan.baidu.com/s/1i3YBzMmKEwO_-PRuBsgmEQ?pwd=i6cy")</f>
        <v>https://pan.baidu.com/s/1i3YBzMmKEwO_-PRuBsgmEQ?pwd=i6cy</v>
      </c>
      <c r="D12" t="inlineStr">
        <is>
          <t>是</t>
        </is>
      </c>
      <c r="E12"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2" s="2"/>
      <c r="G12"/>
      <c r="H12" s="2"/>
      <c r="I12"/>
      <c r="J12"/>
      <c r="K12"/>
    </row>
    <row r="13" ht="25.5" customHeight="1">
      <c r="A13" t="inlineStr">
        <is>
          <t>【秒发】英语课堂游戏ppt</t>
        </is>
      </c>
      <c r="B13">
        <v>12</v>
      </c>
      <c r="C13" s="2" t="str">
        <f>=HYPERLINK("https://pan.baidu.com/s/1cp-X8sDmFl6Q4DajLCa81w?pwd=jh35", "https://pan.baidu.com/s/1cp-X8sDmFl6Q4DajLCa81w?pwd=jh35")</f>
        <v>https://pan.baidu.com/s/1cp-X8sDmFl6Q4DajLCa81w?pwd=jh35</v>
      </c>
      <c r="D13" t="inlineStr">
        <is>
          <t>是</t>
        </is>
      </c>
      <c r="E13" t="inlineStr">
        <is>
          <t>【秒发】英语课堂游戏ppt教具趣味教学互动教师公开课单词造句小游戏课件
4000款学英语游戏PPT
拿来就用/可修改/可编辑
销量前三我都买了
标价就是售价
24小时自动发货
拍下即发货
下单后自动秒发货到聊天窗口
如果没有收到链接或链接失效
请联系人工客服
客服在线时间晚10:00点
#发布技能来赚钱 #学习资料教材</t>
        </is>
      </c>
      <c r="F13" s="2" t="str">
        <f>=HYPERLINK("http://img.alicdn.com/bao/uploaded/i4/O1CN015ph24l1LvqS14RntA_!!4611686018427381938-53-fleamarket.heic_790x10000Q90.jpg_.webp", "img.alicdn.com/bao/uploaded/i4/O1CN015ph24l1LvqS14RntA_!!4611686018427381938-53-fleamarket.heic_790x10000Q90.jpg_.webp")</f>
        <v>img.alicdn.com/bao/uploaded/i4/O1CN015ph24l1LvqS14RntA_!!4611686018427381938-53-fleamarket.heic_790x10000Q90.jpg_.webp</v>
      </c>
      <c r="G13"/>
      <c r="H13" s="2"/>
      <c r="I13"/>
      <c r="J13"/>
      <c r="K13"/>
    </row>
    <row r="14" ht="25.5" customHeight="1">
      <c r="A14" t="inlineStr">
        <is>
          <t>ppt模板高级感简约商务</t>
        </is>
      </c>
      <c r="B14">
        <v>13</v>
      </c>
      <c r="C14" s="2" t="str">
        <f>=HYPERLINK("https://pan.baidu.com/s/1Q5wU5DtRlub8SWKujZmtVA?pwd=frqh", "https://pan.baidu.com/s/1Q5wU5DtRlub8SWKujZmtVA?pwd=frqh")</f>
        <v>https://pan.baidu.com/s/1Q5wU5DtRlub8SWKujZmtVA?pwd=frqh</v>
      </c>
      <c r="D14" t="inlineStr">
        <is>
          <t>是</t>
        </is>
      </c>
      <c r="E14" t="inlineStr">
        <is>
          <t>ppt模板高级感简约商务毕业答辩教师课件工作汇报总结动态模版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4" s="2" t="str">
        <f>=HYPERLINK("http://img.alicdn.com/bao/uploaded/i2/O1CN01EM2dUg1dZ5wnvSFdA_!!4611686018427387605-0-fleamarket.jpg_790x10000Q90.jpg_.webp", "img.alicdn.com/bao/uploaded/i2/O1CN01EM2dUg1dZ5wnvSFdA_!!4611686018427387605-0-fleamarket.jpg_790x10000Q90.jpg_.webp")</f>
        <v>img.alicdn.com/bao/uploaded/i2/O1CN01EM2dUg1dZ5wnvSFdA_!!4611686018427387605-0-fleamarket.jpg_790x10000Q90.jpg_.webp</v>
      </c>
      <c r="G14"/>
      <c r="H14" s="2"/>
      <c r="I14"/>
      <c r="J14"/>
      <c r="K14"/>
    </row>
    <row r="15" ht="25.5" customHeight="1">
      <c r="A15" t="inlineStr">
        <is>
          <t>500页创意图文PPT模板，一键换图超实用</t>
        </is>
      </c>
      <c r="B15">
        <v>14</v>
      </c>
      <c r="C15" s="2" t="str">
        <f>=HYPERLINK("https://pan.baidu.com/s/1JFXEgeQoQwF29nujKz-h1Q", "https://pan.baidu.com/s/1JFXEgeQoQwF29nujKz-h1Q")</f>
        <v>https://pan.baidu.com/s/1JFXEgeQoQwF29nujKz-h1Q</v>
      </c>
      <c r="D15" t="inlineStr">
        <is>
          <t>是</t>
        </is>
      </c>
      <c r="E15" t="inlineStr">
        <is>
          <t>500页创意图文PPT模板，一键换图超实用！适合工作汇报、项目报告、策划方案等场景。包含多图排版、截图展示、人物介绍等多种模板，100%可编辑，用更少时间做出更高级的图文页面。标价就是卖价，24小时自动发货，网盘链接永久有效。
百度网盘发货
免责声明:
1.本店均通过网络等渠道合法获得，仅作为阅读交流使用，无任何商业目的。
2.本店商品价格是网盘储存费用和人工整理资料费用，并非资料本身价格。
3.本店为广大朋友提供音频视频资料学习，特此声明，版权归原作者所有，如有侵权请联系客服删除，谢谢!
B107</t>
        </is>
      </c>
      <c r="F15" s="2" t="str">
        <f>=HYPERLINK("http://img.alicdn.com/bao/uploaded/i4/O1CN01HmIEXn2KMIL44jL6E_!!4611686018427383542-53-fleamarket.heic_790x10000Q90.jpg_.webp", "img.alicdn.com/bao/uploaded/i4/O1CN01HmIEXn2KMIL44jL6E_!!4611686018427383542-53-fleamarket.heic_790x10000Q90.jpg_.webp")</f>
        <v>img.alicdn.com/bao/uploaded/i4/O1CN01HmIEXn2KMIL44jL6E_!!4611686018427383542-53-fleamarket.heic_790x10000Q90.jpg_.webp</v>
      </c>
      <c r="G15"/>
      <c r="H15" s="2"/>
      <c r="I15"/>
      <c r="J15"/>
      <c r="K15"/>
    </row>
    <row r="16" ht="25.5" customHeight="1">
      <c r="A16" t="inlineStr">
        <is>
          <t>【速发】999+套经典正红主题PPT模板</t>
        </is>
      </c>
      <c r="B16">
        <v>15</v>
      </c>
      <c r="C16" s="2" t="str">
        <f>=HYPERLINK("https://pan.quark.cn/s/848cc93e47ca", "https://pan.quark.cn/s/848cc93e47ca")</f>
        <v>https://pan.quark.cn/s/848cc93e47ca</v>
      </c>
      <c r="D16" t="inlineStr">
        <is>
          <t>是</t>
        </is>
      </c>
      <c r="E16" t="inlineStr">
        <is>
          <t>【速发】999+套经典正红主题PPT模板 高端商务课件 工作总结汇报 简约大气套装
——★24小时自动发货★——
[精选分类]专题学习｜历史教育｜会议精神｜年度总结｜主题会议｜政策解读｜周年纪念｜团队建设｜职业道德｜行业发展｜传统文化｜精神传承｜纪律规范...
[亮点]主题全覆盖，即下载即使用！
【适用场景】
职场汇报｜年度总结｜市场研究｜毕业答辩｜教学课件｜学术竞赛｜高校应用｜教师教研｜创新创业｜项目展示｜
品牌推广｜新品发布｜人才招聘｜员工培训｜商业提案｜工程技术｜时尚产业｜建筑地产｜家居设计｜健康产业｜媒体传播｜餐饮文旅｜招生宣传｜庆典活动｜服务行业｜东方美学｜极简扁平｜机构应用
[核心优势]
• 百款模板一键打包，行业超高性价比
• 专业设计团队出品，品质保障
• 智能分类管理，标签清晰易查找
• 可自定义修改，高效省时</t>
        </is>
      </c>
      <c r="F16" s="2" t="str">
        <f>=HYPERLINK("http://img.alicdn.com/bao/uploaded/i4/O1CN01ooS73v2LM7moIUBKC_!!4611686018427383533-0-fleamarket.jpg_790x10000Q90.jpg_.webp", "img.alicdn.com/bao/uploaded/i4/O1CN01ooS73v2LM7moIUBKC_!!4611686018427383533-0-fleamarket.jpg_790x10000Q90.jpg_.webp")</f>
        <v>img.alicdn.com/bao/uploaded/i4/O1CN01ooS73v2LM7moIUBKC_!!4611686018427383533-0-fleamarket.jpg_790x10000Q90.jpg_.webp</v>
      </c>
      <c r="G16"/>
      <c r="H16" s="2"/>
      <c r="I16"/>
      <c r="J16"/>
      <c r="K16"/>
    </row>
    <row r="17" ht="25.5" customHeight="1">
      <c r="A17" t="inlineStr">
        <is>
          <t>少儿创意美术PPT课件600个＋</t>
        </is>
      </c>
      <c r="B17">
        <v>16</v>
      </c>
      <c r="C17" s="2" t="str">
        <f>=HYPERLINK("https://pan.baidu.com/s/12v46UsJtBQM4Dy4TlLaXZQ", "https://pan.baidu.com/s/12v46UsJtBQM4Dy4TlLaXZQ")</f>
        <v>https://pan.baidu.com/s/12v46UsJtBQM4Dy4TlLaXZQ</v>
      </c>
      <c r="D17" t="inlineStr">
        <is>
          <t>是</t>
        </is>
      </c>
      <c r="E17" t="inlineStr">
        <is>
          <t>少儿创意美术PPT课件600个＋，适合3-16岁，中小大班通用。不用问在不在，1元即可拥有600个ppt，需要直接拍下！
内容丰富，包括步骤和范画，适合美术社团、线上自学、兴趣班等。图片精美，范画详尽，省心省力，让教学更轻松。
已开通24小时自动发货，需要的朋友直接拍下。质量信得过，适合美术教培机构。发的是网盘链接，永不失效，售出不退。
所有文件均来自网络公开渠道，仅供学习交流使用，版权归版权人所有。如有版权问题，请联系小店删除。
欢迎有兴趣的朋友点击“我想要”！</t>
        </is>
      </c>
      <c r="F17" s="2" t="str">
        <f>=HYPERLINK("http://img.alicdn.com/bao/uploaded/i3/O1CN01ehY5p822M96bIzjRX_!!4611686018427385297-53-fleamarket.heic_790x10000Q90.jpg_.webp", "img.alicdn.com/bao/uploaded/i3/O1CN01ehY5p822M96bIzjRX_!!4611686018427385297-53-fleamarket.heic_790x10000Q90.jpg_.webp")</f>
        <v>img.alicdn.com/bao/uploaded/i3/O1CN01ehY5p822M96bIzjRX_!!4611686018427385297-53-fleamarket.heic_790x10000Q90.jpg_.webp</v>
      </c>
      <c r="G17"/>
      <c r="H17" s="2"/>
      <c r="I17"/>
      <c r="J17"/>
      <c r="K17"/>
    </row>
    <row r="18" ht="25.5" customHeight="1">
      <c r="A18" t="inlineStr">
        <is>
          <t>ai指令</t>
        </is>
      </c>
      <c r="B18">
        <v>18</v>
      </c>
      <c r="C18" s="2" t="str">
        <f>=HYPERLINK("https://pan.baidu.com/s/1703Y2tXOzVFCXlWrSJDs0w", "https://pan.baidu.com/s/1703Y2tXOzVFCXlWrSJDs0w")</f>
        <v>https://pan.baidu.com/s/1703Y2tXOzVFCXlWrSJDs0w</v>
      </c>
      <c r="D18" t="inlineStr">
        <is>
          <t>是</t>
        </is>
      </c>
      <c r="E18" t="inlineStr">
        <is>
          <t>ai指令</t>
        </is>
      </c>
      <c r="F18" s="2"/>
      <c r="G18"/>
      <c r="H18" s="2"/>
      <c r="I18"/>
      <c r="J18"/>
      <c r="K18"/>
    </row>
    <row r="19" ht="25.5" customHeight="1">
      <c r="A19" t="inlineStr">
        <is>
          <t>adobe软件</t>
        </is>
      </c>
      <c r="B19">
        <v>19</v>
      </c>
      <c r="C19" s="2" t="str">
        <f>=HYPERLINK("https://ai.feishu.cn/", "https://ai.feishu.cn/")</f>
        <v>https://ai.feishu.cn/</v>
      </c>
      <c r="D19" t="inlineStr">
        <is>
          <t>是</t>
        </is>
      </c>
      <c r="E19" t="inlineStr">
        <is>
          <t>adobe软件</t>
        </is>
      </c>
      <c r="F19" s="2"/>
      <c r="G19"/>
      <c r="H19" s="2"/>
      <c r="I19"/>
      <c r="J19"/>
      <c r="K19"/>
    </row>
    <row r="20" ht="25.5" customHeight="1">
      <c r="A20" t="inlineStr">
        <is>
          <t>即梦会员</t>
        </is>
      </c>
      <c r="B20">
        <v>20</v>
      </c>
      <c r="C20" s="2" t="str">
        <f>=HYPERLINK("https://pan.quark.cn/s/957aaeb9c4f7", "https://pan.quark.cn/s/957aaeb9c4f7")</f>
        <v>https://pan.quark.cn/s/957aaeb9c4f7</v>
      </c>
      <c r="D20" t="inlineStr">
        <is>
          <t>是</t>
        </is>
      </c>
      <c r="E20" t="inlineStr">
        <is>
          <t>即梦会员</t>
        </is>
      </c>
      <c r="F20" s="2"/>
      <c r="G20"/>
      <c r="H20" s="2"/>
      <c r="I20"/>
      <c r="J20"/>
      <c r="K20"/>
    </row>
    <row r="21" ht="25.5" customHeight="1">
      <c r="A21" t="inlineStr">
        <is>
          <t>【秒发】个人简历PPT模板简</t>
        </is>
      </c>
      <c r="B21">
        <v>21</v>
      </c>
      <c r="C21" s="2" t="str">
        <f>=HYPERLINK("https://pan.baidu.com/s/1zov9tXPjLlk1Rm1eHpIXOQ?pwd=5555", "https://pan.baidu.com/s/1zov9tXPjLlk1Rm1eHpIXOQ?pwd=5555")</f>
        <v>https://pan.baidu.com/s/1zov9tXPjLlk1Rm1eHpIXOQ?pwd=5555</v>
      </c>
      <c r="D21" t="inlineStr">
        <is>
          <t>是</t>
        </is>
      </c>
      <c r="E21" t="inlineStr">
        <is>
          <t>【秒发】个人简历PPT模板简约大学生自我介绍工作求职面试岗位竞聘晋升ppt
自动发货，基本24小时都可以秒发，需要直接拍，发白度网盘链接</t>
        </is>
      </c>
      <c r="F21" s="2" t="str">
        <f>=HYPERLINK("http://img.alicdn.com/bao/uploaded/i4/O1CN01DURtu11oLJiyhmkBB_!!4611686018427383640-53-fleamarket.heic_790x10000Q90.jpg_.webp", "img.alicdn.com/bao/uploaded/i4/O1CN01DURtu11oLJiyhmkBB_!!4611686018427383640-53-fleamarket.heic_790x10000Q90.jpg_.webp")</f>
        <v>img.alicdn.com/bao/uploaded/i4/O1CN01DURtu11oLJiyhmkBB_!!4611686018427383640-53-fleamarket.heic_790x10000Q90.jpg_.webp</v>
      </c>
      <c r="G21"/>
      <c r="H21" s="2"/>
      <c r="I21"/>
      <c r="J21"/>
      <c r="K21"/>
    </row>
    <row r="22" ht="25.5" customHeight="1">
      <c r="A22" t="inlineStr">
        <is>
          <t>ai模板科研绘图素材</t>
        </is>
      </c>
      <c r="B22">
        <v>30</v>
      </c>
      <c r="C22" s="2" t="str">
        <f>=HYPERLINK("https://pan.baidu.com/s/10Mvts9BU6FAUVOxNqPCmIw?pwd=8888", "https://pan.baidu.com/s/10Mvts9BU6FAUVOxNqPCmIw?pwd=8888")</f>
        <v>https://pan.baidu.com/s/10Mvts9BU6FAUVOxNqPCmIw?pwd=8888</v>
      </c>
      <c r="D22" t="inlineStr">
        <is>
          <t>是</t>
        </is>
      </c>
      <c r="E22" t="inlineStr">
        <is>
          <t>ai模板科研绘图素材ppt医学插画器官细胞流程图片png生物作图资料
[钉子]资料拍下发佰度盘
[火]资料都是我自己工作期间，一个一个收集整理的，分类清晰，内容丰富，非常适合参考学习；
-----★24小时自动发货，直接拍秒发★-----
[1]这些资料，能让你的工作更方便，帮你提高工作效率，节省时间和精力！
[2]东西不贵，算是整理资料的一点点辛苦费，需要的朋友可以直接下单，大部分产品是秒发货！
遇到困难很需要这份资料可以随时联系我</t>
        </is>
      </c>
      <c r="F22" s="2" t="str">
        <f>=HYPERLINK("http://img.alicdn.com/bao/uploaded/i1/O1CN01OT8h9p1P2Co2yKhm7_!!4611686018427379974-0-fleamarket.jpg_790x10000Q90.jpg_.webp", "img.alicdn.com/bao/uploaded/i1/O1CN01OT8h9p1P2Co2yKhm7_!!4611686018427379974-0-fleamarket.jpg_790x10000Q90.jpg_.webp")</f>
        <v>img.alicdn.com/bao/uploaded/i1/O1CN01OT8h9p1P2Co2yKhm7_!!4611686018427379974-0-fleamarket.jpg_790x10000Q90.jpg_.webp</v>
      </c>
      <c r="G22"/>
      <c r="H22" s="2"/>
      <c r="I22"/>
      <c r="J22"/>
      <c r="K22"/>
    </row>
    <row r="23" ht="25.5" customHeight="1">
      <c r="A23" t="inlineStr">
        <is>
          <t>家装室内设计软装</t>
        </is>
      </c>
      <c r="B23">
        <v>31</v>
      </c>
      <c r="C23" s="2" t="str">
        <f>=HYPERLINK("https://pan.baidu.com/s/1KKcjynRfSBqeZaYHegDZCA?pwd=xvxr", "https://pan.baidu.com/s/1KKcjynRfSBqeZaYHegDZCA?pwd=xvxr")</f>
        <v>https://pan.baidu.com/s/1KKcjynRfSBqeZaYHegDZCA?pwd=xvxr</v>
      </c>
      <c r="D23" t="inlineStr">
        <is>
          <t>是</t>
        </is>
      </c>
      <c r="E23" t="inlineStr">
        <is>
          <t>家装室内设计软装ppt模板310套素材！！！！！动态装修家居现代北欧轻奢方案素材
不要问有没有，能看到就有，直接拍下就可以！拍了自动发货的！直接下单就行
产品介绍：
310套PPT
大小大约8个G
各种风格都有
拍下发网盘链接 ！！
点赞并且收藏一下，防止以后找不到我家哦。
10秒内发货，随时咨询
本素材为电子图册，因资料有可复制性，下单后不退款。介意勿拍。
素材收集于网络，不可用于商业目的，收取的费用为整理素材的辛苦费用</t>
        </is>
      </c>
      <c r="F23" s="2" t="str">
        <f>=HYPERLINK("http://img.alicdn.com/bao/uploaded/i4/O1CN01DV6E451XfbkqqQpiT_!!53-fleamarket.heic_790x10000Q90.jpg_.webp", "img.alicdn.com/bao/uploaded/i4/O1CN01DV6E451XfbkqqQpiT_!!53-fleamarket.heic_790x10000Q90.jpg_.webp")</f>
        <v>img.alicdn.com/bao/uploaded/i4/O1CN01DV6E451XfbkqqQpiT_!!53-fleamarket.heic_790x10000Q90.jpg_.webp</v>
      </c>
      <c r="G23"/>
      <c r="H23" s="2"/>
      <c r="I23"/>
      <c r="J23"/>
      <c r="K23"/>
    </row>
    <row r="24" ht="25.5" customHeight="1">
      <c r="A24" t="inlineStr">
        <is>
          <t>科研学术答辩PPT</t>
        </is>
      </c>
      <c r="B24">
        <v>32</v>
      </c>
      <c r="C24" s="2" t="str">
        <f>=HYPERLINK("https://pan.quark.cn/s/ead4528ebc65", "https://pan.quark.cn/s/ead4528ebc65")</f>
        <v>https://pan.quark.cn/s/ead4528ebc65</v>
      </c>
      <c r="D24" t="inlineStr">
        <is>
          <t>是</t>
        </is>
      </c>
      <c r="E24" t="inlineStr">
        <is>
          <t>⚠️科研学术答辩PPT、毕业答辩PPT（四种配色全发，支持一|||
键换色）
[闪亮]ppt模版适用范围：国自然基金答辩、重点项目申报答辩、青年科学基金答辩、科研学术项目申报答辩、职称晋升答辩、学术论坛会议汇报、组会文献汇报答辩、开题答辩、中期答辩、毕业答辩等，工作汇报、路演汇报等。。
[蓝圆]国自然基金答辩模版ppt，精美版专业汇报
[绿圆]组会文献汇报模版ppt，秒胜同门师兄妹
[红圆]本科、硕士、博士全领域专属答辩ppt模版
[黄圆]科研、学术论坛汇报ppt模版，尽显专业
[火]职称晋升、重点实验室申报答辩ppt模版
[1]支持一键换色
[2]蓝色、绿色、红色、紫色四种配色全发
[3]ppt内所有元素均可自由编辑
～ 所见即所得 ～
需要可以直接拍下，看到马上发货哦
❤️❤️❤️自动发货，标价就是卖价，需要直接拍，24小时秒发网盘链接
[钉子]任何情况，不要申请退款，私信沟通给你处理，小店经营不易。
[钉子]所有文件均获取自网络公开渠道，仅供学习和交流使用，所有版权归版权人所有，如版权方认为侵犯了您的版权，请及时联系小店删除。</t>
        </is>
      </c>
      <c r="F24" s="2" t="str">
        <f>=HYPERLINK("http://img.alicdn.com/bao/uploaded/i2/O1CN01dmg1R21IFlIK5Cisb_!!4611686018427383856-53-fleamarket.heic_790x10000Q90.jpg_.webp", "img.alicdn.com/bao/uploaded/i2/O1CN01dmg1R21IFlIK5Cisb_!!4611686018427383856-53-fleamarket.heic_790x10000Q90.jpg_.webp")</f>
        <v>img.alicdn.com/bao/uploaded/i2/O1CN01dmg1R21IFlIK5Cisb_!!4611686018427383856-53-fleamarket.heic_790x10000Q90.jpg_.webp</v>
      </c>
      <c r="G24"/>
      <c r="H24" s="2"/>
      <c r="I24"/>
      <c r="J24"/>
      <c r="K24"/>
    </row>
    <row r="25" ht="25.5" customHeight="1">
      <c r="A25" t="inlineStr">
        <is>
          <t>课题平面逻辑</t>
        </is>
      </c>
      <c r="B25">
        <v>33</v>
      </c>
      <c r="C25" s="2" t="str">
        <f>=HYPERLINK("https://pan.baidu.com/s/11EJsh2ykjfF7cU43vbFUiw?pwd=8888", "https://pan.baidu.com/s/11EJsh2ykjfF7cU43vbFUiw?pwd=8888")</f>
        <v>https://pan.baidu.com/s/11EJsh2ykjfF7cU43vbFUiw?pwd=8888</v>
      </c>
      <c r="D25" t="inlineStr">
        <is>
          <t>是</t>
        </is>
      </c>
      <c r="E25" t="inlineStr">
        <is>
          <t>课题平面逻辑框架图ppt模板
可编辑课题框架图，适用于课题项目申报，答辩等
适用范围：国家重大科技专项，国家重点研发，国自然/国社科基金项目等
设计素材可自由编辑，内容完整清晰，适合做课题申报的朋友用。价格实惠。通过网盘发送，即拍即发。</t>
        </is>
      </c>
      <c r="F25" s="2" t="str">
        <f>=HYPERLINK("http://img.alicdn.com/bao/uploaded/i2/O1CN01TKBFZu1cR1KA4f7dp_!!4611686018427385644-53-fleamarket.heic_790x10000Q90.jpg_.webp", "img.alicdn.com/bao/uploaded/i2/O1CN01TKBFZu1cR1KA4f7dp_!!4611686018427385644-53-fleamarket.heic_790x10000Q90.jpg_.webp")</f>
        <v>img.alicdn.com/bao/uploaded/i2/O1CN01TKBFZu1cR1KA4f7dp_!!4611686018427385644-53-fleamarket.heic_790x10000Q90.jpg_.webp</v>
      </c>
      <c r="G25"/>
      <c r="H25" s="2"/>
      <c r="I25"/>
      <c r="J25"/>
      <c r="K25"/>
    </row>
    <row r="26" ht="25.5" customHeight="1">
      <c r="A26" t="inlineStr">
        <is>
          <t>900多套ppt模板</t>
        </is>
      </c>
      <c r="B26">
        <v>34</v>
      </c>
      <c r="C26" s="2" t="str">
        <f>=HYPERLINK("https://pan.baidu.com/s/17JEAHcOsMcZHMChovcvHrQ?pwd=6666", "https://pan.baidu.com/s/17JEAHcOsMcZHMChovcvHrQ?pwd=6666")</f>
        <v>https://pan.baidu.com/s/17JEAHcOsMcZHMChovcvHrQ?pwd=6666</v>
      </c>
      <c r="D26" t="inlineStr">
        <is>
          <t>是</t>
        </is>
      </c>
      <c r="E26" t="inlineStr">
        <is>
          <t>900多套ppt模板打包价2.8元，拍后再送店内其他素材1份（全店任选）俩也行~
店内所有2.8元的ppt都与这套一样滴，展示的都在这个链接里。
拍后发b.d网 盘 链 接，发后不退。
只能用电脑或者平板编辑</t>
        </is>
      </c>
      <c r="F26" s="2" t="str">
        <f>=HYPERLINK("http://img.alicdn.com/bao/uploaded/i4/O1CN01fAXSCI27GiDg6MdlX_!!0-fleamarket.jpg_790x10000Q90.jpg_.webp", "img.alicdn.com/bao/uploaded/i4/O1CN01fAXSCI27GiDg6MdlX_!!0-fleamarket.jpg_790x10000Q90.jpg_.webp")</f>
        <v>img.alicdn.com/bao/uploaded/i4/O1CN01fAXSCI27GiDg6MdlX_!!0-fleamarket.jpg_790x10000Q90.jpg_.webp</v>
      </c>
      <c r="G26"/>
      <c r="H26" s="2" t="str">
        <f>=HYPERLINK("https://www.goofish.com/item?spm=a21ybx.search.searchFeedList.6.22e26c82F4k9k2&amp;id=689853330803&amp;categoryId=201454708", "https://www.goofish.com/item?spm=a21ybx.search.searchFeedList.6.22e26c82F4k9k2&amp;id=689853330803&amp;categoryId=201454708")</f>
        <v>https://www.goofish.com/item?spm=a21ybx.search.searchFeedList.6.22e26c82F4k9k2&amp;id=689853330803&amp;categoryId=201454708</v>
      </c>
      <c r="I26"/>
      <c r="J26"/>
      <c r="K26"/>
    </row>
    <row r="27" ht="25.5" customHeight="1">
      <c r="A27" t="inlineStr">
        <is>
          <t>动态PPT模板</t>
        </is>
      </c>
      <c r="B27">
        <v>35</v>
      </c>
      <c r="C27" s="2" t="str">
        <f>=HYPERLINK("https://pan.quark.cn/s/bb62a9bbdcbd", "https://pan.quark.cn/s/bb62a9bbdcbd")</f>
        <v>https://pan.quark.cn/s/bb62a9bbdcbd</v>
      </c>
      <c r="D27" t="inlineStr">
        <is>
          <t>是</t>
        </is>
      </c>
      <c r="E27" t="inlineStr">
        <is>
          <t>动态PPT模板，高级感答辩汇报用【拍下秒发货】动态高级感ppt模板平滑切换答辩工作汇报简约蓝|||色展示大气高端
——★24小时自动发货★——
【适用】
商务｜工作总结｜答辩｜工作汇报｜数据分析｜市场调研｜科技创新｜汇报展示｜企业宣传｜产品介绍｜企业招聘｜企业培训｜商业计划书｜能源科技｜时尚｜文化传媒｜教育招生｜企业年会｜产品发布
[比心] 全部都是动态的ppt
[比心]仅20份，快来捡漏吧～
[五角星]可编辑，可下载～
[五角星]分类清晰，独立文件夹标注～
[五角星]售后无忧，可放心拍～
效果图如下～（仅部分展示）</t>
        </is>
      </c>
      <c r="F27" s="2" t="str">
        <f>=HYPERLINK("http://img.alicdn.com/bao/uploaded/i1/O1CN01w8cWp71IFlGGHtkF4_!!4611686018427383856-53-fleamarket.heic_790x10000Q90.jpg_.webp", "img.alicdn.com/bao/uploaded/i1/O1CN01w8cWp71IFlGGHtkF4_!!4611686018427383856-53-fleamarket.heic_790x10000Q90.jpg_.webp")</f>
        <v>img.alicdn.com/bao/uploaded/i1/O1CN01w8cWp71IFlGGHtkF4_!!4611686018427383856-53-fleamarket.heic_790x10000Q90.jpg_.webp</v>
      </c>
      <c r="G27"/>
      <c r="H27" s="2" t="str">
        <f>=HYPERLINK("https://www.goofish.com/item?spm=a21ybx.search.searchFeedList.4.22e26c82F4k9k2&amp;id=931771158389&amp;categoryId=201454708", "https://www.goofish.com/item?spm=a21ybx.search.searchFeedList.4.22e26c82F4k9k2&amp;id=931771158389&amp;categoryId=201454708")</f>
        <v>https://www.goofish.com/item?spm=a21ybx.search.searchFeedList.4.22e26c82F4k9k2&amp;id=931771158389&amp;categoryId=201454708</v>
      </c>
      <c r="I27"/>
      <c r="J27"/>
      <c r="K27"/>
    </row>
    <row r="28" ht="25.5" customHeight="1">
      <c r="A28" t="inlineStr">
        <is>
          <t>屎盆子镶金边PPT模板</t>
        </is>
      </c>
      <c r="B28">
        <v>36</v>
      </c>
      <c r="C28" s="2" t="str">
        <f>=HYPERLINK("https://pan.baidu.com/s/16t_6O2EkFPp1U1h-bXAUHQ?pwd=7wk4", "https://pan.baidu.com/s/16t_6O2EkFPp1U1h-bXAUHQ?pwd=7wk4")</f>
        <v>https://pan.baidu.com/s/16t_6O2EkFPp1U1h-bXAUHQ?pwd=7wk4</v>
      </c>
      <c r="D28" t="inlineStr">
        <is>
          <t>是</t>
        </is>
      </c>
      <c r="E28" t="inlineStr">
        <is>
          <t>屎盆子镶金边PPT模板素材高端创意平滑轮播旋转极简动态快闪汇报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8" s="2" t="str">
        <f>=HYPERLINK("http://img.alicdn.com/bao/uploaded/i4/O1CN01APpF6p1dZ5xE4kSzQ_!!4611686018427387605-0-fleamarket.jpg_790x10000Q90.jpg_.webp", "img.alicdn.com/bao/uploaded/i4/O1CN01APpF6p1dZ5xE4kSzQ_!!4611686018427387605-0-fleamarket.jpg_790x10000Q90.jpg_.webp")</f>
        <v>img.alicdn.com/bao/uploaded/i4/O1CN01APpF6p1dZ5xE4kSzQ_!!4611686018427387605-0-fleamarket.jpg_790x10000Q90.jpg_.webp</v>
      </c>
      <c r="G28"/>
      <c r="H28" s="2" t="str">
        <f>=HYPERLINK("https://www.goofish.com/item?spm=a21ybx.search.searchFeedList.21.22e26c82F4k9k2&amp;id=993239941201&amp;categoryId=201454708", "https://www.goofish.com/item?spm=a21ybx.search.searchFeedList.21.22e26c82F4k9k2&amp;id=993239941201&amp;categoryId=201454708")</f>
        <v>https://www.goofish.com/item?spm=a21ybx.search.searchFeedList.21.22e26c82F4k9k2&amp;id=993239941201&amp;categoryId=201454708</v>
      </c>
      <c r="I28"/>
      <c r="J28"/>
      <c r="K28"/>
    </row>
    <row r="29" ht="25.5" customHeight="1">
      <c r="A29" t="inlineStr">
        <is>
          <t>大学生职业生涯规划大赛</t>
        </is>
      </c>
      <c r="B29">
        <v>37</v>
      </c>
      <c r="C29" s="2" t="str">
        <f>=HYPERLINK("https://pan.baidu.com/s/1cA1ff0IdAkSlChvNj_XQIg?pwd=3t2x", "https://pan.baidu.com/s/1cA1ff0IdAkSlChvNj_XQIg?pwd=3t2x")</f>
        <v>https://pan.baidu.com/s/1cA1ff0IdAkSlChvNj_XQIg?pwd=3t2x</v>
      </c>
      <c r="D29" t="inlineStr">
        <is>
          <t>是</t>
        </is>
      </c>
      <c r="E29" t="inlineStr">
        <is>
          <t>大学生职业生涯规划大赛PPT模版职规赛成长就业赛道指导答辩高级
——★24小时自动秒发百度网盘 ★——
——★24小时自动秒发百度网盘 ★——
——★24小时自动秒发百度网盘 ★——
299套PPT职业规划大赛 成长赛道 就业赛道 带导航栏 结构完整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9" s="2" t="str">
        <f>=HYPERLINK("http://img.alicdn.com/bao/uploaded/i1/O1CN01QyKCN61dZ5xXsDTvo_!!4611686018427387605-0-fleamarket.jpg_790x10000Q90.jpg_.webp", "img.alicdn.com/bao/uploaded/i1/O1CN01QyKCN61dZ5xXsDTvo_!!4611686018427387605-0-fleamarket.jpg_790x10000Q90.jpg_.webp")</f>
        <v>img.alicdn.com/bao/uploaded/i1/O1CN01QyKCN61dZ5xXsDTvo_!!4611686018427387605-0-fleamarket.jpg_790x10000Q90.jpg_.webp</v>
      </c>
      <c r="G29"/>
      <c r="H29" s="2" t="str">
        <f>=HYPERLINK("https://www.goofish.com/item?spm=a21ybx.search.searchFeedList.9.22e26c82F4k9k2&amp;id=998863131131&amp;categoryId=201454708", "https://www.goofish.com/item?spm=a21ybx.search.searchFeedList.9.22e26c82F4k9k2&amp;id=998863131131&amp;categoryId=201454708")</f>
        <v>https://www.goofish.com/item?spm=a21ybx.search.searchFeedList.9.22e26c82F4k9k2&amp;id=998863131131&amp;categoryId=201454708</v>
      </c>
      <c r="I29"/>
      <c r="J29"/>
      <c r="K29"/>
    </row>
    <row r="30" ht="25.5" customHeight="1">
      <c r="A30" t="inlineStr">
        <is>
          <t>13色1950页高级感工作汇</t>
        </is>
      </c>
      <c r="B30">
        <v>38</v>
      </c>
      <c r="C30" s="2" t="str">
        <f>=HYPERLINK("https://pan.quark.cn/s/ce9ecc66ccef", "https://pan.quark.cn/s/ce9ecc66ccef")</f>
        <v>https://pan.quark.cn/s/ce9ecc66ccef</v>
      </c>
      <c r="D30" t="inlineStr">
        <is>
          <t>是</t>
        </is>
      </c>
      <c r="E30" t="inlineStr">
        <is>
          <t>13色1950页高级感工作汇报数据分析PPT模板 工作汇报||| | 数据分析 | 市场调研
格式：PPT（可编辑）
超值还赠送：
[1]500页精美通用PPT模板
[2]PPT设计小图标
[3]各类逻辑图表
13种配色，每色150页，共1950页
适用范围：日常报告，市场调研，数据分析，工作总结，工作汇报等各种场景。流程进度、数据图表、逻辑图表应有尽有
拍下24小时自动发货，拍下网盘秒发货</t>
        </is>
      </c>
      <c r="F30" s="2" t="str">
        <f>=HYPERLINK("http://img.alicdn.com/bao/uploaded/i1/O1CN01rB27Ci1IFlGmDdjQH_!!4611686018427383856-53-fleamarket.heic_790x10000Q90.jpg_.webp", "img.alicdn.com/bao/uploaded/i1/O1CN01rB27Ci1IFlGmDdjQH_!!4611686018427383856-53-fleamarket.heic_790x10000Q90.jpg_.webp")</f>
        <v>img.alicdn.com/bao/uploaded/i1/O1CN01rB27Ci1IFlGmDdjQH_!!4611686018427383856-53-fleamarket.heic_790x10000Q90.jpg_.webp</v>
      </c>
      <c r="G30"/>
      <c r="H30" s="2" t="str">
        <f>=HYPERLINK("https://www.goofish.com/item?spm=a21ybx.search.searchFeedList.23.22e26c82F4k9k2&amp;id=949004980033&amp;categoryId=201454708", "https://www.goofish.com/item?spm=a21ybx.search.searchFeedList.23.22e26c82F4k9k2&amp;id=949004980033&amp;categoryId=201454708")</f>
        <v>https://www.goofish.com/item?spm=a21ybx.search.searchFeedList.23.22e26c82F4k9k2&amp;id=949004980033&amp;categoryId=201454708</v>
      </c>
      <c r="I30"/>
      <c r="J30"/>
      <c r="K30"/>
    </row>
    <row r="31" ht="25.5" customHeight="1">
      <c r="A31" t="inlineStr">
        <is>
          <t>国自然PPT模板国家自然科学基金科研</t>
        </is>
      </c>
      <c r="B31">
        <v>40</v>
      </c>
      <c r="C31" s="2" t="str">
        <f>=HYPERLINK("https://pan.baidu.com/s/1MA8WUBt2eroHC3awi0NeeA?pwd=9999", "https://pan.baidu.com/s/1MA8WUBt2eroHC3awi0NeeA?pwd=9999")</f>
        <v>https://pan.baidu.com/s/1MA8WUBt2eroHC3awi0NeeA?pwd=9999</v>
      </c>
      <c r="D31" t="inlineStr">
        <is>
          <t>是</t>
        </is>
      </c>
      <c r="E31" t="inlineStr">
        <is>
          <t>国自然PPT模板国家自然科学基金科研项目申请答辩结题汇报PPT模板
24小时自动发货，直接拍秒发
主页置顶商品全店会员6.6，包含全店所有素材和以后更新的素材
每套模版都是我精挑细选出来的
每款模板都是质量高，适用于任何场合
每个模板都可以帮你节省大量时间
B40</t>
        </is>
      </c>
      <c r="F31" s="2" t="str">
        <f>=HYPERLINK("http://img.alicdn.com/bao/uploaded/i4/O1CN011S9AVE2KMIKlnhsE6_!!4611686018427383542-53-fleamarket.heic_790x10000Q90.jpg_.webp", "img.alicdn.com/bao/uploaded/i4/O1CN011S9AVE2KMIKlnhsE6_!!4611686018427383542-53-fleamarket.heic_790x10000Q90.jpg_.webp")</f>
        <v>img.alicdn.com/bao/uploaded/i4/O1CN011S9AVE2KMIKlnhsE6_!!4611686018427383542-53-fleamarket.heic_790x10000Q90.jpg_.webp</v>
      </c>
      <c r="G31"/>
      <c r="H31" s="2" t="str">
        <f>=HYPERLINK("https://www.goofish.com/item?spm=a21ybx.search.searchFeedList.16.22e26c82F4k9k2&amp;id=953863212313&amp;categoryId=201454708", "https://www.goofish.com/item?spm=a21ybx.search.searchFeedList.16.22e26c82F4k9k2&amp;id=953863212313&amp;categoryId=201454708")</f>
        <v>https://www.goofish.com/item?spm=a21ybx.search.searchFeedList.16.22e26c82F4k9k2&amp;id=953863212313&amp;categoryId=201454708</v>
      </c>
      <c r="I31"/>
      <c r="J31"/>
      <c r="K31"/>
    </row>
    <row r="32" ht="25.5" customHeight="1">
      <c r="A32" t="inlineStr">
        <is>
          <t>105套国赛金奖ppt模板大学生创新创业</t>
        </is>
      </c>
      <c r="B32">
        <v>41</v>
      </c>
      <c r="C32" s="2" t="str">
        <f>=HYPERLINK("https://pan.baidu.com/s/1ft-TL7tLTcYY2nR1rqUTcw?pwd=xurc", "https://pan.baidu.com/s/1ft-TL7tLTcYY2nR1rqUTcw?pwd=xurc")</f>
        <v>https://pan.baidu.com/s/1ft-TL7tLTcYY2nR1rqUTcw?pwd=xurc</v>
      </c>
      <c r="D32" t="inlineStr">
        <is>
          <t>是</t>
        </is>
      </c>
      <c r="E32" t="inlineStr">
        <is>
          <t>105套国赛金奖ppt模板大学生创新创业大赛挑战杯创赛获奖
都是可编辑修改的
拍下后另外赠送：
[1] 500+套互联网＋，大创，挑战杯，往届获奖作品等资料参考，部分附带演示视频，路演视频！
[2] 10000套大学生创新创业计划书word成品互联网+大赛ppt模板商业策划书撰。
[3] 100个专业大学生职业生涯规划书Word范文赠送PPT
需要的直接拍，拍下后网盘秒发货</t>
        </is>
      </c>
      <c r="F32" s="2" t="str">
        <f>=HYPERLINK("http://img.alicdn.com/bao/uploaded/i2/O1CN01doYnYm1bo5dNtbyQN_!!4611686018427387015-53-fleamarket.heic_790x10000Q90.jpg_.webp", "img.alicdn.com/bao/uploaded/i2/O1CN01doYnYm1bo5dNtbyQN_!!4611686018427387015-53-fleamarket.heic_790x10000Q90.jpg_.webp")</f>
        <v>img.alicdn.com/bao/uploaded/i2/O1CN01doYnYm1bo5dNtbyQN_!!4611686018427387015-53-fleamarket.heic_790x10000Q90.jpg_.webp</v>
      </c>
      <c r="G32"/>
      <c r="H32" s="2" t="str">
        <f>=HYPERLINK("https://www.goofish.com/item?spm=a21ybx.search.searchFeedList.25.22e26c82F4k9k2&amp;id=909700993980&amp;categoryId=201454708", "https://www.goofish.com/item?spm=a21ybx.search.searchFeedList.25.22e26c82F4k9k2&amp;id=909700993980&amp;categoryId=201454708")</f>
        <v>https://www.goofish.com/item?spm=a21ybx.search.searchFeedList.25.22e26c82F4k9k2&amp;id=909700993980&amp;categoryId=201454708</v>
      </c>
      <c r="I32"/>
      <c r="J32"/>
      <c r="K32"/>
    </row>
    <row r="33" ht="25.5" customHeight="1">
      <c r="A33" t="inlineStr">
        <is>
          <t>高品质400+简历模</t>
        </is>
      </c>
      <c r="B33">
        <v>62</v>
      </c>
      <c r="C33" s="2" t="str">
        <f>=HYPERLINK("http://宝子稍等片刻，资源正在路上", "宝子稍等片刻，资源正在路上")</f>
        <v>宝子稍等片刻，资源正在路上</v>
      </c>
      <c r="D33" t="inlineStr">
        <is>
          <t>是</t>
        </is>
      </c>
      <c r="E33" t="inlineStr">
        <is>
          <t>高品质400+简历模板个人求职电子版word封面应届毕业生表格英文设计制作定制
——★24小时自动秒发百度网盘 ★——
预览图对应相应源文件名字，不是卖图片，也没有任何额外费用，如果不会使用可以咨询解决[送花][送花][送花]
拍下直接发400套高质量简历模板
单页，双页，四页，多页均有，自荐信模版，英文版，多种模板，任你选择
可以用手机直接编辑哦
不要问在不在，喜欢的直接拍下即可！秒发
您想要的各种素材都在这里 任何不满意直接退款</t>
        </is>
      </c>
      <c r="F33" s="2" t="str">
        <f>=HYPERLINK("http://img.alicdn.com/bao/uploaded/i2/O1CN01XvG7871dZ5w9EjfQX_!!4611686018427387605-0-fleamarket.jpg_790x10000Q90.jpg_.webp", "img.alicdn.com/bao/uploaded/i2/O1CN01XvG7871dZ5w9EjfQX_!!4611686018427387605-0-fleamarket.jpg_790x10000Q90.jpg_.webp")</f>
        <v>img.alicdn.com/bao/uploaded/i2/O1CN01XvG7871dZ5w9EjfQX_!!4611686018427387605-0-fleamarket.jpg_790x10000Q90.jpg_.webp</v>
      </c>
      <c r="G33"/>
      <c r="H33" s="2" t="str">
        <f>=HYPERLINK("https://www.goofish.com/item?spm=a21ybx.personal.feeds.295.12e16ac2PYxLX9&amp;id=750009782412&amp;categoryId=50023914", "https://www.goofish.com/item?spm=a21ybx.personal.feeds.295.12e16ac2PYxLX9&amp;id=750009782412&amp;categoryId=50023914")</f>
        <v>https://www.goofish.com/item?spm=a21ybx.personal.feeds.295.12e16ac2PYxLX9&amp;id=750009782412&amp;categoryId=50023914</v>
      </c>
      <c r="I33"/>
      <c r="J33"/>
      <c r="K33"/>
    </row>
    <row r="34" ht="25.5" customHeight="1">
      <c r="A34" t="inlineStr">
        <is>
          <t>科研PPT模板学术汇</t>
        </is>
      </c>
      <c r="B34">
        <v>63</v>
      </c>
      <c r="C34" s="2" t="str">
        <f>=HYPERLINK("http://宝子稍等片刻，资源正在路上", "宝子稍等片刻，资源正在路上")</f>
        <v>宝子稍等片刻，资源正在路上</v>
      </c>
      <c r="D34" t="inlineStr">
        <is>
          <t>是</t>
        </is>
      </c>
      <c r="E34"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4" s="2" t="str">
        <f>=HYPERLINK("http://img.alicdn.com/bao/uploaded/i3/O1CN01aRdK1I1dZ5wmHoKdF_!!4611686018427387605-0-fleamarket.jpg_790x10000Q90.jpg_.webp", "img.alicdn.com/bao/uploaded/i3/O1CN01aRdK1I1dZ5wmHoKdF_!!4611686018427387605-0-fleamarket.jpg_790x10000Q90.jpg_.webp")</f>
        <v>img.alicdn.com/bao/uploaded/i3/O1CN01aRdK1I1dZ5wmHoKdF_!!4611686018427387605-0-fleamarket.jpg_790x10000Q90.jpg_.webp</v>
      </c>
      <c r="G34"/>
      <c r="H34" s="2" t="str">
        <f>=HYPERLINK("https://www.goofish.com/item?spm=a21ybx.personal.feeds.360.12e16ac2PYxLX9&amp;id=986502332050&amp;categoryId=50023914", "https://www.goofish.com/item?spm=a21ybx.personal.feeds.360.12e16ac2PYxLX9&amp;id=986502332050&amp;categoryId=50023914")</f>
        <v>https://www.goofish.com/item?spm=a21ybx.personal.feeds.360.12e16ac2PYxLX9&amp;id=986502332050&amp;categoryId=50023914</v>
      </c>
      <c r="I34"/>
      <c r="J34"/>
      <c r="K34"/>
    </row>
    <row r="35" ht="25.5" customHeight="1">
      <c r="A35" t="inlineStr">
        <is>
          <t>课题申报框架构图教学</t>
        </is>
      </c>
      <c r="B35">
        <v>64</v>
      </c>
      <c r="C35" s="2" t="str">
        <f>=HYPERLINK("http://宝子稍等片刻，资源正在路上", "宝子稍等片刻，资源正在路上")</f>
        <v>宝子稍等片刻，资源正在路上</v>
      </c>
      <c r="D35" t="inlineStr">
        <is>
          <t>是</t>
        </is>
      </c>
      <c r="E35" t="inlineStr">
        <is>
          <t>课题申报框架构图教学思政科研绘图技术路线图visoi流程图ppt模板
——★24小时自动秒发百度网盘 ★——
——★24小时自动秒发百度网盘 ★——
——★24小时自动秒发百度网盘 ★——
280款流程架构路线图 PPT + WORD +VISOI
课题申报 教学大赛 技术路线 科研论文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5" s="2" t="str">
        <f>=HYPERLINK("http://img.alicdn.com/bao/uploaded/i1/O1CN01oQTUGX1dZ5wze9757_!!4611686018427387605-0-fleamarket.jpg_790x10000Q90.jpg_.webp", "img.alicdn.com/bao/uploaded/i1/O1CN01oQTUGX1dZ5wze9757_!!4611686018427387605-0-fleamarket.jpg_790x10000Q90.jpg_.webp")</f>
        <v>img.alicdn.com/bao/uploaded/i1/O1CN01oQTUGX1dZ5wze9757_!!4611686018427387605-0-fleamarket.jpg_790x10000Q90.jpg_.webp</v>
      </c>
      <c r="G35"/>
      <c r="H35" s="2" t="str">
        <f>=HYPERLINK("https://www.goofish.com/item?spm=a21ybx.personal.feeds.108.12e16ac2PYxLX9&amp;id=990745156115&amp;categoryId=50023914", "https://www.goofish.com/item?spm=a21ybx.personal.feeds.108.12e16ac2PYxLX9&amp;id=990745156115&amp;categoryId=50023914")</f>
        <v>https://www.goofish.com/item?spm=a21ybx.personal.feeds.108.12e16ac2PYxLX9&amp;id=990745156115&amp;categoryId=50023914</v>
      </c>
      <c r="I35"/>
      <c r="J35"/>
      <c r="K35"/>
    </row>
    <row r="36" ht="25.5" customHeight="1">
      <c r="A36" t="inlineStr">
        <is>
          <t>大学生国家奖学金励志</t>
        </is>
      </c>
      <c r="B36">
        <v>65</v>
      </c>
      <c r="C36" s="2" t="str">
        <f>=HYPERLINK("http://宝子稍等片刻，资源正在路上", "宝子稍等片刻，资源正在路上")</f>
        <v>宝子稍等片刻，资源正在路上</v>
      </c>
      <c r="D36" t="inlineStr">
        <is>
          <t>是</t>
        </is>
      </c>
      <c r="E36" t="inlineStr">
        <is>
          <t>大学生国家奖学金励志国奖答辩竞选PPT模板蓝红色主题大气高级感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6" s="2" t="str">
        <f>=HYPERLINK("http://img.alicdn.com/bao/uploaded/i2/O1CN014Sac8D1dZ5wncs34U_!!4611686018427387605-0-fleamarket.jpg_790x10000Q90.jpg_.webp", "img.alicdn.com/bao/uploaded/i2/O1CN014Sac8D1dZ5wncs34U_!!4611686018427387605-0-fleamarket.jpg_790x10000Q90.jpg_.webp")</f>
        <v>img.alicdn.com/bao/uploaded/i2/O1CN014Sac8D1dZ5wncs34U_!!4611686018427387605-0-fleamarket.jpg_790x10000Q90.jpg_.webp</v>
      </c>
      <c r="G36"/>
      <c r="H36" s="2" t="str">
        <f>=HYPERLINK("https://www.goofish.com/item?spm=a21ybx.personal.feeds.114.12e16ac2PYxLX9&amp;id=985828185520&amp;categoryId=50023914", "https://www.goofish.com/item?spm=a21ybx.personal.feeds.114.12e16ac2PYxLX9&amp;id=985828185520&amp;categoryId=50023914")</f>
        <v>https://www.goofish.com/item?spm=a21ybx.personal.feeds.114.12e16ac2PYxLX9&amp;id=985828185520&amp;categoryId=50023914</v>
      </c>
      <c r="I36"/>
      <c r="J36"/>
      <c r="K36"/>
    </row>
    <row r="37" ht="25.5" customHeight="1">
      <c r="A37" t="inlineStr">
        <is>
          <t>电商详情页psd模板</t>
        </is>
      </c>
      <c r="B37">
        <v>66</v>
      </c>
      <c r="C37" s="2" t="str">
        <f>=HYPERLINK("http://宝子稍等片刻，资源正在路上", "宝子稍等片刻，资源正在路上")</f>
        <v>宝子稍等片刻，资源正在路上</v>
      </c>
      <c r="D37" t="inlineStr">
        <is>
          <t>是</t>
        </is>
      </c>
      <c r="E37" t="inlineStr">
        <is>
          <t>电商详情页psd模板店铺装修设计主图美工背景促销海报源文件素材
——★24小时自动秒发百度网盘 ★——
——★24小时自动秒发百度网盘 ★——
——★24小时自动秒发百度网盘 ★——
5万款全套电商素材模板 主图 详情图 首页 店招 促销 标签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7" s="2" t="str">
        <f>=HYPERLINK("http://img.alicdn.com/bao/uploaded/i4/O1CN010gRoUm1dZ5x3WeSEi_!!4611686018427387605-2-fleamarket.png_790x10000.jpg_.webp", "img.alicdn.com/bao/uploaded/i4/O1CN010gRoUm1dZ5x3WeSEi_!!4611686018427387605-2-fleamarket.png_790x10000.jpg_.webp")</f>
        <v>img.alicdn.com/bao/uploaded/i4/O1CN010gRoUm1dZ5x3WeSEi_!!4611686018427387605-2-fleamarket.png_790x10000.jpg_.webp</v>
      </c>
      <c r="G37"/>
      <c r="H37" s="2" t="str">
        <f>=HYPERLINK("https://www.goofish.com/item?spm=a21ybx.personal.feeds.365.12e16ac2PYxLX9&amp;id=989828106972&amp;categoryId=50023914", "https://www.goofish.com/item?spm=a21ybx.personal.feeds.365.12e16ac2PYxLX9&amp;id=989828106972&amp;categoryId=50023914")</f>
        <v>https://www.goofish.com/item?spm=a21ybx.personal.feeds.365.12e16ac2PYxLX9&amp;id=989828106972&amp;categoryId=50023914</v>
      </c>
      <c r="I37"/>
      <c r="J37"/>
      <c r="K37"/>
    </row>
    <row r="38" ht="25.5" customHeight="1">
      <c r="A38" t="inlineStr">
        <is>
          <t>大学生职业生涯规划大</t>
        </is>
      </c>
      <c r="B38">
        <v>67</v>
      </c>
      <c r="C38" s="2" t="str">
        <f>=HYPERLINK("http://宝子稍等片刻，资源正在路上", "宝子稍等片刻，资源正在路上")</f>
        <v>宝子稍等片刻，资源正在路上</v>
      </c>
      <c r="D38" t="inlineStr">
        <is>
          <t>是</t>
        </is>
      </c>
      <c r="E38" t="inlineStr">
        <is>
          <t>大学生职业生涯规划大赛职规赛PPT模板书成长就业赛道高级感红色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8" s="2" t="str">
        <f>=HYPERLINK("http://img.alicdn.com/bao/uploaded/i3/O1CN01nILD4o1dZ5wwxYefP_!!4611686018427387605-0-fleamarket.jpg_790x10000Q90.jpg_.webp", "img.alicdn.com/bao/uploaded/i3/O1CN01nILD4o1dZ5wwxYefP_!!4611686018427387605-0-fleamarket.jpg_790x10000Q90.jpg_.webp")</f>
        <v>img.alicdn.com/bao/uploaded/i3/O1CN01nILD4o1dZ5wwxYefP_!!4611686018427387605-0-fleamarket.jpg_790x10000Q90.jpg_.webp</v>
      </c>
      <c r="G38"/>
      <c r="H38" s="2" t="str">
        <f>=HYPERLINK("https://www.goofish.com/item?spm=a21ybx.personal.feeds.109.12e16ac2PYxLX9&amp;id=987781883336&amp;categoryId=50023914", "https://www.goofish.com/item?spm=a21ybx.personal.feeds.109.12e16ac2PYxLX9&amp;id=987781883336&amp;categoryId=50023914")</f>
        <v>https://www.goofish.com/item?spm=a21ybx.personal.feeds.109.12e16ac2PYxLX9&amp;id=987781883336&amp;categoryId=50023914</v>
      </c>
      <c r="I38"/>
      <c r="J38"/>
      <c r="K38"/>
    </row>
    <row r="39" ht="25.5" customHeight="1">
      <c r="A39" t="inlineStr">
        <is>
          <t>100页高级感商务大</t>
        </is>
      </c>
      <c r="B39">
        <v>68</v>
      </c>
      <c r="C39" s="2" t="str">
        <f>=HYPERLINK("http://宝子稍等片刻，资源正在路上", "宝子稍等片刻，资源正在路上")</f>
        <v>宝子稍等片刻，资源正在路上</v>
      </c>
      <c r="D39" t="inlineStr">
        <is>
          <t>是</t>
        </is>
      </c>
      <c r="E39" t="inlineStr">
        <is>
          <t>100页高级感商务大气版式多图片排版图文工作总结汇报动态ppt模板
——★24小时自动秒发百度网盘 ★——
——★24小时自动秒发百度网盘 ★——
——★24小时自动秒发百度网盘 ★——
1款(4色)高级感图表PPT共100页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39" s="2" t="str">
        <f>=HYPERLINK("http://img.alicdn.com/bao/uploaded/i3/O1CN01OscPje1dZ5wkQSRoe_!!4611686018427387605-0-fleamarket.jpg_790x10000Q90.jpg_.webp", "img.alicdn.com/bao/uploaded/i3/O1CN01OscPje1dZ5wkQSRoe_!!4611686018427387605-0-fleamarket.jpg_790x10000Q90.jpg_.webp")</f>
        <v>img.alicdn.com/bao/uploaded/i3/O1CN01OscPje1dZ5wkQSRoe_!!4611686018427387605-0-fleamarket.jpg_790x10000Q90.jpg_.webp</v>
      </c>
      <c r="G39"/>
      <c r="H39" s="2" t="str">
        <f>=HYPERLINK("https://www.goofish.com/item?spm=a21ybx.personal.feeds.520.12e16ac2PYxLX9&amp;id=984361009829&amp;categoryId=50023914", "https://www.goofish.com/item?spm=a21ybx.personal.feeds.520.12e16ac2PYxLX9&amp;id=984361009829&amp;categoryId=50023914")</f>
        <v>https://www.goofish.com/item?spm=a21ybx.personal.feeds.520.12e16ac2PYxLX9&amp;id=984361009829&amp;categoryId=50023914</v>
      </c>
      <c r="I39"/>
      <c r="J39"/>
      <c r="K39"/>
    </row>
    <row r="40" ht="25.5" customHeight="1">
      <c r="A40" t="inlineStr">
        <is>
          <t>企业宣传册模板wor</t>
        </is>
      </c>
      <c r="B40">
        <v>69</v>
      </c>
      <c r="C40" s="2" t="str">
        <f>=HYPERLINK("http://宝子稍等片刻，资源正在路上", "宝子稍等片刻，资源正在路上")</f>
        <v>宝子稍等片刻，资源正在路上</v>
      </c>
      <c r="D40" t="inlineStr">
        <is>
          <t>是</t>
        </is>
      </c>
      <c r="E40" t="inlineStr">
        <is>
          <t>企业宣传册模板word商务公司简介产品手画册CDR排版PSD设计AI素材
——★24小时自动秒发百度网盘 ★——
9999套宣传画册PSD/AI/CDR/WORD分层高清素材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40" s="2" t="str">
        <f>=HYPERLINK("http://img.alicdn.com/bao/uploaded/i1/O1CN01cfBJJb1dZ5wElUGf4_!!4611686018427387605-0-fleamarket.jpg_790x10000Q90.jpg_.webp", "img.alicdn.com/bao/uploaded/i1/O1CN01cfBJJb1dZ5wElUGf4_!!4611686018427387605-0-fleamarket.jpg_790x10000Q90.jpg_.webp")</f>
        <v>img.alicdn.com/bao/uploaded/i1/O1CN01cfBJJb1dZ5wElUGf4_!!4611686018427387605-0-fleamarket.jpg_790x10000Q90.jpg_.webp</v>
      </c>
      <c r="G40"/>
      <c r="H40" s="2" t="str">
        <f>=HYPERLINK("https://www.goofish.com/item?spm=a21ybx.personal.feeds.279.12e16ac2PYxLX9&amp;id=971315835141&amp;categoryId=50023914", "https://www.goofish.com/item?spm=a21ybx.personal.feeds.279.12e16ac2PYxLX9&amp;id=971315835141&amp;categoryId=50023914")</f>
        <v>https://www.goofish.com/item?spm=a21ybx.personal.feeds.279.12e16ac2PYxLX9&amp;id=971315835141&amp;categoryId=50023914</v>
      </c>
      <c r="I40"/>
      <c r="J40"/>
      <c r="K40"/>
    </row>
    <row r="41" ht="25.5" customHeight="1">
      <c r="A41" t="inlineStr">
        <is>
          <t>2025新款CAD图</t>
        </is>
      </c>
      <c r="B41">
        <v>70</v>
      </c>
      <c r="C41" s="2" t="str">
        <f>=HYPERLINK("http://宝子稍等片刻，资源正在路上", "宝子稍等片刻，资源正在路上")</f>
        <v>宝子稍等片刻，资源正在路上</v>
      </c>
      <c r="D41" t="inlineStr">
        <is>
          <t>是</t>
        </is>
      </c>
      <c r="E41" t="inlineStr">
        <is>
          <t>2025新款CAD图库室内设计家装家具平面中式欧式施工图动态素材库
——★24小时自动秒发百度网盘 ★——
——★24小时自动秒发百度网盘 ★——
——★24小时自动秒发百度网盘 ★——
室内设计CAD图库欧式/中式/现代 赠:动态图库
家装+工装+平面+立面+动态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41" s="2" t="str">
        <f>=HYPERLINK("http://img.alicdn.com/bao/uploaded/i2/O1CN01iM0BpW1dZ5x4YdUaj_!!4611686018427387605-0-fleamarket.jpg_790x10000Q90.jpg_.webp", "img.alicdn.com/bao/uploaded/i2/O1CN01iM0BpW1dZ5x4YdUaj_!!4611686018427387605-0-fleamarket.jpg_790x10000Q90.jpg_.webp")</f>
        <v>img.alicdn.com/bao/uploaded/i2/O1CN01iM0BpW1dZ5x4YdUaj_!!4611686018427387605-0-fleamarket.jpg_790x10000Q90.jpg_.webp</v>
      </c>
      <c r="G41"/>
      <c r="H41" s="2" t="str">
        <f>=HYPERLINK("https://www.goofish.com/item?spm=a21ybx.personal.feeds.349.12e16ac2PYxLX9&amp;id=991568744881&amp;categoryId=50023914", "https://www.goofish.com/item?spm=a21ybx.personal.feeds.349.12e16ac2PYxLX9&amp;id=991568744881&amp;categoryId=50023914")</f>
        <v>https://www.goofish.com/item?spm=a21ybx.personal.feeds.349.12e16ac2PYxLX9&amp;id=991568744881&amp;categoryId=50023914</v>
      </c>
      <c r="I41"/>
      <c r="J41"/>
      <c r="K41"/>
    </row>
    <row r="42" ht="25.5" customHeight="1">
      <c r="A42" t="inlineStr">
        <is>
          <t>电商美工店铺装修电商</t>
        </is>
      </c>
      <c r="B42">
        <v>71</v>
      </c>
      <c r="C42" s="2" t="str">
        <f>=HYPERLINK("http://宝子稍等片刻，资源正在路上", "宝子稍等片刻，资源正在路上")</f>
        <v>宝子稍等片刻，资源正在路上</v>
      </c>
      <c r="D42" t="inlineStr">
        <is>
          <t>是</t>
        </is>
      </c>
      <c r="E42" t="inlineStr">
        <is>
          <t>电商美工店铺装修电商美妆详情页专题页面排版PSD模板PS设计素材 5000款电商详情可编辑psd源文件店铺装修素材
-----★24小时自动发货，直接拍秒发★--
⭐️每套模版都是我精挑细选出来的
⭐️每款模板都是质量高，适用于任何场合
⭐️每个模板都可以帮你节省大量时间
</t>
        </is>
      </c>
      <c r="F42" s="2" t="str">
        <f>=HYPERLINK("http://img.alicdn.com/bao/uploaded/i2/O1CN010gFUNh2CLMYSlu5lb_!!4611686018427382025-53-fleamarket.heic_790x10000Q90.jpg_.webp", "img.alicdn.com/bao/uploaded/i2/O1CN010gFUNh2CLMYSlu5lb_!!4611686018427382025-53-fleamarket.heic_790x10000Q90.jpg_.webp")</f>
        <v>img.alicdn.com/bao/uploaded/i2/O1CN010gFUNh2CLMYSlu5lb_!!4611686018427382025-53-fleamarket.heic_790x10000Q90.jpg_.webp</v>
      </c>
      <c r="G42"/>
      <c r="H42" s="2" t="str">
        <f>=HYPERLINK("https://www.goofish.com/item?spm=a21ybx.personal.feeds.17.77e76ac22jN7kj&amp;id=838970575462&amp;categoryId=50023914", "https://www.goofish.com/item?spm=a21ybx.personal.feeds.17.77e76ac22jN7kj&amp;id=838970575462&amp;categoryId=50023914")</f>
        <v>https://www.goofish.com/item?spm=a21ybx.personal.feeds.17.77e76ac22jN7kj&amp;id=838970575462&amp;categoryId=50023914</v>
      </c>
      <c r="I42"/>
      <c r="J42"/>
      <c r="K42"/>
    </row>
    <row r="43" ht="25.5" customHeight="1">
      <c r="A43" t="inlineStr">
        <is>
          <t>100款高端整套文创</t>
        </is>
      </c>
      <c r="B43">
        <v>72</v>
      </c>
      <c r="C43" s="2" t="str">
        <f>=HYPERLINK("http://宝子稍等片刻，资源正在路上", "宝子稍等片刻，资源正在路上")</f>
        <v>宝子稍等片刻，资源正在路上</v>
      </c>
      <c r="D43" t="inlineStr">
        <is>
          <t>是</t>
        </is>
      </c>
      <c r="E43" t="inlineStr">
        <is>
          <t>100款高端整套文创品牌VI提案效果展示贴图样机PSD设计素材 精选100款文创样机psd可编辑源文件素材
-----★24小时自动发货，直接拍秒发★-----
⭐️每套模版都是我精挑细选出来的
⭐️每款模板都是质量高，适用于任何场合
⭐️每个模板都可以帮你节省大量时间
</t>
        </is>
      </c>
      <c r="F43" s="2" t="str">
        <f>=HYPERLINK("http://img.alicdn.com/bao/uploaded/i3/O1CN01zDGmul2CLMWUS0as9_!!53-fleamarket.heic_790x10000Q90.jpg_.webp", "img.alicdn.com/bao/uploaded/i3/O1CN01zDGmul2CLMWUS0as9_!!53-fleamarket.heic_790x10000Q90.jpg_.webp")</f>
        <v>img.alicdn.com/bao/uploaded/i3/O1CN01zDGmul2CLMWUS0as9_!!53-fleamarket.heic_790x10000Q90.jpg_.webp</v>
      </c>
      <c r="G43"/>
      <c r="H43" s="2" t="str">
        <f>=HYPERLINK("https://www.goofish.com/item?spm=a21ybx.personal.feeds.66.77e76ac22jN7kj&amp;id=839406600249&amp;categoryId=50023914", "https://www.goofish.com/item?spm=a21ybx.personal.feeds.66.77e76ac22jN7kj&amp;id=839406600249&amp;categoryId=50023914")</f>
        <v>https://www.goofish.com/item?spm=a21ybx.personal.feeds.66.77e76ac22jN7kj&amp;id=839406600249&amp;categoryId=50023914</v>
      </c>
      <c r="I43"/>
      <c r="J43"/>
      <c r="K43"/>
    </row>
    <row r="44" ht="25.5" customHeight="1">
      <c r="A44" t="inlineStr">
        <is>
          <t>企业公司介绍宣传商务</t>
        </is>
      </c>
      <c r="B44">
        <v>73</v>
      </c>
      <c r="C44" s="2" t="str">
        <f>=HYPERLINK("http://宝子稍等片刻，资源正在路上", "宝子稍等片刻，资源正在路上")</f>
        <v>宝子稍等片刻，资源正在路上</v>
      </c>
      <c r="D44" t="inlineStr">
        <is>
          <t>是</t>
        </is>
      </c>
      <c r="E44" t="inlineStr">
        <is>
          <t>企业公司介绍宣传商务x展架活动易拉宝广告海报模板PSD设计素材PS 精选239款企业易拉宝招聘宣传展架 可编辑素材源文件
-----★24小时自动发货，直接拍秒发★----
⭐️每套模版都是我精挑细选出来的
⭐️每款模板都是质量高，适用于任何场合
⭐️每个模板都可以帮你节省大量时间</t>
        </is>
      </c>
      <c r="F44" s="2" t="str">
        <f>=HYPERLINK("http://img.alicdn.com/bao/uploaded/i2/O1CN01J0jqjZ2CLMWU6wTOA_!!53-fleamarket.heic_790x10000Q90.jpg_.webp", "img.alicdn.com/bao/uploaded/i2/O1CN01J0jqjZ2CLMWU6wTOA_!!53-fleamarket.heic_790x10000Q90.jpg_.webp")</f>
        <v>img.alicdn.com/bao/uploaded/i2/O1CN01J0jqjZ2CLMWU6wTOA_!!53-fleamarket.heic_790x10000Q90.jpg_.webp</v>
      </c>
      <c r="G44"/>
      <c r="H44" s="2" t="str">
        <f>=HYPERLINK("https://www.goofish.com/item?spm=a21ybx.personal.feeds.142.77e76ac22jN7kj&amp;id=838965135188&amp;categoryId=50023914", "https://www.goofish.com/item?spm=a21ybx.personal.feeds.142.77e76ac22jN7kj&amp;id=838965135188&amp;categoryId=50023914")</f>
        <v>https://www.goofish.com/item?spm=a21ybx.personal.feeds.142.77e76ac22jN7kj&amp;id=838965135188&amp;categoryId=50023914</v>
      </c>
      <c r="I44"/>
      <c r="J44"/>
      <c r="K44"/>
    </row>
    <row r="45" ht="25.5" customHeight="1">
      <c r="A45" t="inlineStr">
        <is>
          <t>记账系统Excel表</t>
        </is>
      </c>
      <c r="B45">
        <v>74</v>
      </c>
      <c r="C45" s="2" t="str">
        <f>=HYPERLINK("http://宝子稍等片刻，资源正在路上", "宝子稍等片刻，资源正在路上")</f>
        <v>宝子稍等片刻，资源正在路上</v>
      </c>
      <c r="D45" t="inlineStr">
        <is>
          <t>是</t>
        </is>
      </c>
      <c r="E45" t="inlineStr">
        <is>
          <t>记账系统Excel表格模板 excel记账表格 家庭账本年度分析表 个人月度费用支出记账管理系统52套
✨✨
-----★24小时自动发货，直接拍秒发★-----
⭐️每套模版都是我精挑细选出来的
⭐️每款模板都是质量高，适用于任何场合
⭐️每个模板都可以帮你节省大量时间
</t>
        </is>
      </c>
      <c r="F45" s="2" t="str">
        <f>=HYPERLINK("http://img.alicdn.com/bao/uploaded/i4/O1CN01T4AYaW2CLMWROUuB5_!!53-fleamarket.heic_790x10000Q90.jpg_.webp", "img.alicdn.com/bao/uploaded/i4/O1CN01T4AYaW2CLMWROUuB5_!!53-fleamarket.heic_790x10000Q90.jpg_.webp")</f>
        <v>img.alicdn.com/bao/uploaded/i4/O1CN01T4AYaW2CLMWROUuB5_!!53-fleamarket.heic_790x10000Q90.jpg_.webp</v>
      </c>
      <c r="G45"/>
      <c r="H45" s="2" t="str">
        <f>=HYPERLINK("https://www.goofish.com/item?spm=a21ybx.personal.feeds.53.77e76ac22jN7kj&amp;id=839341433731&amp;categoryId=50023914", "https://www.goofish.com/item?spm=a21ybx.personal.feeds.53.77e76ac22jN7kj&amp;id=839341433731&amp;categoryId=50023914")</f>
        <v>https://www.goofish.com/item?spm=a21ybx.personal.feeds.53.77e76ac22jN7kj&amp;id=839341433731&amp;categoryId=50023914</v>
      </c>
      <c r="I45"/>
      <c r="J45"/>
      <c r="K45"/>
    </row>
    <row r="46" ht="25.5" customHeight="1">
      <c r="A46" t="inlineStr">
        <is>
          <t>6000张动漫线稿</t>
        </is>
      </c>
      <c r="B46">
        <v>75</v>
      </c>
      <c r="C46" s="2" t="str">
        <f>=HYPERLINK("http://宝子稍等片刻，资源正在路上", "宝子稍等片刻，资源正在路上")</f>
        <v>宝子稍等片刻，资源正在路上</v>
      </c>
      <c r="D46" t="inlineStr">
        <is>
          <t>是</t>
        </is>
      </c>
      <c r="E46" t="inlineStr">
        <is>
          <t>6000张动漫线稿，超多！可以平时用来练习。
想要直接拍
【线稿】上万张人体结构建筑线稿临摹参考五官表情光影表现身体动作肌肉骨骼透视漫画练习日式场景cg 建筑风景速写等绘画设计参考素材绘画速写古风线稿PS手绘图Q版人体造型多角度线稿草稿动态姿势合集
★页(张)数：13153张【精选高质量】
★文件大小：4.8G【解压后】（方便保存）
★文件格式：JPG，JPEG
★图片类型：日韩人物、日系插画、人体动态欧美角色、建筑设定、概念设计、建筑物件、科幻设定、现代场景、日系场景、表情结构、肌肉透视、漫画分镜等
------★24小时自动发货，直接拍秒发★-----
⭐️每套风格的模版都是我精心挑选出来的。
⭐️每款都是 质量高，适用于任何场合～
⭐️每个风格都有单独归类文档编号跟预览物
</t>
        </is>
      </c>
      <c r="F46" s="2" t="str">
        <f>=HYPERLINK("http://img.alicdn.com/bao/uploaded/i3/O1CN01wy0YmG2CLMWRgZaLC_!!53-fleamarket.heic_790x10000Q90.jpg_.webp", "img.alicdn.com/bao/uploaded/i3/O1CN01wy0YmG2CLMWRgZaLC_!!53-fleamarket.heic_790x10000Q90.jpg_.webp")</f>
        <v>img.alicdn.com/bao/uploaded/i3/O1CN01wy0YmG2CLMWRgZaLC_!!53-fleamarket.heic_790x10000Q90.jpg_.webp</v>
      </c>
      <c r="G46"/>
      <c r="H46" s="2" t="str">
        <f>=HYPERLINK("https://www.goofish.com/item?spm=a21ybx.personal.feeds.63.77e76ac22jN7kj&amp;id=838899803609&amp;categoryId=50023914", "https://www.goofish.com/item?spm=a21ybx.personal.feeds.63.77e76ac22jN7kj&amp;id=838899803609&amp;categoryId=50023914")</f>
        <v>https://www.goofish.com/item?spm=a21ybx.personal.feeds.63.77e76ac22jN7kj&amp;id=838899803609&amp;categoryId=50023914</v>
      </c>
      <c r="I46"/>
      <c r="J46"/>
      <c r="K46"/>
    </row>
    <row r="47" ht="25.5" customHeight="1">
      <c r="A47" t="inlineStr">
        <is>
          <t>茶叶奶茶手册VI品牌</t>
        </is>
      </c>
      <c r="B47">
        <v>76</v>
      </c>
      <c r="C47" s="2" t="str">
        <f>=HYPERLINK("http://宝子稍等片刻，资源正在路上", "宝子稍等片刻，资源正在路上")</f>
        <v>宝子稍等片刻，资源正在路上</v>
      </c>
      <c r="D47" t="inlineStr">
        <is>
          <t>是</t>
        </is>
      </c>
      <c r="E47" t="inlineStr">
        <is>
          <t>茶叶奶茶手册VI品牌形象企业产品宣传册VIS全套模板矢量设计素材 精选24款茶叶奶茶品牌手册ai可编辑模板素材
-----★24小时自动发货，直接拍秒发★-----
⭐️每套模版都是我精挑细选出来的
⭐️每款模板都是质量高，适用于任何场合
⭐️每个模板都可以帮你节省大量时间
</t>
        </is>
      </c>
      <c r="F47" s="2" t="str">
        <f>=HYPERLINK("http://img.alicdn.com/bao/uploaded/i1/O1CN017GYIxI2CLMWMV6rEa_!!53-fleamarket.heic_790x10000Q90.jpg_.webp", "img.alicdn.com/bao/uploaded/i1/O1CN017GYIxI2CLMWMV6rEa_!!53-fleamarket.heic_790x10000Q90.jpg_.webp")</f>
        <v>img.alicdn.com/bao/uploaded/i1/O1CN017GYIxI2CLMWMV6rEa_!!53-fleamarket.heic_790x10000Q90.jpg_.webp</v>
      </c>
      <c r="G47"/>
      <c r="H47" s="2" t="str">
        <f>=HYPERLINK("https://www.goofish.com/item?spm=a21ybx.personal.feeds.156.77e76ac22jN7kj&amp;id=839233401492&amp;categoryId=50023914", "https://www.goofish.com/item?spm=a21ybx.personal.feeds.156.77e76ac22jN7kj&amp;id=839233401492&amp;categoryId=50023914")</f>
        <v>https://www.goofish.com/item?spm=a21ybx.personal.feeds.156.77e76ac22jN7kj&amp;id=839233401492&amp;categoryId=50023914</v>
      </c>
      <c r="I47"/>
      <c r="J47"/>
      <c r="K47"/>
    </row>
    <row r="48" ht="25.5" customHeight="1">
      <c r="A48" t="inlineStr">
        <is>
          <t>【PPT模板】350</t>
        </is>
      </c>
      <c r="B48">
        <v>77</v>
      </c>
      <c r="C48" s="2" t="str">
        <f>=HYPERLINK("https://pan.baidu.com/s/1xSAjEXz_MzPcGXqZ5sh6Gg", "https://pan.baidu.com/s/1xSAjEXz_MzPcGXqZ5sh6Gg")</f>
        <v>https://pan.baidu.com/s/1xSAjEXz_MzPcGXqZ5sh6Gg</v>
      </c>
      <c r="D48" t="inlineStr">
        <is>
          <t>是</t>
        </is>
      </c>
      <c r="E48" t="inlineStr">
        <is>
          <t>【PPT模板】350套炫酷科技感ppt模板类动态高端工作汇报商务互联网多媒体ppt模板
-----★24小时自动发货，直接拍秒发★-----
⭐️每套模版都是我精挑细选出来的
⭐️每款模板都是质量高，适用于任何场合
⭐️每个模板都可以帮你节省大量时间
</t>
        </is>
      </c>
      <c r="F48" s="2" t="str">
        <f>=HYPERLINK("http://img.alicdn.com/bao/uploaded/i1/O1CN01LltOwv2CLMVoQWQrs_!!53-fleamarket.heic_790x10000Q90.jpg_.webp", "img.alicdn.com/bao/uploaded/i1/O1CN01LltOwv2CLMVoQWQrs_!!53-fleamarket.heic_790x10000Q90.jpg_.webp")</f>
        <v>img.alicdn.com/bao/uploaded/i1/O1CN01LltOwv2CLMVoQWQrs_!!53-fleamarket.heic_790x10000Q90.jpg_.webp</v>
      </c>
      <c r="G48"/>
      <c r="H48" s="2" t="str">
        <f>=HYPERLINK("https://www.goofish.com/item?spm=a21ybx.personal.feeds.173.77e76ac22jN7kj&amp;id=827741364305&amp;categoryId=50023914", "https://www.goofish.com/item?spm=a21ybx.personal.feeds.173.77e76ac22jN7kj&amp;id=827741364305&amp;categoryId=50023914")</f>
        <v>https://www.goofish.com/item?spm=a21ybx.personal.feeds.173.77e76ac22jN7kj&amp;id=827741364305&amp;categoryId=50023914</v>
      </c>
      <c r="I48"/>
      <c r="J48"/>
      <c r="K48"/>
    </row>
    <row r="49" ht="25.5" customHeight="1">
      <c r="A49" t="inlineStr">
        <is>
          <t>PS海报模板素材图库</t>
        </is>
      </c>
      <c r="B49">
        <v>78</v>
      </c>
      <c r="C49" s="2" t="str">
        <f>=HYPERLINK("https://pan.baidu.com/s/14CNwuguGTteib53KmxPAHw", "https://pan.baidu.com/s/14CNwuguGTteib53KmxPAHw")</f>
        <v>https://pan.baidu.com/s/14CNwuguGTteib53KmxPAHw</v>
      </c>
      <c r="D49" t="inlineStr">
        <is>
          <t>是</t>
        </is>
      </c>
      <c r="E49" t="inlineStr">
        <is>
          <t>PS海报模板素材图库，精选4000套海报设计模板
涉及广告/平面/设计/促销/宣传/食品/招聘/招生/婚纱/电影/音乐/金融/旅游/科技/美容/母婴/教育/地产/电器/等众多领域，psd格式！
-----★24小时自动发货，直接拍秒发★-----
⭐️每套风格的模版都是我精心挑选出来的。
⭐️每款都是 质量高，适用于任何场合～
⭐️每个风格都有单独归类文档编号跟预览物之情
</t>
        </is>
      </c>
      <c r="F49" s="2" t="str">
        <f>=HYPERLINK("http://img.alicdn.com/bao/uploaded/i1/O1CN01p1PijE2CLMWS8ZH7O_!!53-fleamarket.heic_790x10000Q90.jpg_.webp", "img.alicdn.com/bao/uploaded/i1/O1CN01p1PijE2CLMWS8ZH7O_!!53-fleamarket.heic_790x10000Q90.jpg_.webp")</f>
        <v>img.alicdn.com/bao/uploaded/i1/O1CN01p1PijE2CLMWS8ZH7O_!!53-fleamarket.heic_790x10000Q90.jpg_.webp</v>
      </c>
      <c r="G49"/>
      <c r="H49" s="2" t="str">
        <f>=HYPERLINK("https://www.goofish.com/item?spm=a21ybx.personal.feeds.46.77e76ac22jN7kj&amp;id=838995255145&amp;categoryId=50023914", "https://www.goofish.com/item?spm=a21ybx.personal.feeds.46.77e76ac22jN7kj&amp;id=838995255145&amp;categoryId=50023914")</f>
        <v>https://www.goofish.com/item?spm=a21ybx.personal.feeds.46.77e76ac22jN7kj&amp;id=838995255145&amp;categoryId=50023914</v>
      </c>
      <c r="I49"/>
      <c r="J49"/>
      <c r="K49"/>
    </row>
    <row r="50" ht="25.5" customHeight="1">
      <c r="A50" t="inlineStr">
        <is>
          <t>
80套高端PPT模</t>
        </is>
      </c>
      <c r="B50">
        <v>79</v>
      </c>
      <c r="C50" s="2" t="str">
        <f>=HYPERLINK("http://宝子稍等片刻，资源正在路上", "宝子稍等片刻，资源正在路上")</f>
        <v>宝子稍等片刻，资源正在路上</v>
      </c>
      <c r="D50" t="inlineStr">
        <is>
          <t>是</t>
        </is>
      </c>
      <c r="E50" t="inlineStr">
        <is>
          <t>
80套高端PPT模板，逻辑PPT，高端大气PPT，工作汇报PPT模板
适用于各种行业，设计精美，多种风格款式可选，可编辑修改，使用方便
-----★24小时自动发货，直接拍秒发★-----
⭐️每套模版都是我精挑细选出来的
⭐️每款模板都是质量高，适用于任何场合
⭐️每个模板都可以帮你节省大量时间
</t>
        </is>
      </c>
      <c r="F50" s="2" t="str">
        <f>=HYPERLINK("http://img.alicdn.com/bao/uploaded/i3/O1CN01RQPkEd2CLMW7HQ5cn_!!53-fleamarket.heic_790x10000Q90.jpg_.webp", "img.alicdn.com/bao/uploaded/i3/O1CN01RQPkEd2CLMW7HQ5cn_!!53-fleamarket.heic_790x10000Q90.jpg_.webp")</f>
        <v>img.alicdn.com/bao/uploaded/i3/O1CN01RQPkEd2CLMW7HQ5cn_!!53-fleamarket.heic_790x10000Q90.jpg_.webp</v>
      </c>
      <c r="G50"/>
      <c r="H50" s="2" t="str">
        <f>=HYPERLINK("https://www.goofish.com/item?spm=a21ybx.personal.feeds.96.77e76ac22jN7kj&amp;id=830266147835&amp;categoryId=50023914", "https://www.goofish.com/item?spm=a21ybx.personal.feeds.96.77e76ac22jN7kj&amp;id=830266147835&amp;categoryId=50023914")</f>
        <v>https://www.goofish.com/item?spm=a21ybx.personal.feeds.96.77e76ac22jN7kj&amp;id=830266147835&amp;categoryId=50023914</v>
      </c>
      <c r="I50"/>
      <c r="J50"/>
      <c r="K50"/>
    </row>
    <row r="51" ht="25.5" customHeight="1">
      <c r="A51" t="inlineStr">
        <is>
          <t>2026马年中小学生</t>
        </is>
      </c>
      <c r="B51">
        <v>80</v>
      </c>
      <c r="C51" s="2" t="str">
        <f>=HYPERLINK("http://宝子稍等片刻，资源正在路上", "宝子稍等片刻，资源正在路上")</f>
        <v>宝子稍等片刻，资源正在路上</v>
      </c>
      <c r="D51" t="inlineStr">
        <is>
          <t>是</t>
        </is>
      </c>
      <c r="E51" t="inlineStr">
        <is>
          <t>2026马年中小学生幼儿园喜迎元旦ppt班会元旦联欢晚会ppt素材企业
——★24小时自动秒发百度网盘 ★——
——★24小时自动秒发百度网盘 ★——
——★24小时自动秒发百度网盘 ★——
200款马年元旦PPT
2026元旦 2026新年 元旦晚会 新年晚会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1" s="2" t="str">
        <f>=HYPERLINK("http://img.alicdn.com/bao/uploaded/i2/O1CN01HAdhZX1dZ5xQsq9cA_!!4611686018427387605-2-fleamarket.png_790x10000.jpg_.webp", "img.alicdn.com/bao/uploaded/i2/O1CN01HAdhZX1dZ5xQsq9cA_!!4611686018427387605-2-fleamarket.png_790x10000.jpg_.webp")</f>
        <v>img.alicdn.com/bao/uploaded/i2/O1CN01HAdhZX1dZ5xQsq9cA_!!4611686018427387605-2-fleamarket.png_790x10000.jpg_.webp</v>
      </c>
      <c r="G51"/>
      <c r="H51" s="2" t="str">
        <f>=HYPERLINK("https://www.goofish.com/item?spm=a21ybx.personal.feeds.57.12e16ac2PYxLX9&amp;id=998398580438&amp;categoryId=50023914", "https://www.goofish.com/item?spm=a21ybx.personal.feeds.57.12e16ac2PYxLX9&amp;id=998398580438&amp;categoryId=50023914")</f>
        <v>https://www.goofish.com/item?spm=a21ybx.personal.feeds.57.12e16ac2PYxLX9&amp;id=998398580438&amp;categoryId=50023914</v>
      </c>
      <c r="I51"/>
      <c r="J51"/>
      <c r="K51"/>
    </row>
    <row r="52" ht="25.5" customHeight="1">
      <c r="A52" t="inlineStr">
        <is>
          <t>邀请函电子版模板企业</t>
        </is>
      </c>
      <c r="B52">
        <v>81</v>
      </c>
      <c r="C52" s="2" t="str">
        <f>=HYPERLINK("http://宝子稍等片刻，资源正在路上", "宝子稍等片刻，资源正在路上")</f>
        <v>宝子稍等片刻，资源正在路上</v>
      </c>
      <c r="D52" t="inlineStr">
        <is>
          <t>是</t>
        </is>
      </c>
      <c r="E52" t="inlineStr">
        <is>
          <t>邀请函电子版模板企业商务晚宴请柬word公司会议年会庆典请帖素材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2" s="2" t="str">
        <f>=HYPERLINK("http://img.alicdn.com/bao/uploaded/i3/O1CN01GHbUGR1dZ5wr9Y8Z9_!!4611686018427387605-0-fleamarket.jpg_790x10000Q90.jpg_.webp", "img.alicdn.com/bao/uploaded/i3/O1CN01GHbUGR1dZ5wr9Y8Z9_!!4611686018427387605-0-fleamarket.jpg_790x10000Q90.jpg_.webp")</f>
        <v>img.alicdn.com/bao/uploaded/i3/O1CN01GHbUGR1dZ5wr9Y8Z9_!!4611686018427387605-0-fleamarket.jpg_790x10000Q90.jpg_.webp</v>
      </c>
      <c r="G52"/>
      <c r="H52" s="2" t="str">
        <f>=HYPERLINK("https://www.goofish.com/item?spm=a21ybx.personal.feeds.475.12e16ac2PYxLX9&amp;id=985666559871&amp;categoryId=50023914", "https://www.goofish.com/item?spm=a21ybx.personal.feeds.475.12e16ac2PYxLX9&amp;id=985666559871&amp;categoryId=50023914")</f>
        <v>https://www.goofish.com/item?spm=a21ybx.personal.feeds.475.12e16ac2PYxLX9&amp;id=985666559871&amp;categoryId=50023914</v>
      </c>
      <c r="I52"/>
      <c r="J52"/>
      <c r="K52"/>
    </row>
    <row r="53" ht="25.5" customHeight="1">
      <c r="A53" t="inlineStr">
        <is>
          <t>高级感年终工作总结转</t>
        </is>
      </c>
      <c r="B53">
        <v>82</v>
      </c>
      <c r="C53" s="2" t="str">
        <f>=HYPERLINK("http://宝子稍等片刻，资源正在路上", "宝子稍等片刻，资源正在路上")</f>
        <v>宝子稍等片刻，资源正在路上</v>
      </c>
      <c r="D53" t="inlineStr">
        <is>
          <t>是</t>
        </is>
      </c>
      <c r="E53" t="inlineStr">
        <is>
          <t>高级感年终工作总结转正述职汇报甘特图逻辑架构数据图表ppt模板
——★24小时自动秒发百度网盘 ★——
——★24小时自动秒发百度网盘 ★——
——★24小时自动秒发百度网盘 ★——
一款218页，不是218款哦亲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3" s="2" t="str">
        <f>=HYPERLINK("http://img.alicdn.com/bao/uploaded/i2/O1CN01fzjgv91dZ5wxmRYjG_!!4611686018427387605-0-fleamarket.jpg_790x10000Q90.jpg_.webp", "img.alicdn.com/bao/uploaded/i2/O1CN01fzjgv91dZ5wxmRYjG_!!4611686018427387605-0-fleamarket.jpg_790x10000Q90.jpg_.webp")</f>
        <v>img.alicdn.com/bao/uploaded/i2/O1CN01fzjgv91dZ5wxmRYjG_!!4611686018427387605-0-fleamarket.jpg_790x10000Q90.jpg_.webp</v>
      </c>
      <c r="G53"/>
      <c r="H53" s="2" t="str">
        <f>=HYPERLINK("https://www.goofish.com/item?spm=a21ybx.personal.feeds.421.12e16ac2PYxLX9&amp;id=989300669579&amp;categoryId=50023914", "https://www.goofish.com/item?spm=a21ybx.personal.feeds.421.12e16ac2PYxLX9&amp;id=989300669579&amp;categoryId=50023914")</f>
        <v>https://www.goofish.com/item?spm=a21ybx.personal.feeds.421.12e16ac2PYxLX9&amp;id=989300669579&amp;categoryId=50023914</v>
      </c>
      <c r="I53"/>
      <c r="J53"/>
      <c r="K53"/>
    </row>
    <row r="54" ht="25.5" customHeight="1">
      <c r="A54" t="inlineStr">
        <is>
          <t>屎盆子镶金边PPT模</t>
        </is>
      </c>
      <c r="B54">
        <v>83</v>
      </c>
      <c r="C54" s="2" t="str">
        <f>=HYPERLINK("http://宝子稍等片刻，资源正在路上", "宝子稍等片刻，资源正在路上")</f>
        <v>宝子稍等片刻，资源正在路上</v>
      </c>
      <c r="D54" t="inlineStr">
        <is>
          <t>是</t>
        </is>
      </c>
      <c r="E54" t="inlineStr">
        <is>
          <t>屎盆子镶金边PPT模板素材高级感动态快闪创意平滑轮播极简约商务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4" s="2" t="str">
        <f>=HYPERLINK("http://img.alicdn.com/bao/uploaded/i1/O1CN01mNw1wM1dZ5wxmO5rL_!!4611686018427387605-0-fleamarket.jpg_790x10000Q90.jpg_.webp", "img.alicdn.com/bao/uploaded/i1/O1CN01mNw1wM1dZ5wxmO5rL_!!4611686018427387605-0-fleamarket.jpg_790x10000Q90.jpg_.webp")</f>
        <v>img.alicdn.com/bao/uploaded/i1/O1CN01mNw1wM1dZ5wxmO5rL_!!4611686018427387605-0-fleamarket.jpg_790x10000Q90.jpg_.webp</v>
      </c>
      <c r="G54"/>
      <c r="H54" s="2" t="str">
        <f>=HYPERLINK("https://www.goofish.com/item?spm=a21ybx.personal.feeds.427.12e16ac2PYxLX9&amp;id=987781123378&amp;categoryId=50023914", "https://www.goofish.com/item?spm=a21ybx.personal.feeds.427.12e16ac2PYxLX9&amp;id=987781123378&amp;categoryId=50023914")</f>
        <v>https://www.goofish.com/item?spm=a21ybx.personal.feeds.427.12e16ac2PYxLX9&amp;id=987781123378&amp;categoryId=50023914</v>
      </c>
      <c r="I54"/>
      <c r="J54"/>
      <c r="K54"/>
    </row>
    <row r="55" ht="25.5" customHeight="1">
      <c r="A55" t="inlineStr">
        <is>
          <t>研究生组会文献汇报P</t>
        </is>
      </c>
      <c r="B55">
        <v>84</v>
      </c>
      <c r="C55" s="2" t="str">
        <f>=HYPERLINK("http://宝子稍等片刻，资源正在路上", "宝子稍等片刻，资源正在路上")</f>
        <v>宝子稍等片刻，资源正在路上</v>
      </c>
      <c r="D55" t="inlineStr">
        <is>
          <t>是</t>
        </is>
      </c>
      <c r="E55" t="inlineStr">
        <is>
          <t>研究生组会文献汇报PPT模板解读研究现状英文综述博士后阅读报告
——★24小时自动秒发百度网盘 ★——
——★24小时自动秒发百度网盘 ★——
——★24小时自动秒发百度网盘 ★——
33套PPT组会文献汇报 硕士博士 中文英文 学术汇报 框架完整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5" s="2" t="str">
        <f>=HYPERLINK("http://img.alicdn.com/bao/uploaded/i2/O1CN01aDqa5E1dZ5x0uC6nh_!!4611686018427387605-0-fleamarket.jpg_790x10000Q90.jpg_.webp", "img.alicdn.com/bao/uploaded/i2/O1CN01aDqa5E1dZ5x0uC6nh_!!4611686018427387605-0-fleamarket.jpg_790x10000Q90.jpg_.webp")</f>
        <v>img.alicdn.com/bao/uploaded/i2/O1CN01aDqa5E1dZ5x0uC6nh_!!4611686018427387605-0-fleamarket.jpg_790x10000Q90.jpg_.webp</v>
      </c>
      <c r="G55"/>
      <c r="H55" s="2" t="str">
        <f>=HYPERLINK("https://www.goofish.com/item?spm=a21ybx.personal.feeds.392.12e16ac2PYxLX9&amp;id=989296162241&amp;categoryId=50023914", "https://www.goofish.com/item?spm=a21ybx.personal.feeds.392.12e16ac2PYxLX9&amp;id=989296162241&amp;categoryId=50023914")</f>
        <v>https://www.goofish.com/item?spm=a21ybx.personal.feeds.392.12e16ac2PYxLX9&amp;id=989296162241&amp;categoryId=50023914</v>
      </c>
      <c r="I55"/>
      <c r="J55"/>
      <c r="K55"/>
    </row>
    <row r="56" ht="25.5" customHeight="1">
      <c r="A56" t="inlineStr">
        <is>
          <t>世界全国职业院校技能</t>
        </is>
      </c>
      <c r="B56">
        <v>85</v>
      </c>
      <c r="C56" s="2" t="str">
        <f>=HYPERLINK("http://宝子稍等片刻，资源正在路上", "宝子稍等片刻，资源正在路上")</f>
        <v>宝子稍等片刻，资源正在路上</v>
      </c>
      <c r="D56" t="inlineStr">
        <is>
          <t>是</t>
        </is>
      </c>
      <c r="E56" t="inlineStr">
        <is>
          <t>世界全国职业院校技能大赛PPT模板资料逐字稿全赛道高级感可编辑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6" s="2" t="str">
        <f>=HYPERLINK("http://img.alicdn.com/bao/uploaded/i1/O1CN01TUaGZb1dZ5wq1dPl4_!!4611686018427387605-0-fleamarket.jpg_790x10000Q90.jpg_.webp", "img.alicdn.com/bao/uploaded/i1/O1CN01TUaGZb1dZ5wq1dPl4_!!4611686018427387605-0-fleamarket.jpg_790x10000Q90.jpg_.webp")</f>
        <v>img.alicdn.com/bao/uploaded/i1/O1CN01TUaGZb1dZ5wq1dPl4_!!4611686018427387605-0-fleamarket.jpg_790x10000Q90.jpg_.webp</v>
      </c>
      <c r="G56"/>
      <c r="H56" s="2" t="str">
        <f>=HYPERLINK("https://www.goofish.com/item?spm=a21ybx.personal.feeds.477.12e16ac2PYxLX9&amp;id=987649944333&amp;categoryId=50023914", "https://www.goofish.com/item?spm=a21ybx.personal.feeds.477.12e16ac2PYxLX9&amp;id=987649944333&amp;categoryId=50023914")</f>
        <v>https://www.goofish.com/item?spm=a21ybx.personal.feeds.477.12e16ac2PYxLX9&amp;id=987649944333&amp;categoryId=50023914</v>
      </c>
      <c r="I56"/>
      <c r="J56"/>
      <c r="K56"/>
    </row>
    <row r="57" ht="25.5" customHeight="1">
      <c r="A57" t="inlineStr">
        <is>
          <t>excel高级可视化</t>
        </is>
      </c>
      <c r="B57">
        <v>86</v>
      </c>
      <c r="C57" s="2" t="str">
        <f>=HYPERLINK("http://宝子稍等片刻，资源正在路上", "宝子稍等片刻，资源正在路上")</f>
        <v>宝子稍等片刻，资源正在路上</v>
      </c>
      <c r="D57" t="inlineStr">
        <is>
          <t>是</t>
        </is>
      </c>
      <c r="E57" t="inlineStr">
        <is>
          <t>excel高级可视化大屏数据分析图表模版PPT动态销售财务看板柱状图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7" s="2" t="str">
        <f>=HYPERLINK("http://img.alicdn.com/bao/uploaded/i2/O1CN01JO1zmS1dZ5wxos4Yf_!!4611686018427387605-0-fleamarket.jpg_790x10000Q90.jpg_.webp", "img.alicdn.com/bao/uploaded/i2/O1CN01JO1zmS1dZ5wxos4Yf_!!4611686018427387605-0-fleamarket.jpg_790x10000Q90.jpg_.webp")</f>
        <v>img.alicdn.com/bao/uploaded/i2/O1CN01JO1zmS1dZ5wxos4Yf_!!4611686018427387605-0-fleamarket.jpg_790x10000Q90.jpg_.webp</v>
      </c>
      <c r="G57"/>
      <c r="H57" s="2" t="str">
        <f>=HYPERLINK("https://www.goofish.com/item?spm=a21ybx.personal.feeds.409.12e16ac2PYxLX9&amp;id=989312953171&amp;categoryId=50023914", "https://www.goofish.com/item?spm=a21ybx.personal.feeds.409.12e16ac2PYxLX9&amp;id=989312953171&amp;categoryId=50023914")</f>
        <v>https://www.goofish.com/item?spm=a21ybx.personal.feeds.409.12e16ac2PYxLX9&amp;id=989312953171&amp;categoryId=50023914</v>
      </c>
      <c r="I57"/>
      <c r="J57"/>
      <c r="K57"/>
    </row>
    <row r="58" ht="25.5" customHeight="1">
      <c r="A58" t="inlineStr">
        <is>
          <t>创赛PPT模板创新创</t>
        </is>
      </c>
      <c r="B58">
        <v>87</v>
      </c>
      <c r="C58" s="2" t="str">
        <f>=HYPERLINK("http://宝子稍等片刻，资源正在路上", "宝子稍等片刻，资源正在路上")</f>
        <v>宝子稍等片刻，资源正在路上</v>
      </c>
      <c r="D58" t="inlineStr">
        <is>
          <t>是</t>
        </is>
      </c>
      <c r="E58" t="inlineStr">
        <is>
          <t>创赛PPT模板创新创业大赛三创赛互联网加挑战杯绿色蓝色非遗科技
——★24小时自动秒发百度网盘 ★——
拍下全发带内容！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58" s="2" t="str">
        <f>=HYPERLINK("http://img.alicdn.com/bao/uploaded/i4/O1CN01Q63Ezx1dZ5wFvlkgn_!!4611686018427387605-0-fleamarket.jpg_790x10000Q90.jpg_.webp", "img.alicdn.com/bao/uploaded/i4/O1CN01Q63Ezx1dZ5wFvlkgn_!!4611686018427387605-0-fleamarket.jpg_790x10000Q90.jpg_.webp")</f>
        <v>img.alicdn.com/bao/uploaded/i4/O1CN01Q63Ezx1dZ5wFvlkgn_!!4611686018427387605-0-fleamarket.jpg_790x10000Q90.jpg_.webp</v>
      </c>
      <c r="G58"/>
      <c r="H58" s="2" t="str">
        <f>=HYPERLINK("https://www.goofish.com/item?spm=a21ybx.personal.feeds.275.12e16ac2PYxLX9&amp;id=973239537314&amp;categoryId=201664707", "https://www.goofish.com/item?spm=a21ybx.personal.feeds.275.12e16ac2PYxLX9&amp;id=973239537314&amp;categoryId=201664707")</f>
        <v>https://www.goofish.com/item?spm=a21ybx.personal.feeds.275.12e16ac2PYxLX9&amp;id=973239537314&amp;categoryId=201664707</v>
      </c>
      <c r="I58"/>
      <c r="J58"/>
      <c r="K58"/>
    </row>
    <row r="59" ht="25.5" customHeight="1">
      <c r="A59" t="inlineStr">
        <is>
          <t>读书分享ppt成品模</t>
        </is>
      </c>
      <c r="B59">
        <v>88</v>
      </c>
      <c r="C59" s="2" t="str">
        <f>=HYPERLINK("http://宝子稍等片刻，资源正在路上", "宝子稍等片刻，资源正在路上")</f>
        <v>宝子稍等片刻，资源正在路上</v>
      </c>
      <c r="D59" t="inlineStr">
        <is>
          <t>是</t>
        </is>
      </c>
      <c r="E59" t="inlineStr">
        <is>
          <t>读书分享ppt成品模板名著诗词带讲稿教师学生读后感课外好书推荐
——★24小时自动秒发百度网盘 ★——
——★24小时自动秒发百度网盘 ★——
——★24小时自动秒发百度网盘 ★——
4800套读书分享PPT 教师读书 世界读书日 诗词名著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59" s="2" t="str">
        <f>=HYPERLINK("http://img.alicdn.com/bao/uploaded/i2/O1CN01lAIKG01dZ5x1etfQr_!!4611686018427387605-0-fleamarket.jpg_790x10000Q90.jpg_.webp", "img.alicdn.com/bao/uploaded/i2/O1CN01lAIKG01dZ5x1etfQr_!!4611686018427387605-0-fleamarket.jpg_790x10000Q90.jpg_.webp")</f>
        <v>img.alicdn.com/bao/uploaded/i2/O1CN01lAIKG01dZ5x1etfQr_!!4611686018427387605-0-fleamarket.jpg_790x10000Q90.jpg_.webp</v>
      </c>
      <c r="G59"/>
      <c r="H59" s="2" t="str">
        <f>=HYPERLINK("https://www.goofish.com/item?spm=a21ybx.personal.feeds.379.12e16ac2PYxLX9&amp;id=991214376436&amp;categoryId=50023914", "https://www.goofish.com/item?spm=a21ybx.personal.feeds.379.12e16ac2PYxLX9&amp;id=991214376436&amp;categoryId=50023914")</f>
        <v>https://www.goofish.com/item?spm=a21ybx.personal.feeds.379.12e16ac2PYxLX9&amp;id=991214376436&amp;categoryId=50023914</v>
      </c>
      <c r="I59"/>
      <c r="J59"/>
      <c r="K59"/>
    </row>
    <row r="60" ht="25.5" customHeight="1">
      <c r="A60" t="inlineStr">
        <is>
          <t>ppt科研绘图素材材</t>
        </is>
      </c>
      <c r="B60">
        <v>89</v>
      </c>
      <c r="C60" s="2" t="str">
        <f>=HYPERLINK("http://宝子稍等片刻，资源正在路上", "宝子稍等片刻，资源正在路上")</f>
        <v>宝子稍等片刻，资源正在路上</v>
      </c>
      <c r="D60" t="inlineStr">
        <is>
          <t>是</t>
        </is>
      </c>
      <c r="E60" t="inlineStr">
        <is>
          <t>ppt科研绘图素材材料实验仪器设备化学生物流程图片SCI器官细胞AI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0" s="2" t="str">
        <f>=HYPERLINK("http://img.alicdn.com/bao/uploaded/i1/O1CN01bVhU2t1dZ5woY9rgd_!!4611686018427387605-0-fleamarket.jpg_790x10000Q90.jpg_.webp", "img.alicdn.com/bao/uploaded/i1/O1CN01bVhU2t1dZ5woY9rgd_!!4611686018427387605-0-fleamarket.jpg_790x10000Q90.jpg_.webp")</f>
        <v>img.alicdn.com/bao/uploaded/i1/O1CN01bVhU2t1dZ5woY9rgd_!!4611686018427387605-0-fleamarket.jpg_790x10000Q90.jpg_.webp</v>
      </c>
      <c r="G60"/>
      <c r="H60" s="2" t="str">
        <f>=HYPERLINK("https://www.goofish.com/item?spm=a21ybx.personal.feeds.487.12e16ac2PYxLX9&amp;id=986229413477&amp;categoryId=50023914", "https://www.goofish.com/item?spm=a21ybx.personal.feeds.487.12e16ac2PYxLX9&amp;id=986229413477&amp;categoryId=50023914")</f>
        <v>https://www.goofish.com/item?spm=a21ybx.personal.feeds.487.12e16ac2PYxLX9&amp;id=986229413477&amp;categoryId=50023914</v>
      </c>
      <c r="I60"/>
      <c r="J60"/>
      <c r="K60"/>
    </row>
    <row r="61" ht="25.5" customHeight="1">
      <c r="A61" t="inlineStr">
        <is>
          <t>全国赛教学能力大赛实</t>
        </is>
      </c>
      <c r="B61">
        <v>90</v>
      </c>
      <c r="C61" s="2" t="str">
        <f>=HYPERLINK("http://宝子稍等片刻，资源正在路上", "宝子稍等片刻，资源正在路上")</f>
        <v>宝子稍等片刻，资源正在路上</v>
      </c>
      <c r="D61" t="inlineStr">
        <is>
          <t>是</t>
        </is>
      </c>
      <c r="E61" t="inlineStr">
        <is>
          <t>全国赛教学能力大赛实施报告PPT模板十二图汇报配图职业院校技能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1" s="2" t="str">
        <f>=HYPERLINK("http://img.alicdn.com/bao/uploaded/i3/O1CN01CQpTko1dZ5wuPT7GU_!!4611686018427387605-0-fleamarket.jpg_790x10000Q90.jpg_.webp", "img.alicdn.com/bao/uploaded/i3/O1CN01CQpTko1dZ5wuPT7GU_!!4611686018427387605-0-fleamarket.jpg_790x10000Q90.jpg_.webp")</f>
        <v>img.alicdn.com/bao/uploaded/i3/O1CN01CQpTko1dZ5wuPT7GU_!!4611686018427387605-0-fleamarket.jpg_790x10000Q90.jpg_.webp</v>
      </c>
      <c r="G61"/>
      <c r="H61" s="2" t="str">
        <f>=HYPERLINK("https://www.goofish.com/item?spm=a21ybx.personal.feeds.443.12e16ac2PYxLX9&amp;id=987346986432&amp;categoryId=50023914", "https://www.goofish.com/item?spm=a21ybx.personal.feeds.443.12e16ac2PYxLX9&amp;id=987346986432&amp;categoryId=50023914")</f>
        <v>https://www.goofish.com/item?spm=a21ybx.personal.feeds.443.12e16ac2PYxLX9&amp;id=987346986432&amp;categoryId=50023914</v>
      </c>
      <c r="I61"/>
      <c r="J61"/>
      <c r="K61"/>
    </row>
    <row r="62" ht="25.5" customHeight="1">
      <c r="A62" t="inlineStr">
        <is>
          <t>非遗文化PPT模板成</t>
        </is>
      </c>
      <c r="B62">
        <v>91</v>
      </c>
      <c r="C62" s="2" t="str">
        <f>=HYPERLINK("http://宝子稍等片刻，资源正在路上", "宝子稍等片刻，资源正在路上")</f>
        <v>宝子稍等片刻，资源正在路上</v>
      </c>
      <c r="D62" t="inlineStr">
        <is>
          <t>是</t>
        </is>
      </c>
      <c r="E62" t="inlineStr">
        <is>
          <t>非遗文化PPT模板成品课件保护项目知识宣传中国传统元素带内容ppt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2" s="2" t="str">
        <f>=HYPERLINK("http://img.alicdn.com/bao/uploaded/i3/O1CN011Na5nO1dZ5xEIJogw_!!4611686018427387605-0-fleamarket.jpg_790x10000Q90.jpg_.webp", "img.alicdn.com/bao/uploaded/i3/O1CN011Na5nO1dZ5xEIJogw_!!4611686018427387605-0-fleamarket.jpg_790x10000Q90.jpg_.webp")</f>
        <v>img.alicdn.com/bao/uploaded/i3/O1CN011Na5nO1dZ5xEIJogw_!!4611686018427387605-0-fleamarket.jpg_790x10000Q90.jpg_.webp</v>
      </c>
      <c r="G62"/>
      <c r="H62" s="2" t="str">
        <f>=HYPERLINK("https://www.goofish.com/item?spm=a21ybx.personal.feeds.205.12e16ac2PYxLX9&amp;id=992755850412&amp;categoryId=50023914", "https://www.goofish.com/item?spm=a21ybx.personal.feeds.205.12e16ac2PYxLX9&amp;id=992755850412&amp;categoryId=50023914")</f>
        <v>https://www.goofish.com/item?spm=a21ybx.personal.feeds.205.12e16ac2PYxLX9&amp;id=992755850412&amp;categoryId=50023914</v>
      </c>
      <c r="I62"/>
      <c r="J62"/>
      <c r="K62"/>
    </row>
    <row r="63" ht="25.5" customHeight="1">
      <c r="A63" t="inlineStr">
        <is>
          <t>旅游宣传PPT模板出</t>
        </is>
      </c>
      <c r="B63">
        <v>92</v>
      </c>
      <c r="C63" s="2" t="str">
        <f>=HYPERLINK("http://宝子稍等片刻，资源正在路上", "宝子稍等片刻，资源正在路上")</f>
        <v>宝子稍等片刻，资源正在路上</v>
      </c>
      <c r="D63" t="inlineStr">
        <is>
          <t>是</t>
        </is>
      </c>
      <c r="E63" t="inlineStr">
        <is>
          <t>旅游宣传PPT模板出行攻略旅行画册城市介绍景点文旅推广简约风格
——★24小时自动秒发百度网盘 ★——
——★24小时自动秒发百度网盘 ★——
——★24小时自动秒发百度网盘 ★——
精选118套旅游宣传PPT 城市介绍 规划攻略 景点宣传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3" s="2" t="str">
        <f>=HYPERLINK("http://img.alicdn.com/bao/uploaded/i3/O1CN011BoLn11dZ5x7866PT_!!4611686018427387605-0-fleamarket.jpg_790x10000Q90.jpg_.webp", "img.alicdn.com/bao/uploaded/i3/O1CN011BoLn11dZ5x7866PT_!!4611686018427387605-0-fleamarket.jpg_790x10000Q90.jpg_.webp")</f>
        <v>img.alicdn.com/bao/uploaded/i3/O1CN011BoLn11dZ5x7866PT_!!4611686018427387605-0-fleamarket.jpg_790x10000Q90.jpg_.webp</v>
      </c>
      <c r="G63"/>
      <c r="H63" s="2" t="str">
        <f>=HYPERLINK("https://www.goofish.com/item?spm=a21ybx.personal.feeds.336.12e16ac2PYxLX9&amp;id=992134284696&amp;categoryId=50023914", "https://www.goofish.com/item?spm=a21ybx.personal.feeds.336.12e16ac2PYxLX9&amp;id=992134284696&amp;categoryId=50023914")</f>
        <v>https://www.goofish.com/item?spm=a21ybx.personal.feeds.336.12e16ac2PYxLX9&amp;id=992134284696&amp;categoryId=50023914</v>
      </c>
      <c r="I63"/>
      <c r="J63"/>
      <c r="K63"/>
    </row>
    <row r="64" ht="25.5" customHeight="1">
      <c r="A64" t="inlineStr">
        <is>
          <t>爱国主题诗歌朗诵演讲</t>
        </is>
      </c>
      <c r="B64">
        <v>93</v>
      </c>
      <c r="C64" s="2" t="str">
        <f>=HYPERLINK("http://宝子稍等片刻，资源正在路上", "宝子稍等片刻，资源正在路上")</f>
        <v>宝子稍等片刻，资源正在路上</v>
      </c>
      <c r="D64" t="inlineStr">
        <is>
          <t>是</t>
        </is>
      </c>
      <c r="E64" t="inlineStr">
        <is>
          <t>爱国主题诗歌朗诵演讲比赛晚会舞台演出红歌led高清背景视频素材
——★24小时自动秒发百度网盘 ★——
——★24小时自动秒发百度网盘 ★——
——★24小时自动秒发百度网盘 ★——
演讲/朗诵视频合集
部分是:示范版(有人声)+配乐版(纯音乐)+MP3音乐+词稿
我们是高清像素!1920X1080!
像素很高!几米宽的显示屏也可使用!
全为MP4格式，均带伴奏视频，时长1-15分钟不等
218个背景视频全发您，很全!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4" s="2" t="str">
        <f>=HYPERLINK("http://img.alicdn.com/bao/uploaded/i1/O1CN01JZPG4i1dZ5wkU7eRp_!!4611686018427387605-0-fleamarket.jpg_790x10000Q90.jpg_.webp", "img.alicdn.com/bao/uploaded/i1/O1CN01JZPG4i1dZ5wkU7eRp_!!4611686018427387605-0-fleamarket.jpg_790x10000Q90.jpg_.webp")</f>
        <v>img.alicdn.com/bao/uploaded/i1/O1CN01JZPG4i1dZ5wkU7eRp_!!4611686018427387605-0-fleamarket.jpg_790x10000Q90.jpg_.webp</v>
      </c>
      <c r="G64"/>
      <c r="H64" s="2" t="str">
        <f>=HYPERLINK("https://www.goofish.com/item?spm=a21ybx.personal.feeds.498.12e16ac2PYxLX9&amp;id=985529520678&amp;categoryId=50023914", "https://www.goofish.com/item?spm=a21ybx.personal.feeds.498.12e16ac2PYxLX9&amp;id=985529520678&amp;categoryId=50023914")</f>
        <v>https://www.goofish.com/item?spm=a21ybx.personal.feeds.498.12e16ac2PYxLX9&amp;id=985529520678&amp;categoryId=50023914</v>
      </c>
      <c r="I64"/>
      <c r="J64"/>
      <c r="K64"/>
    </row>
    <row r="65" ht="25.5" customHeight="1">
      <c r="A65" t="inlineStr">
        <is>
          <t>2026年带农历丙午</t>
        </is>
      </c>
      <c r="B65">
        <v>94</v>
      </c>
      <c r="C65" s="2" t="str">
        <f>=HYPERLINK("http://宝子稍等片刻，资源正在路上", "宝子稍等片刻，资源正在路上")</f>
        <v>宝子稍等片刻，资源正在路上</v>
      </c>
      <c r="D65" t="inlineStr">
        <is>
          <t>是</t>
        </is>
      </c>
      <c r="E65" t="inlineStr">
        <is>
          <t>2026年带农历丙午年【马年】日历电子版文件素材高清可编辑excel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5" s="2" t="str">
        <f>=HYPERLINK("http://img.alicdn.com/bao/uploaded/i2/O1CN01Mz388x1dZ5x3GgWrX_!!4611686018427387605-0-fleamarket.jpg_790x10000Q90.jpg_.webp", "img.alicdn.com/bao/uploaded/i2/O1CN01Mz388x1dZ5x3GgWrX_!!4611686018427387605-0-fleamarket.jpg_790x10000Q90.jpg_.webp")</f>
        <v>img.alicdn.com/bao/uploaded/i2/O1CN01Mz388x1dZ5x3GgWrX_!!4611686018427387605-0-fleamarket.jpg_790x10000Q90.jpg_.webp</v>
      </c>
      <c r="G65"/>
      <c r="H65" s="2" t="str">
        <f>=HYPERLINK("https://www.goofish.com/item?spm=a21ybx.personal.feeds.358.12e16ac2PYxLX9&amp;id=991552412013&amp;categoryId=50023914", "https://www.goofish.com/item?spm=a21ybx.personal.feeds.358.12e16ac2PYxLX9&amp;id=991552412013&amp;categoryId=50023914")</f>
        <v>https://www.goofish.com/item?spm=a21ybx.personal.feeds.358.12e16ac2PYxLX9&amp;id=991552412013&amp;categoryId=50023914</v>
      </c>
      <c r="I65"/>
      <c r="J65"/>
      <c r="K65"/>
    </row>
    <row r="66" ht="25.5" customHeight="1">
      <c r="A66" t="inlineStr">
        <is>
          <t>疯狂动物城PPT模板</t>
        </is>
      </c>
      <c r="B66">
        <v>95</v>
      </c>
      <c r="C66" s="2" t="str">
        <f>=HYPERLINK("http://宝子稍等片刻，资源正在路上", "宝子稍等片刻，资源正在路上")</f>
        <v>宝子稍等片刻，资源正在路上</v>
      </c>
      <c r="D66" t="inlineStr">
        <is>
          <t>是</t>
        </is>
      </c>
      <c r="E66" t="inlineStr">
        <is>
          <t>疯狂动物城PPT模板影视介绍赏析推荐创意角色素材班会课件中英文
——★24小时自动秒发百度网盘 ★——
——★24小时自动秒发百度网盘 ★——
——★24小时自动秒发百度网盘 ★——
10套PPT疯狂动物城
影视介绍 电影赏析 主题班会 图片素材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6" s="2" t="str">
        <f>=HYPERLINK("http://img.alicdn.com/bao/uploaded/i2/O1CN01E6FcQF1dZ5xX0xSC0_!!4611686018427387605-0-fleamarket.jpg_790x10000Q90.jpg_.webp", "img.alicdn.com/bao/uploaded/i2/O1CN01E6FcQF1dZ5xX0xSC0_!!4611686018427387605-0-fleamarket.jpg_790x10000Q90.jpg_.webp")</f>
        <v>img.alicdn.com/bao/uploaded/i2/O1CN01E6FcQF1dZ5xX0xSC0_!!4611686018427387605-0-fleamarket.jpg_790x10000Q90.jpg_.webp</v>
      </c>
      <c r="G66"/>
      <c r="H66" s="2" t="str">
        <f>=HYPERLINK("https://www.goofish.com/item?spm=a21ybx.personal.feeds.32.12e16ac2PYxLX9&amp;id=999137226968&amp;categoryId=50023914", "https://www.goofish.com/item?spm=a21ybx.personal.feeds.32.12e16ac2PYxLX9&amp;id=999137226968&amp;categoryId=50023914")</f>
        <v>https://www.goofish.com/item?spm=a21ybx.personal.feeds.32.12e16ac2PYxLX9&amp;id=999137226968&amp;categoryId=50023914</v>
      </c>
      <c r="I66"/>
      <c r="J66"/>
      <c r="K66"/>
    </row>
    <row r="67" ht="25.5" customHeight="1">
      <c r="A67" t="inlineStr">
        <is>
          <t>儿童绘本故事PPT电</t>
        </is>
      </c>
      <c r="B67">
        <v>96</v>
      </c>
      <c r="C67" s="2" t="str">
        <f>=HYPERLINK("https://pan.baidu.com/s/1YZDBBU0V2kNIiDzpLSDv8w", "https://pan.baidu.com/s/1YZDBBU0V2kNIiDzpLSDv8w")</f>
        <v>https://pan.baidu.com/s/1YZDBBU0V2kNIiDzpLSDv8w</v>
      </c>
      <c r="D67" t="inlineStr">
        <is>
          <t>是</t>
        </is>
      </c>
      <c r="E67" t="inlineStr">
        <is>
          <t>儿童绘本故事PPT电子版幼儿园小学早教大中小班英语阅读课件教案
——★24小时自动秒发百度网盘 ★——
——★24小时自动秒发百度网盘 ★——
——★24小时自动秒发百度网盘 ★——
8900套儿童故事绘本 PPT+教案+绘本+动画
小班/中班/大班/小学绘本 今年新款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7" s="2" t="str">
        <f>=HYPERLINK("http://img.alicdn.com/bao/uploaded/i3/O1CN01IO6yEj1dZ5wyD6qmm_!!4611686018427387605-0-fleamarket.jpg_790x10000Q90.jpg_.webp", "img.alicdn.com/bao/uploaded/i3/O1CN01IO6yEj1dZ5wyD6qmm_!!4611686018427387605-0-fleamarket.jpg_790x10000Q90.jpg_.webp")</f>
        <v>img.alicdn.com/bao/uploaded/i3/O1CN01IO6yEj1dZ5wyD6qmm_!!4611686018427387605-0-fleamarket.jpg_790x10000Q90.jpg_.webp</v>
      </c>
      <c r="G67"/>
      <c r="H67" s="2" t="str">
        <f>=HYPERLINK("https://www.goofish.com/item?spm=a21ybx.personal.feeds.346.12e16ac2PYxLX9&amp;id=990876161430&amp;categoryId=50023914", "https://www.goofish.com/item?spm=a21ybx.personal.feeds.346.12e16ac2PYxLX9&amp;id=990876161430&amp;categoryId=50023914")</f>
        <v>https://www.goofish.com/item?spm=a21ybx.personal.feeds.346.12e16ac2PYxLX9&amp;id=990876161430&amp;categoryId=50023914</v>
      </c>
      <c r="I67"/>
      <c r="J67"/>
      <c r="K67"/>
    </row>
    <row r="68" ht="25.5" customHeight="1">
      <c r="A68" t="inlineStr">
        <is>
          <t>大学生个人职业生涯规</t>
        </is>
      </c>
      <c r="B68">
        <v>97</v>
      </c>
      <c r="C68" s="2" t="str">
        <f>=HYPERLINK("http://宝子稍等片刻，资源正在路上", "宝子稍等片刻，资源正在路上")</f>
        <v>宝子稍等片刻，资源正在路上</v>
      </c>
      <c r="D68" t="inlineStr">
        <is>
          <t>是</t>
        </is>
      </c>
      <c r="E68" t="inlineStr">
        <is>
          <t>大学生个人职业生涯规划书简约就业指导求职工作计划通用ppt模板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8" s="2" t="str">
        <f>=HYPERLINK("http://img.alicdn.com/bao/uploaded/i3/O1CN01xkkmvq1dZ5x8bNJ3Q_!!4611686018427387605-0-fleamarket.jpg_790x10000Q90.jpg_.webp", "img.alicdn.com/bao/uploaded/i3/O1CN01xkkmvq1dZ5x8bNJ3Q_!!4611686018427387605-0-fleamarket.jpg_790x10000Q90.jpg_.webp")</f>
        <v>img.alicdn.com/bao/uploaded/i3/O1CN01xkkmvq1dZ5x8bNJ3Q_!!4611686018427387605-0-fleamarket.jpg_790x10000Q90.jpg_.webp</v>
      </c>
      <c r="G68"/>
      <c r="H68" s="2" t="str">
        <f>=HYPERLINK("https://www.goofish.com/item?spm=a21ybx.personal.feeds.319.12e16ac2PYxLX9&amp;id=991146598294&amp;categoryId=50023914", "https://www.goofish.com/item?spm=a21ybx.personal.feeds.319.12e16ac2PYxLX9&amp;id=991146598294&amp;categoryId=50023914")</f>
        <v>https://www.goofish.com/item?spm=a21ybx.personal.feeds.319.12e16ac2PYxLX9&amp;id=991146598294&amp;categoryId=50023914</v>
      </c>
      <c r="I68"/>
      <c r="J68"/>
      <c r="K68"/>
    </row>
    <row r="69" ht="25.5" customHeight="1">
      <c r="A69" t="inlineStr">
        <is>
          <t>创赛PPT模板专用字</t>
        </is>
      </c>
      <c r="B69">
        <v>98</v>
      </c>
      <c r="C69" s="2" t="str">
        <f>=HYPERLINK("http://宝子稍等片刻，资源正在路上", "宝子稍等片刻，资源正在路上")</f>
        <v>宝子稍等片刻，资源正在路上</v>
      </c>
      <c r="D69" t="inlineStr">
        <is>
          <t>是</t>
        </is>
      </c>
      <c r="E69" t="inlineStr">
        <is>
          <t>创赛PPT模板专用字体包封面高级三创赛新创业大赛互联网加挑战杯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69" s="2" t="str">
        <f>=HYPERLINK("http://img.alicdn.com/bao/uploaded/i1/O1CN01Md3B5Q1dZ5x3NSLRI_!!4611686018427387605-0-fleamarket.jpg_790x10000Q90.jpg_.webp", "img.alicdn.com/bao/uploaded/i1/O1CN01Md3B5Q1dZ5x3NSLRI_!!4611686018427387605-0-fleamarket.jpg_790x10000Q90.jpg_.webp")</f>
        <v>img.alicdn.com/bao/uploaded/i1/O1CN01Md3B5Q1dZ5x3NSLRI_!!4611686018427387605-0-fleamarket.jpg_790x10000Q90.jpg_.webp</v>
      </c>
      <c r="G69"/>
      <c r="H69" s="2" t="str">
        <f>=HYPERLINK("https://www.goofish.com/item?spm=a21ybx.personal.feeds.364.12e16ac2PYxLX9&amp;id=990592765264&amp;categoryId=50023914", "https://www.goofish.com/item?spm=a21ybx.personal.feeds.364.12e16ac2PYxLX9&amp;id=990592765264&amp;categoryId=50023914")</f>
        <v>https://www.goofish.com/item?spm=a21ybx.personal.feeds.364.12e16ac2PYxLX9&amp;id=990592765264&amp;categoryId=50023914</v>
      </c>
      <c r="I69"/>
      <c r="J69"/>
      <c r="K69"/>
    </row>
    <row r="70" ht="25.5" customHeight="1">
      <c r="A70" t="inlineStr">
        <is>
          <t>教学能力大赛PPT比</t>
        </is>
      </c>
      <c r="B70">
        <v>99</v>
      </c>
      <c r="C70" s="2" t="str">
        <f>=HYPERLINK("http://宝子稍等片刻，资源正在路上", "宝子稍等片刻，资源正在路上")</f>
        <v>宝子稍等片刻，资源正在路上</v>
      </c>
      <c r="D70" t="inlineStr">
        <is>
          <t>是</t>
        </is>
      </c>
      <c r="E70" t="inlineStr">
        <is>
          <t>教学能力大赛PPT比赛说课实施报告创新教学设计架构全国职业院校
——★24小时自动秒发百度网盘 ★——
——★24小时自动秒发百度网盘 ★——
——★24小时自动秒发百度网盘 ★——
16套PPT教学能力大赛 老师和评委都喜欢看的汇报PPT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0" s="2" t="str">
        <f>=HYPERLINK("http://img.alicdn.com/bao/uploaded/i1/O1CN011zfU051dZ5x0mz91t_!!4611686018427387605-0-fleamarket.jpg_790x10000Q90.jpg_.webp", "img.alicdn.com/bao/uploaded/i1/O1CN011zfU051dZ5x0mz91t_!!4611686018427387605-0-fleamarket.jpg_790x10000Q90.jpg_.webp")</f>
        <v>img.alicdn.com/bao/uploaded/i1/O1CN011zfU051dZ5x0mz91t_!!4611686018427387605-0-fleamarket.jpg_790x10000Q90.jpg_.webp</v>
      </c>
      <c r="G70"/>
      <c r="H70" s="2" t="str">
        <f>=HYPERLINK("https://www.goofish.com/item?spm=a21ybx.personal.feeds.391.12e16ac2PYxLX9&amp;id=990051145288&amp;categoryId=50023914", "https://www.goofish.com/item?spm=a21ybx.personal.feeds.391.12e16ac2PYxLX9&amp;id=990051145288&amp;categoryId=50023914")</f>
        <v>https://www.goofish.com/item?spm=a21ybx.personal.feeds.391.12e16ac2PYxLX9&amp;id=990051145288&amp;categoryId=50023914</v>
      </c>
      <c r="I70"/>
      <c r="J70"/>
      <c r="K70"/>
    </row>
    <row r="71" ht="25.5" customHeight="1">
      <c r="A71" t="inlineStr">
        <is>
          <t>幼儿园讲故事PPT成</t>
        </is>
      </c>
      <c r="B71">
        <v>100</v>
      </c>
      <c r="C71" s="2" t="str">
        <f>=HYPERLINK("http://宝子稍等片刻，资源正在路上", "宝子稍等片刻，资源正在路上")</f>
        <v>宝子稍等片刻，资源正在路上</v>
      </c>
      <c r="D71" t="inlineStr">
        <is>
          <t>是</t>
        </is>
      </c>
      <c r="E71" t="inlineStr">
        <is>
          <t>幼儿园讲故事PPT成品含内容幼儿园老师家长进课堂故事资料素材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1" s="2" t="str">
        <f>=HYPERLINK("http://img.alicdn.com/bao/uploaded/i4/O1CN01rguB5z1dZ5wuqVvzZ_!!4611686018427387605-0-fleamarket.jpg_790x10000Q90.jpg_.webp", "img.alicdn.com/bao/uploaded/i4/O1CN01rguB5z1dZ5wuqVvzZ_!!4611686018427387605-0-fleamarket.jpg_790x10000Q90.jpg_.webp")</f>
        <v>img.alicdn.com/bao/uploaded/i4/O1CN01rguB5z1dZ5wuqVvzZ_!!4611686018427387605-0-fleamarket.jpg_790x10000Q90.jpg_.webp</v>
      </c>
      <c r="G71"/>
      <c r="H71" s="2" t="str">
        <f>=HYPERLINK("https://www.goofish.com/item?spm=a21ybx.personal.feeds.451.12e16ac2PYxLX9&amp;id=986798451751&amp;categoryId=50023914", "https://www.goofish.com/item?spm=a21ybx.personal.feeds.451.12e16ac2PYxLX9&amp;id=986798451751&amp;categoryId=50023914")</f>
        <v>https://www.goofish.com/item?spm=a21ybx.personal.feeds.451.12e16ac2PYxLX9&amp;id=986798451751&amp;categoryId=50023914</v>
      </c>
      <c r="I71"/>
      <c r="J71"/>
      <c r="K71"/>
    </row>
    <row r="72" ht="25.5" customHeight="1">
      <c r="A72" t="inlineStr">
        <is>
          <t>教师课堂放松神器抽奖</t>
        </is>
      </c>
      <c r="B72">
        <v>101</v>
      </c>
      <c r="C72" s="2" t="str">
        <f>=HYPERLINK("http://宝子稍等片刻，资源正在路上", "宝子稍等片刻，资源正在路上")</f>
        <v>宝子稍等片刻，资源正在路上</v>
      </c>
      <c r="D72" t="inlineStr">
        <is>
          <t>是</t>
        </is>
      </c>
      <c r="E72" t="inlineStr">
        <is>
          <t>教师课堂放松神器抽奖红包PPT模板砸金蛋转盘趣味互动游戏课件wps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2" s="2" t="str">
        <f>=HYPERLINK("http://img.alicdn.com/bao/uploaded/i1/O1CN01z80CQn1dZ5wup0fwo_!!4611686018427387605-2-fleamarket.png_790x10000.jpg_.webp", "img.alicdn.com/bao/uploaded/i1/O1CN01z80CQn1dZ5wup0fwo_!!4611686018427387605-2-fleamarket.png_790x10000.jpg_.webp")</f>
        <v>img.alicdn.com/bao/uploaded/i1/O1CN01z80CQn1dZ5wup0fwo_!!4611686018427387605-2-fleamarket.png_790x10000.jpg_.webp</v>
      </c>
      <c r="G72"/>
      <c r="H72" s="2" t="str">
        <f>=HYPERLINK("https://www.goofish.com/item?spm=a21ybx.personal.feeds.448.12e16ac2PYxLX9&amp;id=988784320838&amp;categoryId=50023914", "https://www.goofish.com/item?spm=a21ybx.personal.feeds.448.12e16ac2PYxLX9&amp;id=988784320838&amp;categoryId=50023914")</f>
        <v>https://www.goofish.com/item?spm=a21ybx.personal.feeds.448.12e16ac2PYxLX9&amp;id=988784320838&amp;categoryId=50023914</v>
      </c>
      <c r="I72"/>
      <c r="J72"/>
      <c r="K72"/>
    </row>
    <row r="73" ht="25.5" customHeight="1">
      <c r="A73" t="inlineStr">
        <is>
          <t>红色大气简约励志商务</t>
        </is>
      </c>
      <c r="B73">
        <v>102</v>
      </c>
      <c r="C73" s="2" t="str">
        <f>=HYPERLINK("http://宝子稍等片刻，资源正在路上", "宝子稍等片刻，资源正在路上")</f>
        <v>宝子稍等片刻，资源正在路上</v>
      </c>
      <c r="D73" t="inlineStr">
        <is>
          <t>是</t>
        </is>
      </c>
      <c r="E73" t="inlineStr">
        <is>
          <t>红色大气简约励志商务个人年终年中工作总结述职汇报动态ppt模板
——★24小时自动秒发百度网盘 ★——
——★24小时自动秒发百度网盘 ★——
——★24小时自动秒发百度网盘 ★——
包含45款 大小:670MB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3" s="2" t="str">
        <f>=HYPERLINK("http://img.alicdn.com/bao/uploaded/i1/O1CN01zmpyI81dZ5wsJEhCX_!!4611686018427387605-0-fleamarket.jpg_790x10000Q90.jpg_.webp", "img.alicdn.com/bao/uploaded/i1/O1CN01zmpyI81dZ5wsJEhCX_!!4611686018427387605-0-fleamarket.jpg_790x10000Q90.jpg_.webp")</f>
        <v>img.alicdn.com/bao/uploaded/i1/O1CN01zmpyI81dZ5wsJEhCX_!!4611686018427387605-0-fleamarket.jpg_790x10000Q90.jpg_.webp</v>
      </c>
      <c r="G73"/>
      <c r="H73" s="2" t="str">
        <f>=HYPERLINK("https://www.goofish.com/item?spm=a21ybx.personal.feeds.468.12e16ac2PYxLX9&amp;id=987779177319&amp;categoryId=50023914", "https://www.goofish.com/item?spm=a21ybx.personal.feeds.468.12e16ac2PYxLX9&amp;id=987779177319&amp;categoryId=50023914")</f>
        <v>https://www.goofish.com/item?spm=a21ybx.personal.feeds.468.12e16ac2PYxLX9&amp;id=987779177319&amp;categoryId=50023914</v>
      </c>
      <c r="I73"/>
      <c r="J73"/>
      <c r="K73"/>
    </row>
    <row r="74" ht="25.5" customHeight="1">
      <c r="A74" t="inlineStr">
        <is>
          <t>电商设计详情页模板淘</t>
        </is>
      </c>
      <c r="B74">
        <v>103</v>
      </c>
      <c r="C74" s="2" t="str">
        <f>=HYPERLINK("https://pan.baidu.com/s/15TH6O3uHLq-9ftRSL7-JGw", "https://pan.baidu.com/s/15TH6O3uHLq-9ftRSL7-JGw")</f>
        <v>https://pan.baidu.com/s/15TH6O3uHLq-9ftRSL7-JGw</v>
      </c>
      <c r="D74" t="inlineStr">
        <is>
          <t>是</t>
        </is>
      </c>
      <c r="E74" t="inlineStr">
        <is>
          <t>电商设计详情页模板淘宝商品主图店铺装修首页psd美工ps素材网店
——★24小时自动秒发百度网盘 ★——
——★24小时自动秒发百度网盘 ★——
——★24小时自动秒发百度网盘 ★——
4000套电商详情页 分层PSD+预览图 35类产品介绍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4" s="2" t="str">
        <f>=HYPERLINK("http://img.alicdn.com/bao/uploaded/i2/O1CN01XyFF9V1dZ5x6i5JFC_!!4611686018427387605-0-fleamarket.jpg_790x10000Q90.jpg_.webp", "img.alicdn.com/bao/uploaded/i2/O1CN01XyFF9V1dZ5x6i5JFC_!!4611686018427387605-0-fleamarket.jpg_790x10000Q90.jpg_.webp")</f>
        <v>img.alicdn.com/bao/uploaded/i2/O1CN01XyFF9V1dZ5x6i5JFC_!!4611686018427387605-0-fleamarket.jpg_790x10000Q90.jpg_.webp</v>
      </c>
      <c r="G74"/>
      <c r="H74" s="2" t="str">
        <f>=HYPERLINK("https://www.goofish.com/item?spm=a21ybx.personal.feeds.335.12e16ac2PYxLX9&amp;id=991443629845&amp;categoryId=50023914", "https://www.goofish.com/item?spm=a21ybx.personal.feeds.335.12e16ac2PYxLX9&amp;id=991443629845&amp;categoryId=50023914")</f>
        <v>https://www.goofish.com/item?spm=a21ybx.personal.feeds.335.12e16ac2PYxLX9&amp;id=991443629845&amp;categoryId=50023914</v>
      </c>
      <c r="I74"/>
      <c r="J74"/>
      <c r="K74"/>
    </row>
    <row r="75" ht="25.5" customHeight="1">
      <c r="A75" t="inlineStr">
        <is>
          <t>医学品管圈医疗医护理</t>
        </is>
      </c>
      <c r="B75">
        <v>104</v>
      </c>
      <c r="C75" s="2" t="str">
        <f>=HYPERLINK("http://宝子稍等片刻，资源正在路上", "宝子稍等片刻，资源正在路上")</f>
        <v>宝子稍等片刻，资源正在路上</v>
      </c>
      <c r="D75" t="inlineStr">
        <is>
          <t>是</t>
        </is>
      </c>
      <c r="E75" t="inlineStr">
        <is>
          <t>医学品管圈医疗医护理查房ppt模板医生护士病例工作汇报培训课件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5" s="2" t="str">
        <f>=HYPERLINK("http://img.alicdn.com/bao/uploaded/i1/O1CN01M6z5491dZ5wyX6Gmj_!!4611686018427387605-0-fleamarket.jpg_790x10000Q90.jpg_.webp", "img.alicdn.com/bao/uploaded/i1/O1CN01M6z5491dZ5wyX6Gmj_!!4611686018427387605-0-fleamarket.jpg_790x10000Q90.jpg_.webp")</f>
        <v>img.alicdn.com/bao/uploaded/i1/O1CN01M6z5491dZ5wyX6Gmj_!!4611686018427387605-0-fleamarket.jpg_790x10000Q90.jpg_.webp</v>
      </c>
      <c r="G75"/>
      <c r="H75" s="2" t="str">
        <f>=HYPERLINK("https://www.goofish.com/item?spm=a21ybx.personal.feeds.411.12e16ac2PYxLX9&amp;id=988549746797&amp;categoryId=50023914", "https://www.goofish.com/item?spm=a21ybx.personal.feeds.411.12e16ac2PYxLX9&amp;id=988549746797&amp;categoryId=50023914")</f>
        <v>https://www.goofish.com/item?spm=a21ybx.personal.feeds.411.12e16ac2PYxLX9&amp;id=988549746797&amp;categoryId=50023914</v>
      </c>
      <c r="I75"/>
      <c r="J75"/>
      <c r="K75"/>
    </row>
    <row r="76" ht="25.5" customHeight="1">
      <c r="A76" t="inlineStr">
        <is>
          <t>活跃气氛课前热身小游</t>
        </is>
      </c>
      <c r="B76">
        <v>105</v>
      </c>
      <c r="C76" s="2" t="str">
        <f>=HYPERLINK("http://宝子稍等片刻，资源正在路上", "宝子稍等片刻，资源正在路上")</f>
        <v>宝子稍等片刻，资源正在路上</v>
      </c>
      <c r="D76" t="inlineStr">
        <is>
          <t>是</t>
        </is>
      </c>
      <c r="E76" t="inlineStr">
        <is>
          <t>活跃气氛课前热身小游戏PPT破冰线上网课小游戏互动创意课堂游戏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6" s="2" t="str">
        <f>=HYPERLINK("http://img.alicdn.com/bao/uploaded/i3/O1CN01I1mFzw1dZ5wogAJUc_!!4611686018427387605-0-fleamarket.jpg_790x10000Q90.jpg_.webp", "img.alicdn.com/bao/uploaded/i3/O1CN01I1mFzw1dZ5wogAJUc_!!4611686018427387605-0-fleamarket.jpg_790x10000Q90.jpg_.webp")</f>
        <v>img.alicdn.com/bao/uploaded/i3/O1CN01I1mFzw1dZ5wogAJUc_!!4611686018427387605-0-fleamarket.jpg_790x10000Q90.jpg_.webp</v>
      </c>
      <c r="G76"/>
      <c r="H76" s="2" t="str">
        <f>=HYPERLINK("https://www.goofish.com/item?spm=a21ybx.personal.feeds.481.12e16ac2PYxLX9&amp;id=984952487130&amp;categoryId=50023914", "https://www.goofish.com/item?spm=a21ybx.personal.feeds.481.12e16ac2PYxLX9&amp;id=984952487130&amp;categoryId=50023914")</f>
        <v>https://www.goofish.com/item?spm=a21ybx.personal.feeds.481.12e16ac2PYxLX9&amp;id=984952487130&amp;categoryId=50023914</v>
      </c>
      <c r="I76"/>
      <c r="J76"/>
      <c r="K76"/>
    </row>
    <row r="77" ht="25.5" customHeight="1">
      <c r="A77" t="inlineStr">
        <is>
          <t>大学生国家奖学金竞选</t>
        </is>
      </c>
      <c r="B77">
        <v>106</v>
      </c>
      <c r="C77" s="2" t="str">
        <f>=HYPERLINK("http://宝子稍等片刻，资源正在路上", "宝子稍等片刻，资源正在路上")</f>
        <v>宝子稍等片刻，资源正在路上</v>
      </c>
      <c r="D77" t="inlineStr">
        <is>
          <t>是</t>
        </is>
      </c>
      <c r="E77" t="inlineStr">
        <is>
          <t>大学生国家奖学金竞选红色简约学术风励志导航栏国奖答辩ppt模板
——★24小时自动秒发百度网盘 ★——
——★24小时自动秒发百度网盘 ★——
——★24小时自动秒发百度网盘 ★——
高端精选250款国奖答辩PPT
大小:5GB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7" s="2" t="str">
        <f>=HYPERLINK("http://img.alicdn.com/bao/uploaded/i2/O1CN01qhwjve1dZ5wta1pkJ_!!4611686018427387605-0-fleamarket.jpg_790x10000Q90.jpg_.webp", "img.alicdn.com/bao/uploaded/i2/O1CN01qhwjve1dZ5wta1pkJ_!!4611686018427387605-0-fleamarket.jpg_790x10000Q90.jpg_.webp")</f>
        <v>img.alicdn.com/bao/uploaded/i2/O1CN01qhwjve1dZ5wta1pkJ_!!4611686018427387605-0-fleamarket.jpg_790x10000Q90.jpg_.webp</v>
      </c>
      <c r="G77"/>
      <c r="H77" s="2" t="str">
        <f>=HYPERLINK("https://www.goofish.com/item?spm=a21ybx.personal.feeds.460.12e16ac2PYxLX9&amp;id=987016574924&amp;categoryId=50023914", "https://www.goofish.com/item?spm=a21ybx.personal.feeds.460.12e16ac2PYxLX9&amp;id=987016574924&amp;categoryId=50023914")</f>
        <v>https://www.goofish.com/item?spm=a21ybx.personal.feeds.460.12e16ac2PYxLX9&amp;id=987016574924&amp;categoryId=50023914</v>
      </c>
      <c r="I77"/>
      <c r="J77"/>
      <c r="K77"/>
    </row>
    <row r="78" ht="25.5" customHeight="1">
      <c r="A78" t="inlineStr">
        <is>
          <t>职业规划大赛精选PP</t>
        </is>
      </c>
      <c r="B78">
        <v>107</v>
      </c>
      <c r="C78" s="2" t="str">
        <f>=HYPERLINK("http://宝子稍等片刻，资源正在路上", "宝子稍等片刻，资源正在路上")</f>
        <v>宝子稍等片刻，资源正在路上</v>
      </c>
      <c r="D78" t="inlineStr">
        <is>
          <t>是</t>
        </is>
      </c>
      <c r="E78" t="inlineStr">
        <is>
          <t>职业规划大赛精选PPT模版含计划书成长就业赛道获奖作品高级感
——★24小时自动秒发百度网盘 ★——
——★24小时自动秒发百度网盘 ★——
——★24小时自动秒发百度网盘 ★——
精选PPT模板399套 成长赛道+就业赛道+带导航栏
大学生职业规划大赛 PPT+WORD计划书 PPT含内容可编辑 24小时发网盘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8" s="2" t="str">
        <f>=HYPERLINK("http://img.alicdn.com/bao/uploaded/i3/O1CN01tn5sfE1dZ5xN6s2lb_!!4611686018427387605-0-fleamarket.jpg_790x10000Q90.jpg_.webp", "img.alicdn.com/bao/uploaded/i3/O1CN01tn5sfE1dZ5xN6s2lb_!!4611686018427387605-0-fleamarket.jpg_790x10000Q90.jpg_.webp")</f>
        <v>img.alicdn.com/bao/uploaded/i3/O1CN01tn5sfE1dZ5xN6s2lb_!!4611686018427387605-0-fleamarket.jpg_790x10000Q90.jpg_.webp</v>
      </c>
      <c r="G78"/>
      <c r="H78" s="2" t="str">
        <f>=HYPERLINK("https://www.goofish.com/item?spm=a21ybx.personal.feeds.106.12e16ac2PYxLX9&amp;id=995226486484&amp;categoryId=50023914", "https://www.goofish.com/item?spm=a21ybx.personal.feeds.106.12e16ac2PYxLX9&amp;id=995226486484&amp;categoryId=50023914")</f>
        <v>https://www.goofish.com/item?spm=a21ybx.personal.feeds.106.12e16ac2PYxLX9&amp;id=995226486484&amp;categoryId=50023914</v>
      </c>
      <c r="I78"/>
      <c r="J78"/>
      <c r="K78"/>
    </row>
    <row r="79" ht="25.5" customHeight="1">
      <c r="A79" t="inlineStr">
        <is>
          <t>科研学术文献汇报项目</t>
        </is>
      </c>
      <c r="B79">
        <v>108</v>
      </c>
      <c r="C79" s="2" t="str">
        <f>=HYPERLINK("http://宝子稍等片刻，资源正在路上", "宝子稍等片刻，资源正在路上")</f>
        <v>宝子稍等片刻，资源正在路上</v>
      </c>
      <c r="D79" t="inlineStr">
        <is>
          <t>是</t>
        </is>
      </c>
      <c r="E79" t="inlineStr">
        <is>
          <t>科研学术文献汇报项目组研究生人才职称申报开题报告答辩ppt模板
——★24小时自动秒发百度网盘 ★——
——★24小时自动秒发百度网盘 ★——
——★24小时自动秒发百度网盘 ★——
99款科研学术汇报PPT 大小:2.6GB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79" s="2" t="str">
        <f>=HYPERLINK("http://img.alicdn.com/bao/uploaded/i4/O1CN01bF9m4w1dZ5wtGchu5_!!4611686018427387605-0-fleamarket.jpg_790x10000Q90.jpg_.webp", "img.alicdn.com/bao/uploaded/i4/O1CN01bF9m4w1dZ5wtGchu5_!!4611686018427387605-0-fleamarket.jpg_790x10000Q90.jpg_.webp")</f>
        <v>img.alicdn.com/bao/uploaded/i4/O1CN01bF9m4w1dZ5wtGchu5_!!4611686018427387605-0-fleamarket.jpg_790x10000Q90.jpg_.webp</v>
      </c>
      <c r="G79"/>
      <c r="H79" s="2" t="str">
        <f>=HYPERLINK("https://www.goofish.com/item?spm=a21ybx.personal.feeds.453.12e16ac2PYxLX9&amp;id=988487908810&amp;categoryId=50023914", "https://www.goofish.com/item?spm=a21ybx.personal.feeds.453.12e16ac2PYxLX9&amp;id=988487908810&amp;categoryId=50023914")</f>
        <v>https://www.goofish.com/item?spm=a21ybx.personal.feeds.453.12e16ac2PYxLX9&amp;id=988487908810&amp;categoryId=50023914</v>
      </c>
      <c r="I79"/>
      <c r="J79"/>
      <c r="K79"/>
    </row>
    <row r="80" ht="25.5" customHeight="1">
      <c r="A80" t="inlineStr">
        <is>
          <t>齐了！国内AI提示词</t>
        </is>
      </c>
      <c r="B80">
        <v>109</v>
      </c>
      <c r="C80" s="2" t="str">
        <f>=HYPERLINK("https://pan.quark.cn/s/317de8408d94", "https://pan.quark.cn/s/317de8408d94")</f>
        <v>https://pan.quark.cn/s/317de8408d94</v>
      </c>
      <c r="D80" t="inlineStr">
        <is>
          <t>是</t>
        </is>
      </c>
      <c r="E80" t="inlineStr">
        <is>
          <t>齐了！国内AI提示词【指令】合集，工欲善其事必先利其器，模仿永远是高效的学习，高效内容创作的秘籍【指令+教程】，你值得拥有！
国内AI模型：豆包 Kimi 文心一言 混元 千问 多平台通用指令，同样的指令，根据不同账号定位会生成不同的内容！
有别于网上搜集那些比较水的指令提示词，有指令 有教程，​为内容创作
本集合提供了四十余套不同的指令，涵盖短视频几乎所有垂直细分赛道
虚拟商品，一经出售不退不换！
网盘发货，标价就是售价，需要直接拍 秒发货！
</t>
        </is>
      </c>
      <c r="F80" s="2" t="str">
        <f>=HYPERLINK("http://img.alicdn.com/bao/uploaded/i3/O1CN015X0TuB1gGGQBJ7ilY_!!4611686018427383762-53-fleamarket.heic_790x10000Q90.jpg_.webp", "img.alicdn.com/bao/uploaded/i3/O1CN015X0TuB1gGGQBJ7ilY_!!4611686018427383762-53-fleamarket.heic_790x10000Q90.jpg_.webp")</f>
        <v>img.alicdn.com/bao/uploaded/i3/O1CN015X0TuB1gGGQBJ7ilY_!!4611686018427383762-53-fleamarket.heic_790x10000Q90.jpg_.webp</v>
      </c>
      <c r="G80"/>
      <c r="H80" s="2" t="str">
        <f>=HYPERLINK("https://www.goofish.com/item?spm=a21ybx.search.searchFeedList.17.678761adKwsksx&amp;id=850245207696&amp;categoryId=201454708", "https://www.goofish.com/item?spm=a21ybx.search.searchFeedList.17.678761adKwsksx&amp;id=850245207696&amp;categoryId=201454708")</f>
        <v>https://www.goofish.com/item?spm=a21ybx.search.searchFeedList.17.678761adKwsksx&amp;id=850245207696&amp;categoryId=201454708</v>
      </c>
      <c r="I80"/>
      <c r="J80"/>
      <c r="K80"/>
    </row>
    <row r="81" ht="25.5" customHeight="1">
      <c r="A81" t="inlineStr">
        <is>
          <t>AI绘画提示词大全S</t>
        </is>
      </c>
      <c r="B81">
        <v>129</v>
      </c>
      <c r="C81" s="2" t="str">
        <f>=HYPERLINK("http://宝子稍等片刻，资源正在路上", "宝子稍等片刻，资源正在路上")</f>
        <v>宝子稍等片刻，资源正在路上</v>
      </c>
      <c r="D81" t="inlineStr">
        <is>
          <t>是</t>
        </is>
      </c>
      <c r="E81" t="inlineStr">
        <is>
          <t>AI绘画提示词大全SD提示词StableDiffusion提示词关键词咒语绘画案例
标价就是售价，拍下秒发货百度网盘
此商品因特殊性，售出后不支持退款，请大家看清楚后下单
</t>
        </is>
      </c>
      <c r="F81" s="2" t="str">
        <f>=HYPERLINK("http://img.alicdn.com/bao/uploaded/i1/O1CN01leY3Gs25AdywFogYI_!!4611686018427384830-53-fleamarket.heic_790x10000Q90.jpg_.webp", "img.alicdn.com/bao/uploaded/i1/O1CN01leY3Gs25AdywFogYI_!!4611686018427384830-53-fleamarket.heic_790x10000Q90.jpg_.webp")</f>
        <v>img.alicdn.com/bao/uploaded/i1/O1CN01leY3Gs25AdywFogYI_!!4611686018427384830-53-fleamarket.heic_790x10000Q90.jpg_.webp</v>
      </c>
      <c r="G81"/>
      <c r="H81" s="2" t="str">
        <f>=HYPERLINK("https://www.goofish.com/item?spm=a21ybx.search.searchFeedList.8.678761adKwsksx&amp;id=887802804739&amp;categoryId=201454708", "https://www.goofish.com/item?spm=a21ybx.search.searchFeedList.8.678761adKwsksx&amp;id=887802804739&amp;categoryId=201454708")</f>
        <v>https://www.goofish.com/item?spm=a21ybx.search.searchFeedList.8.678761adKwsksx&amp;id=887802804739&amp;categoryId=201454708</v>
      </c>
      <c r="I81"/>
      <c r="J81"/>
      <c r="K81"/>
    </row>
    <row r="82" ht="25.5" customHeight="1">
      <c r="A82" t="inlineStr">
        <is>
          <t xml:space="preserve">【提示词】TRAE </t>
        </is>
      </c>
      <c r="B82">
        <v>130</v>
      </c>
      <c r="C82" s="2" t="str">
        <f>=HYPERLINK("https://pan.baidu.com/s/1YranQ6OX7nJBPfGsP0Mw4w", "https://pan.baidu.com/s/1YranQ6OX7nJBPfGsP0Mw4w")</f>
        <v>https://pan.baidu.com/s/1YranQ6OX7nJBPfGsP0Mw4w</v>
      </c>
      <c r="D82" t="inlineStr">
        <is>
          <t>是</t>
        </is>
      </c>
      <c r="E82" t="inlineStr">
        <is>
          <t>【提示词】TRAE 通用6A规则提示词+敏捷开发5S规则提示词
功能说明:
✅让 AI 按照专业流程工作
✅确保需求理解准确无误
✅保证代码质量和可维护性
✅建立完善的文档体系
✅实现高效的团队协作
内容包含:
6A+5S 规则提示词
【温馨说明】
课程目录已详细附在宝贝描述中，关于内容的疑问建议先查看描述，减少重复咨询，效率更高哦~
【重要提醒】
本店仅售卖教学资料，不提供一对一指导服务，购买后需自行学习操作，介意慎拍~
【发货说明】
资料为电子版，拍下后24小时内通过度盘自动发送链接，请务必及时保存；虚拟商品一经拍下不支持退货，拍前请确认自身需求~
</t>
        </is>
      </c>
      <c r="F82" s="2" t="str">
        <f>=HYPERLINK("http://img.alicdn.com/bao/uploaded/i1/O1CN01B6Y7H61pov0ynSv90_!!4611686018427385776-0-fleamarket.jpg_790x10000Q90.jpg_.webp", "img.alicdn.com/bao/uploaded/i1/O1CN01B6Y7H61pov0ynSv90_!!4611686018427385776-0-fleamarket.jpg_790x10000Q90.jpg_.webp")</f>
        <v>img.alicdn.com/bao/uploaded/i1/O1CN01B6Y7H61pov0ynSv90_!!4611686018427385776-0-fleamarket.jpg_790x10000Q90.jpg_.webp</v>
      </c>
      <c r="G82"/>
      <c r="H82" s="2" t="str">
        <f>=HYPERLINK("https://www.goofish.com/item?spm=a21ybx.search.searchFeedList.22.678761adKwsksx&amp;id=978016350086&amp;categoryId=201453616", "https://www.goofish.com/item?spm=a21ybx.search.searchFeedList.22.678761adKwsksx&amp;id=978016350086&amp;categoryId=201453616")</f>
        <v>https://www.goofish.com/item?spm=a21ybx.search.searchFeedList.22.678761adKwsksx&amp;id=978016350086&amp;categoryId=201453616</v>
      </c>
      <c r="I82"/>
      <c r="J82"/>
      <c r="K82"/>
    </row>
    <row r="83" ht="25.5" customHeight="1">
      <c r="A83" t="inlineStr">
        <is>
          <t>Midjourney</t>
        </is>
      </c>
      <c r="B83">
        <v>131</v>
      </c>
      <c r="C83" s="2" t="str">
        <f>=HYPERLINK("http://宝子稍等片刻，资源正在路上", "宝子稍等片刻，资源正在路上")</f>
        <v>宝子稍等片刻，资源正在路上</v>
      </c>
      <c r="D83" t="inlineStr">
        <is>
          <t>是</t>
        </is>
      </c>
      <c r="E83" t="inlineStr">
        <is>
          <t>Midjourney咒语AI提示词ai生图咒语描述词MJ提示词热门词AI绘图
</t>
        </is>
      </c>
      <c r="F83" s="2" t="str">
        <f>=HYPERLINK("http://img.alicdn.com/bao/uploaded/i4/O1CN01Ndp8fZ1VFNsD7yW60_!!53-fleamarket.heic_790x10000Q90.jpg_.webp", "img.alicdn.com/bao/uploaded/i4/O1CN01Ndp8fZ1VFNsD7yW60_!!53-fleamarket.heic_790x10000Q90.jpg_.webp")</f>
        <v>img.alicdn.com/bao/uploaded/i4/O1CN01Ndp8fZ1VFNsD7yW60_!!53-fleamarket.heic_790x10000Q90.jpg_.webp</v>
      </c>
      <c r="G83"/>
      <c r="H83" s="2" t="str">
        <f>=HYPERLINK("https://www.goofish.com/item?spm=a21ybx.search.searchFeedList.17.678761adKwsksx&amp;id=837606072804&amp;categoryId=202034003", "https://www.goofish.com/item?spm=a21ybx.search.searchFeedList.17.678761adKwsksx&amp;id=837606072804&amp;categoryId=202034003")</f>
        <v>https://www.goofish.com/item?spm=a21ybx.search.searchFeedList.17.678761adKwsksx&amp;id=837606072804&amp;categoryId=202034003</v>
      </c>
      <c r="I83"/>
      <c r="J83"/>
      <c r="K83"/>
    </row>
    <row r="84" ht="25.5" customHeight="1">
      <c r="A84" t="inlineStr">
        <is>
          <t>【秒发】2025年即</t>
        </is>
      </c>
      <c r="B84">
        <v>132</v>
      </c>
      <c r="C84" s="2" t="str">
        <f>=HYPERLINK("http://宝子稍等片刻，资源正在路上", "宝子稍等片刻，资源正在路上")</f>
        <v>宝子稍等片刻，资源正在路上</v>
      </c>
      <c r="D84" t="inlineStr">
        <is>
          <t>是</t>
        </is>
      </c>
      <c r="E84" t="inlineStr">
        <is>
          <t>【秒发】2025年即梦AI生成视频指南系统教程讲解教程提示词大全
电子资料 售出不退 介意勿拍 感谢理解
</t>
        </is>
      </c>
      <c r="F84" s="2" t="str">
        <f>=HYPERLINK("http://img.alicdn.com/bao/uploaded/i4/O1CN01iLn8r21XlZ0juFHfO_!!4611686018427384900-0-fleamarket.jpg_790x10000Q90.jpg_.webp", "img.alicdn.com/bao/uploaded/i4/O1CN01iLn8r21XlZ0juFHfO_!!4611686018427384900-0-fleamarket.jpg_790x10000Q90.jpg_.webp")</f>
        <v>img.alicdn.com/bao/uploaded/i4/O1CN01iLn8r21XlZ0juFHfO_!!4611686018427384900-0-fleamarket.jpg_790x10000Q90.jpg_.webp</v>
      </c>
      <c r="G84"/>
      <c r="H84" s="2" t="str">
        <f>=HYPERLINK("https://www.goofish.com/item?spm=a21ybx.search.searchFeedList.29.678761adKwsksx&amp;id=949028303969&amp;categoryId=201459411", "https://www.goofish.com/item?spm=a21ybx.search.searchFeedList.29.678761adKwsksx&amp;id=949028303969&amp;categoryId=201459411")</f>
        <v>https://www.goofish.com/item?spm=a21ybx.search.searchFeedList.29.678761adKwsksx&amp;id=949028303969&amp;categoryId=201459411</v>
      </c>
      <c r="I84"/>
      <c r="J84"/>
      <c r="K84"/>
    </row>
    <row r="85" ht="25.5" customHeight="1">
      <c r="A85" t="inlineStr">
        <is>
          <t>【自动发货】2100</t>
        </is>
      </c>
      <c r="B85">
        <v>133</v>
      </c>
      <c r="C85" s="2" t="str">
        <f>=HYPERLINK("http://宝子稍等片刻，资源正在路上", "宝子稍等片刻，资源正在路上")</f>
        <v>宝子稍等片刻，资源正在路上</v>
      </c>
      <c r="D85" t="inlineStr">
        <is>
          <t>是</t>
        </is>
      </c>
      <c r="E85" t="inlineStr">
        <is>
          <t>【自动发货】2100+提示词模版|170+细分行业门类|小白秒变大神！
不知道大家发现没有，DeepSeek出来之后，各路大神都在研究它的各种玩法，教程一套接一套。
但其实对于大多数刚接触AI的小白来说，很多复杂或进阶的用法前期根本用不到。
我们更多是因为写文案、做内容、查资料这些文字需求，才开始接触DeepSeek、Kimi、豆包这类AI工具。
所以今天我就来分享一份实用、容易上手的提示词模版合集
你和AI达人间其实只差一套指令清晰，行业门类齐全的提示词模版
一键解锁文案、绘画、视频创作各场景！ 让DeepSeek、豆包、kimi、腾讯元宝等AI准确get你的需求！
小白公式套用，秒出高质量回答
说句题外话，这篇文案也是直接套用里面模版，秒出
夸克网盘发货，电子资料，发货后不退，介意勿拍</t>
        </is>
      </c>
      <c r="F85" s="2" t="str">
        <f>=HYPERLINK("http://img.alicdn.com/bao/uploaded/i3/O1CN01cNCYDy2IyeHh9WwC0_!!4611686018427386427-53-fleamarket.heic_790x10000Q90.jpg_.webp", "img.alicdn.com/bao/uploaded/i3/O1CN01cNCYDy2IyeHh9WwC0_!!4611686018427386427-53-fleamarket.heic_790x10000Q90.jpg_.webp")</f>
        <v>img.alicdn.com/bao/uploaded/i3/O1CN01cNCYDy2IyeHh9WwC0_!!4611686018427386427-53-fleamarket.heic_790x10000Q90.jpg_.webp</v>
      </c>
      <c r="G85"/>
      <c r="H85" s="2" t="str">
        <f>=HYPERLINK("https://www.goofish.com/item?spm=a21ybx.search.searchFeedList.2.678761adKwsksx&amp;id=974492090835&amp;categoryId=202036301", "https://www.goofish.com/item?spm=a21ybx.search.searchFeedList.2.678761adKwsksx&amp;id=974492090835&amp;categoryId=202036301")</f>
        <v>https://www.goofish.com/item?spm=a21ybx.search.searchFeedList.2.678761adKwsksx&amp;id=974492090835&amp;categoryId=202036301</v>
      </c>
      <c r="I85"/>
      <c r="J85"/>
      <c r="K85"/>
    </row>
    <row r="86" ht="25.5" customHeight="1">
      <c r="A86" t="inlineStr">
        <is>
          <t>【自动发货】ai提示</t>
        </is>
      </c>
      <c r="B86">
        <v>134</v>
      </c>
      <c r="C86" s="2" t="str">
        <f>=HYPERLINK("https://j6bhp2yux8.feishu.cn/docx/RbNgdXi6pomOvZxbZsycPxhpn83", "以下是发货内容： 以下为订单内容，请注意查收：  复制到浏览器打开： 基础版： https://j6bhp2yux8.feishu.cn/docx/RbNgdXi6pomOvZxbZsycPxhpn83 进阶版： https://j6bhp2yux8.feishu.cn/docx/NRo5dIjOWoinGixZD6XcX4IBnce 写作版： https://j6bhp2yux8.feishu.cn/docx/WyvVdc2GioHip0xznDucQTJMnJd  记得再来哦！！")</f>
        <v>以下是发货内容： 以下为订单内容，请注意查收：  复制到浏览器打开： 基础版： https://j6bhp2yux8.feishu.cn/docx/RbNgdXi6pomOvZxbZsycPxhpn83 进阶版： https://j6bhp2yux8.feishu.cn/docx/NRo5dIjOWoinGixZD6XcX4IBnce 写作版： https://j6bhp2yux8.feishu.cn/docx/WyvVdc2GioHip0xznDucQTJMnJd  记得再来哦！！</v>
      </c>
      <c r="D86" t="inlineStr">
        <is>
          <t>是</t>
        </is>
      </c>
      <c r="E86" t="inlineStr">
        <is>
          <t>【自动发货】ai提示词prompt指令大全/提示工程/AI对话指令/写作
【自动发货】ai提示词prompt指令大全/提示工程/AI对话指令/写作
①资料详情看下图(展示部分），都是精心整理的，分类清晰，内容丰富，拿来即用；
②你买的不只是一份资料，更是一种省时省力的快速做事方法，帮你节省时间和精力！
③需要的朋友点下方的“我想要”，不用问在不在，直接下单就行，拍下发度网盘链接。
</t>
        </is>
      </c>
      <c r="F86" s="2" t="str">
        <f>=HYPERLINK("http://img.alicdn.com/bao/uploaded/i2/O1CN01wzk09a1q4wrOXHPki_!!4611686018427382115-0-fleamarket.jpg_790x10000Q90.jpg_.webp", "img.alicdn.com/bao/uploaded/i2/O1CN01wzk09a1q4wrOXHPki_!!4611686018427382115-0-fleamarket.jpg_790x10000Q90.jpg_.webp")</f>
        <v>img.alicdn.com/bao/uploaded/i2/O1CN01wzk09a1q4wrOXHPki_!!4611686018427382115-0-fleamarket.jpg_790x10000Q90.jpg_.webp</v>
      </c>
      <c r="G86"/>
      <c r="H86" s="2" t="str">
        <f>=HYPERLINK("https://www.goofish.com/item?spm=a21ybx.search.searchFeedList.2.678761adKwsksx&amp;id=952568666857&amp;categoryId=201459411", "https://www.goofish.com/item?spm=a21ybx.search.searchFeedList.2.678761adKwsksx&amp;id=952568666857&amp;categoryId=201459411")</f>
        <v>https://www.goofish.com/item?spm=a21ybx.search.searchFeedList.2.678761adKwsksx&amp;id=952568666857&amp;categoryId=201459411</v>
      </c>
      <c r="I86"/>
      <c r="J86"/>
      <c r="K86"/>
    </row>
    <row r="87" ht="25.5" customHeight="1">
      <c r="A87" t="inlineStr">
        <is>
          <t>Deepseek 即</t>
        </is>
      </c>
      <c r="B87">
        <v>135</v>
      </c>
      <c r="C87" s="2" t="str">
        <f>=HYPERLINK("http://宝子稍等片刻，资源正在路上", "宝子稍等片刻，资源正在路上")</f>
        <v>宝子稍等片刻，资源正在路上</v>
      </c>
      <c r="D87" t="inlineStr">
        <is>
          <t>是</t>
        </is>
      </c>
      <c r="E87" t="inlineStr">
        <is>
          <t>Deepseek 即梦 可灵ai提示词 ai关键词 多种提示词文生视频图生视频
2025版本，国产大模型工具 内有几十多种生成提示词，多种形式的提示词，详图片介绍，还在艮薪中
简单易懂，打破信息差
不用高价，做原创其实很简单
各种类型关键词都有，少数没自己组合搭配，后续还会免费更新 ai提示词万能模板已更新，只需根据模板填写自己的想法便能生成喜欢的作品 里面还包括教程
【售后说明】因资料性质特殊易复制，一旦售出不退不换，请理解。
有兴趣的朋友请点“我想要”直接下单吧～
</t>
        </is>
      </c>
      <c r="F87" s="2" t="str">
        <f>=HYPERLINK("http://img.alicdn.com/bao/uploaded/i2/O1CN01HHv9f52L70iD1Iyp6_!!4611686018427384620-0-fleamarket.jpg_790x10000Q90.jpg_.webp", "img.alicdn.com/bao/uploaded/i2/O1CN01HHv9f52L70iD1Iyp6_!!4611686018427384620-0-fleamarket.jpg_790x10000Q90.jpg_.webp")</f>
        <v>img.alicdn.com/bao/uploaded/i2/O1CN01HHv9f52L70iD1Iyp6_!!4611686018427384620-0-fleamarket.jpg_790x10000Q90.jpg_.webp</v>
      </c>
      <c r="G87"/>
      <c r="H87" s="2" t="str">
        <f>=HYPERLINK("https://www.goofish.com/item?spm=a21ybx.search.searchFeedList.18.678761adKwsksx&amp;id=910141470242&amp;categoryId=202148345", "https://www.goofish.com/item?spm=a21ybx.search.searchFeedList.18.678761adKwsksx&amp;id=910141470242&amp;categoryId=202148345")</f>
        <v>https://www.goofish.com/item?spm=a21ybx.search.searchFeedList.18.678761adKwsksx&amp;id=910141470242&amp;categoryId=202148345</v>
      </c>
      <c r="I87"/>
      <c r="J87"/>
      <c r="K87"/>
    </row>
    <row r="88" ht="25.5" customHeight="1">
      <c r="A88" t="inlineStr">
        <is>
          <t>CLAUDE｜CUR</t>
        </is>
      </c>
      <c r="B88">
        <v>136</v>
      </c>
      <c r="C88" s="2" t="str">
        <f>=HYPERLINK("http://宝子稍等片刻，资源正在路上", "宝子稍等片刻，资源正在路上")</f>
        <v>宝子稍等片刻，资源正在路上</v>
      </c>
      <c r="D88" t="inlineStr">
        <is>
          <t>是</t>
        </is>
      </c>
      <c r="E88" t="inlineStr">
        <is>
          <t>CLAUDE｜CURSOR｜TRAE通用智能体项目开发提示词合集
介绍
文件包含61个智能体提示词，基本涵盖了开发过程中的各个环节和开发语言，这一套规则可以让Claude/Cursor/Trae变身为某一领域的专家，指导项目开发，减少幻觉并提高编程效率和代码质量。
这套智能体涵盖了：开发与架构专家、各种编程语言专家、运维专家、质量与安全专家、数据与人工智能开发专家、商业与市场专家等
智能体类别
开发与架构
后端架构师：设计RESTful API、微服务边界和数据库模式
前端开发者：构建React组件，实现响应式布局，处理客户端状态管理
UI/UX设计师：创建界面设计、线框图和设计系统
移动开发者：开发具有原生集成的React Native或Flutter应用
GraphQL架构师：设计GraphQL模式、解析器和联邦架构
架构评审员：审查代码变更，确保架构一致性和模式规范
语言专家
Python专家：编写具有高级特性和优化的地道Python代码
Ruby专家：编写地道Ruby代码，具备元编程、Rails模式、gem开发及测试框架能力
Golang专家：编写地道Go代码，熟练使用goroutine、channel和接口
Rust专家：编写地道Rust，掌握所有权模式、生命周期与trait实现
C语言专家：编写高效C代码，注重内存管理和系统调用
C++专家：编写地道C++代码，采用现代特性、RAII、智能指针与STL算法
JavaScript专家：精通现代JavaScript，掌握ES6+、异步模式和Node.js API
TypeScript专家：精通TypeScript，具备高级类型、泛型和严格类型安全
PHP专家：编写地道PHP代码，采用现代特性和性能优化
Java专家：精通现代Java，掌握流、并发和JVM优化
Elixir专家：编写地道Elixir代码，具备OTP模式、函数式编程和Phoenix框架经验
C#专家：编写现代C#代码，具备高级特性和.NET优化
Scala专家：精通企业级Scala开发，擅长函数式编程、分布式系统和大数据处理
Flutter专家：精通Flutter开发，掌握Dart、组件和平台集成
Unity开发者：构建Unity游戏，优化脚本和性能调优
Minecraft Bukkit专家：精通Minecraft服务器插件开发，熟悉Bukkit、Spigot和Paper API
IOS开发者：使用Swift/SwiftUI开发原生iOS应用
SQL专家：编写复杂SQL查询，优化执行计划，设计规范化模式
基础设施与运维
DevOps故障排查员：调试生产问题，分析日志，修复部署故障
部署工程师：配置CI/CD流水线、Docker容器和云端部署
云架构师：设计AWS/Azure/GCP基础设施并优化云成本
数据库优化师：优化SQL查询，设计高效索引，处理数据库迁移
数据库管理员：管理数据库运维、备份、复制和监控
Terraform专家：编写高级Terraform模块，管理状态文件，实现IaC实践
应急响应员：紧急且精准地处理生产事故
网络工程师：调试网络连接，配置负载均衡，分析流量模式
开发者体验优化师：提升开发者体验，优化工具、环境配置与工作流
质量与安全
code-reviewer：专家级代码审查，深度关注配置安全与生产可靠性
security-auditor：检查代码漏洞并确保符合OWASP标准
test-automator：创建全面的测试套件，包括单元、集成和端到端测试
performance-engineer：分析应用性能，优化瓶颈并实施缓存策略
debugger：错误、测试失败与异常行为的调试专家
error-detective：在日志与代码库中查找错误模式、堆栈跟踪及异常
search-specialist：使用高级搜索技术和综合分析的网络检索专家
数据与人工智能
data-scientist：SQL查询、BigQuery操作和数据洞察分析专家
data-engineer：构建ETL流程、数据仓库与流式架构
ai-engineer：构建LLM应用、RAG系统与提示管道
ml-engineer：实现机器学习流程、模型服务与特征工程
mlops-engineer：构建ML流程、实验跟踪与模型注册
prompt-engineer：优化LLM与AI系统的提示词
专业领域
api-documenter：创建OpenAPI/Swagger规范并编写开发者文档
payment-integration：集成Stripe、PayPal及支付处理器
quant-analyst：构建金融模型、回测交易策略并分析市场数据
risk-manager：监控投资组合风险、R-倍数及持仓限额
legacy-modernizer：重构遗留代码库并逐步实现现代化
context-manager：管理多代理与长时间任务的上下文
文档
docs-architect：基于现有代码库创建全面技术文档
mermaid-expert：创建流程图、时序图、ERD和架构的Mermaid图表
reference-builder：创建详尽的技术参考与API文档
tutorial-engineer：根据代码生成分步教程和教育内容
商业与市场
business-analyst：分析指标、制作报告并跟踪关键绩效指标
content-marketer：撰写博客文章、社交媒体内容与电子邮件简报
sales-automator：起草冷邮件、跟进邮件及提案模板
customer-support：处理支持工单、常见问题及客户邮件
legal-advisor：草拟隐私政策、服务条款、免责声明及法律声明
版权与授权声明：本文件夹中包含的61个专用Agent（以下简称"Agent集合"）仅为技术研究与学习交流目的整理，其中可能涉及的第三方代码、模型、文档或其他内容，其知识产权归原作者或合法权利人所有。使用者应自行核实相关内容的版权状态，确保已获得合法授权（如开源协议许可、原作者书面授权等），严禁未经许可将Agent集合用于商业用途或侵犯第三方知识产权的行为。若因版权问题产生纠纷，由使用者自行承担全部责任，与整理方无关。
【温馨说明】
所有提示词已经打包好，关于内容的疑问建议先查看描述，减少重复咨询，效率更高哦~
【重要提醒】
看清楚商品描述再下单，卖的是提示词，新手小白如果不懂或者不会设置建议不要下单，本店仅售卖教学资料，不提供一对一指导服务，购买后需自行学习操作，介意慎拍~
【发货说明】
资料为电子版，拍下后24小时内通过度盘自动发送链接，请务必及时保存；虚拟商品一经拍下不支持退货，拍前请确认自身需求~
</t>
        </is>
      </c>
      <c r="F88" s="2" t="str">
        <f>=HYPERLINK("http://img.alicdn.com/bao/uploaded/i2/O1CN015eOnCP1pov1USSCnv_!!4611686018427385776-0-fleamarket.jpg_790x10000Q90.jpg_.webp", "img.alicdn.com/bao/uploaded/i2/O1CN015eOnCP1pov1USSCnv_!!4611686018427385776-0-fleamarket.jpg_790x10000Q90.jpg_.webp")</f>
        <v>img.alicdn.com/bao/uploaded/i2/O1CN015eOnCP1pov1USSCnv_!!4611686018427385776-0-fleamarket.jpg_790x10000Q90.jpg_.webp</v>
      </c>
      <c r="G88"/>
      <c r="H88" s="2" t="str">
        <f>=HYPERLINK("https://www.goofish.com/item?spm=a21ybx.search.searchFeedList.5.678761adKwsksx&amp;id=988673573244&amp;categoryId=202034003", "https://www.goofish.com/item?spm=a21ybx.search.searchFeedList.5.678761adKwsksx&amp;id=988673573244&amp;categoryId=202034003")</f>
        <v>https://www.goofish.com/item?spm=a21ybx.search.searchFeedList.5.678761adKwsksx&amp;id=988673573244&amp;categoryId=202034003</v>
      </c>
      <c r="I88"/>
      <c r="J88"/>
      <c r="K88"/>
    </row>
    <row r="89" ht="25.5" customHeight="1">
      <c r="A89" t="inlineStr">
        <is>
          <t>【自动发货】300个</t>
        </is>
      </c>
      <c r="B89">
        <v>137</v>
      </c>
      <c r="C89" s="2" t="str">
        <f>=HYPERLINK("http://宝子稍等片刻，资源正在路上", "宝子稍等片刻，资源正在路上")</f>
        <v>宝子稍等片刻，资源正在路上</v>
      </c>
      <c r="D89" t="inlineStr">
        <is>
          <t>是</t>
        </is>
      </c>
      <c r="E89" t="inlineStr">
        <is>
          <t>【自动发货】300个去AI味提示词，让你写出高质量小说！
AI写的小说总感觉怪怪的？用这套提示词就能写出流畅自然的故事！
包含：
1.确保内容连贯，主题递进
2.确保情节连贯，故事递进
3.提升信息传达效率
4.强化逻辑与过渡的流畅性
5.调整语气适应不同场景
6.增强表达的精确性
7.注入生动的具体实例
8.保持句式变化与节奏感
9.确保情节连贯，故事递进
10.调整语言以适应不同角色
11.提升叙述节奏与张力
12.强化情节转折与过渡的流畅性
虚拟资料，售出不退不换，介意勿拍！</t>
        </is>
      </c>
      <c r="F89" s="2" t="str">
        <f>=HYPERLINK("http://img.alicdn.com/bao/uploaded/i1/O1CN01kE0L291ph8HstMAQI_!!4611686018427386351-0-fleamarket.jpg_790x10000Q90.jpg_.webp", "img.alicdn.com/bao/uploaded/i1/O1CN01kE0L291ph8HstMAQI_!!4611686018427386351-0-fleamarket.jpg_790x10000Q90.jpg_.webp")</f>
        <v>img.alicdn.com/bao/uploaded/i1/O1CN01kE0L291ph8HstMAQI_!!4611686018427386351-0-fleamarket.jpg_790x10000Q90.jpg_.webp</v>
      </c>
      <c r="G89"/>
      <c r="H89" s="2" t="str">
        <f>=HYPERLINK("https://www.goofish.com/item?spm=a21ybx.search.searchFeedList.17.678761adKwsksx&amp;id=985366486723&amp;categoryId=201459411", "https://www.goofish.com/item?spm=a21ybx.search.searchFeedList.17.678761adKwsksx&amp;id=985366486723&amp;categoryId=201459411")</f>
        <v>https://www.goofish.com/item?spm=a21ybx.search.searchFeedList.17.678761adKwsksx&amp;id=985366486723&amp;categoryId=201459411</v>
      </c>
      <c r="I89"/>
      <c r="J89"/>
      <c r="K89"/>
    </row>
    <row r="90" ht="25.5" customHeight="1">
      <c r="A90" t="inlineStr">
        <is>
          <t>秒发！Midjour</t>
        </is>
      </c>
      <c r="B90">
        <v>138</v>
      </c>
      <c r="C90" s="2" t="str">
        <f>=HYPERLINK("http://宝子稍等片刻，资源正在路上", "宝子稍等片刻，资源正在路上")</f>
        <v>宝子稍等片刻，资源正在路上</v>
      </c>
      <c r="D90" t="inlineStr">
        <is>
          <t>是</t>
        </is>
      </c>
      <c r="E90" t="inlineStr">
        <is>
          <t>秒发！Midjourney咒语AI提示词ai生图咒语MJ热门词AI绘画
问：这个是作图工具吗？
答：亲，这个只是绘图关键词和zhi令，并不是工具哦
问：这个是什么链接?
答：亲，这个链接是Midjourney案例型完整出图咒语包哦~里面有3000+张图片、530+套案例型完整出图咒语、以及免费分享的Tag关键词表格哦~
问：文件包中的图片可以商用吗?
答：亲，由于国内关于Al生成图片尚未有明确条文和法律定义，Al生成图片其背后使用的素材版权归属尚不明确，暂时不支持商业使用，建议同学们以学习交流的目的使用哦~
问：文件包如何使用?
答：亲，文件包中的图片您可以自行下载使用，关键词/咒语使用方法可以看下文件包中的教程哦~有其他问题欢迎来撩~
问：是完整咒语吗?
答：是的哦亲~都是完整的案例型出图咒语哈，同时包含中文和英文以及图片设定，修改性强，主体可以直接修改后使用哦~
问：发货问题?
答：亲，我们使用自动发货功能，在您付款后系统会自动发送网盘链接，您直接点开取货即可哦~发货后不支持以任何理由、任何形式的发起仅退款申请哦!请考虑清楚以后再下单~谢谢亲的理解~
关注或2人小刀拍下获取完整电子版资料，24小时网盘自动发货，注意，电子资料不退不换。
学姐资源均源自公开合法渠道，仅供阅读交流，无商业用途；版权归原作者或出版方所有；费用仅为搜集整理及存储成本，不承担版权责任；若版权方认为侵权，请即告知，将迅速删除，不涉赔偿，尊重版权。</t>
        </is>
      </c>
      <c r="F90" s="2" t="str">
        <f>=HYPERLINK("http://img.alicdn.com/bao/uploaded/i3/O1CN011ll6u82IOSzRC6x5r_!!4611686018427380076-53-fleamarket.heic_790x10000Q90.jpg_.webp", "img.alicdn.com/bao/uploaded/i3/O1CN011ll6u82IOSzRC6x5r_!!4611686018427380076-53-fleamarket.heic_790x10000Q90.jpg_.webp")</f>
        <v>img.alicdn.com/bao/uploaded/i3/O1CN011ll6u82IOSzRC6x5r_!!4611686018427380076-53-fleamarket.heic_790x10000Q90.jpg_.webp</v>
      </c>
      <c r="G90"/>
      <c r="H90" s="2" t="str">
        <f>=HYPERLINK("https://www.goofish.com/item?spm=a21ybx.search.searchFeedList.25.678761adKwsksx&amp;id=966074854107&amp;categoryId=201454708", "https://www.goofish.com/item?spm=a21ybx.search.searchFeedList.25.678761adKwsksx&amp;id=966074854107&amp;categoryId=201454708")</f>
        <v>https://www.goofish.com/item?spm=a21ybx.search.searchFeedList.25.678761adKwsksx&amp;id=966074854107&amp;categoryId=201454708</v>
      </c>
      <c r="I90"/>
      <c r="J90"/>
      <c r="K90"/>
    </row>
    <row r="91" ht="25.5" customHeight="1">
      <c r="A91" t="inlineStr">
        <is>
          <t>可灵1.6跳舞提示词</t>
        </is>
      </c>
      <c r="B91">
        <v>139</v>
      </c>
      <c r="C91" s="2" t="str">
        <f>=HYPERLINK("http://宝子稍等片刻，资源正在路上", "宝子稍等片刻，资源正在路上")</f>
        <v>宝子稍等片刻，资源正在路上</v>
      </c>
      <c r="D91" t="inlineStr">
        <is>
          <t>是</t>
        </is>
      </c>
      <c r="E91" t="inlineStr">
        <is>
          <t>可灵1.6跳舞提示词35套
都是进行实际操作过的，百分百真实。
AI火爆视频创作必备！精品跳舞提示词，赶紧入手，让你的创作用词更精准！
感兴趣的话直接拍24小时自动发货。</t>
        </is>
      </c>
      <c r="F91" s="2" t="str">
        <f>=HYPERLINK("http://img.alicdn.com/bao/uploaded/i1/O1CN01WztnhG1VDYKwbMtrb_!!4611686018427386795-0-fleamarket.jpg_790x10000Q90.jpg_.webp", "img.alicdn.com/bao/uploaded/i1/O1CN01WztnhG1VDYKwbMtrb_!!4611686018427386795-0-fleamarket.jpg_790x10000Q90.jpg_.webp")</f>
        <v>img.alicdn.com/bao/uploaded/i1/O1CN01WztnhG1VDYKwbMtrb_!!4611686018427386795-0-fleamarket.jpg_790x10000Q90.jpg_.webp</v>
      </c>
      <c r="G91"/>
      <c r="H91" s="2" t="str">
        <f>=HYPERLINK("https://www.goofish.com/item?spm=a21ybx.search.searchFeedList.9.678761adKwsksx&amp;id=898810530390&amp;categoryId=201459210", "https://www.goofish.com/item?spm=a21ybx.search.searchFeedList.9.678761adKwsksx&amp;id=898810530390&amp;categoryId=201459210")</f>
        <v>https://www.goofish.com/item?spm=a21ybx.search.searchFeedList.9.678761adKwsksx&amp;id=898810530390&amp;categoryId=201459210</v>
      </c>
      <c r="I91"/>
      <c r="J91"/>
      <c r="K91"/>
    </row>
    <row r="92" ht="25.5" customHeight="1">
      <c r="A92" t="inlineStr">
        <is>
          <t>【自动发货】2100</t>
        </is>
      </c>
      <c r="B92">
        <v>140</v>
      </c>
      <c r="C92" s="2" t="str">
        <f>=HYPERLINK("http://宝子稍等片刻，资源正在路上", "宝子稍等片刻，资源正在路上")</f>
        <v>宝子稍等片刻，资源正在路上</v>
      </c>
      <c r="D92" t="inlineStr">
        <is>
          <t>是</t>
        </is>
      </c>
      <c r="E92" t="inlineStr">
        <is>
          <t>【自动发货】2100+提示词模版|170+细分行业门类|小白秒变大神！
不知道大家发现没有，DeepSeek出来之后，各路大神都在研究它的各种玩法，教程一套接一套。
但其实对于大多数刚接触AI的小白来说，很多复杂或进阶的用法前期根本用不到。
我们更多是因为写文案、做内容、查资料这些文字需求，才开始接触DeepSeek、Kimi、豆包这类AI工具。
所以今天我就来分享一份实用、容易上手的提示词模版合集
你和AI达人间其实只差一套指令清晰，行业门类齐全的提示词模版
一键解锁文案、绘画、视频创作各场景！ 让DeepSeek、豆包、kimi、腾讯元宝等AI准确get你的需求！
小白公式套用，秒出高质量回答
说句题外话，这篇文案也是直接套用里面模版，秒出
夸克网盘发货，电子资料，发货后不退，介意勿拍
</t>
        </is>
      </c>
      <c r="F92" s="2" t="str">
        <f>=HYPERLINK("http://img.alicdn.com/bao/uploaded/i3/O1CN01dlbAJe1Vk4TYcAUau_!!4611686018427386834-0-fleamarket.jpg_790x10000Q90.jpg_.webp", "img.alicdn.com/bao/uploaded/i3/O1CN01dlbAJe1Vk4TYcAUau_!!4611686018427386834-0-fleamarket.jpg_790x10000Q90.jpg_.webp")</f>
        <v>img.alicdn.com/bao/uploaded/i3/O1CN01dlbAJe1Vk4TYcAUau_!!4611686018427386834-0-fleamarket.jpg_790x10000Q90.jpg_.webp</v>
      </c>
      <c r="G92"/>
      <c r="H92" s="2" t="str">
        <f>=HYPERLINK("https://www.goofish.com/item?spm=a21ybx.search.searchFeedList.18.678761adKwsksx&amp;id=921985936906&amp;categoryId=202036301", "https://www.goofish.com/item?spm=a21ybx.search.searchFeedList.18.678761adKwsksx&amp;id=921985936906&amp;categoryId=202036301")</f>
        <v>https://www.goofish.com/item?spm=a21ybx.search.searchFeedList.18.678761adKwsksx&amp;id=921985936906&amp;categoryId=202036301</v>
      </c>
      <c r="I92"/>
      <c r="J92"/>
      <c r="K92"/>
    </row>
    <row r="93" ht="25.5" customHeight="1">
      <c r="A93" t="inlineStr">
        <is>
          <t>只给你一个模板，其他</t>
        </is>
      </c>
      <c r="B93">
        <v>141</v>
      </c>
      <c r="C93" s="2" t="str">
        <f>=HYPERLINK("http://宝子稍等片刻，资源正在路上", "宝子稍等片刻，资源正在路上")</f>
        <v>宝子稍等片刻，资源正在路上</v>
      </c>
      <c r="D93" t="inlineStr">
        <is>
          <t>是</t>
        </is>
      </c>
      <c r="E93" t="inlineStr">
        <is>
          <t>只给你一个模板，其他都用自己的灵感来搭配提示词创作！
服务内容：
帮助您从0-精通使用suno制作自己专属的ai音乐
服务内容：
🎵 音乐人的秘密武器，终于公开了！
《Suno 提示词综合指南》正式发布｜网上那些自称一键生成提示词的智能体只是程序员的预先设定，并不能代表您的想法。只有用自己的灵感去搭配创作才会获得更好的生成体验。
打开 Suno，输入一句“lofi jazz with rain”，结果出来的旋律像电梯音乐？
不是你不会写提示词，是你没掌握真正的语法。
我们花了一年半，拆解了 5000+ 首 Suno 热榜神曲，逆向工程它们的提示词结构，同时创作和对比了上万首ai歌曲，
最终整理出这份——
📁 《Suno 提示词综合指南 v1.0》
这不是“提示词合集”，这是 Suno 的“作曲语法书”
✅ 各大音乐风格（Lo-fi、City Pop、Neo Soul、Dark Trap、Epic Orchestral…）
✅ 情绪+乐器+结构+音色等多维提示词列表
✅ 高级技巧：如何用“负向提示”避免雷区，如何用“风格融合”制造爆款
✅ 隐藏参数：Suno 官方没文档的“暗语”，我们帮你试出来了
🎧 音乐制作人：快速出demo，不再为“写提示词”卡壳
📀 内容创作者：BGM不再撞车，视频节奏精准卡点
🎮 游戏/播客/广告从业者：低成本定制爆款音乐，优化直播间听觉感受。
🧪 AI 音乐爱好者：快捷制作心仪的歌曲
写在最后: 这是一份为音乐爱好者和音乐人定制的提示词大全，几乎接近零成本。如果您喜欢，可以直接拍下宝贝并给卖家留言，卖家会直接发给您文档的下载链接。
</t>
        </is>
      </c>
      <c r="F93" s="2" t="str">
        <f>=HYPERLINK("http://img.alicdn.com/bao/uploaded/i3/O1CN01qAP7gs2DIRijTMlUu_!!4611686018427381018-0-fleamarket.jpg_790x10000Q90.jpg_.webp", "img.alicdn.com/bao/uploaded/i3/O1CN01qAP7gs2DIRijTMlUu_!!4611686018427381018-0-fleamarket.jpg_790x10000Q90.jpg_.webp")</f>
        <v>img.alicdn.com/bao/uploaded/i3/O1CN01qAP7gs2DIRijTMlUu_!!4611686018427381018-0-fleamarket.jpg_790x10000Q90.jpg_.webp</v>
      </c>
      <c r="G93"/>
      <c r="H93" s="2" t="str">
        <f>=HYPERLINK("https://www.goofish.com/item?spm=a21ybx.search.searchFeedList.13.678761adKwsksx&amp;id=988751334982&amp;categoryId=201451106", "https://www.goofish.com/item?spm=a21ybx.search.searchFeedList.13.678761adKwsksx&amp;id=988751334982&amp;categoryId=201451106")</f>
        <v>https://www.goofish.com/item?spm=a21ybx.search.searchFeedList.13.678761adKwsksx&amp;id=988751334982&amp;categoryId=201451106</v>
      </c>
      <c r="I93"/>
      <c r="J93"/>
      <c r="K93"/>
    </row>
    <row r="94" ht="25.5" customHeight="1">
      <c r="A94" t="inlineStr">
        <is>
          <t>【爆款文案选题神器】</t>
        </is>
      </c>
      <c r="B94">
        <v>142</v>
      </c>
      <c r="C94" s="2" t="str">
        <f>=HYPERLINK("http://宝子稍等片刻，资源正在路上", "宝子稍等片刻，资源正在路上")</f>
        <v>宝子稍等片刻，资源正在路上</v>
      </c>
      <c r="D94" t="inlineStr">
        <is>
          <t>是</t>
        </is>
      </c>
      <c r="E94" t="inlineStr">
        <is>
          <t>【爆款文案选题神器】薛辉8大智能体提示词×飞书多维表格｜输入
行业3秒生成爆款选题
啥是它？
就像请了个24小时在线的文案大神！把薛辉8大智能体塞进飞书表格，你只需要：
选一下你的行业（比如穿搭/美食/育儿）
点一下选题类型
哗啦啦出来10个选题文案！
8大选题方向，招招有用：
☑头牌选题——蹭热点一蹭一个准
☑最差选题——反向操作也能火
☑怀旧选题——让70后80后狂点赞
☑猎奇选题——刷到的人都会看完
☑荷尔蒙选题——自带流量密码
☑成本选题——“300块搞定XXX”实用党最爱
☑圈人群选题——精准拿捏宝妈/学生党
☑最差选题避雷版——帮你省下试错时间
适合谁用？
✓小红书/抖音运营人
✓自媒体博主
✓想搞副业的上班族
✓总是写不出文案的“困难户”
拍下就发货：
飞书模板及8大智能体提示词！之前拍过爆款选题的用户可以找我补差价升级成爆款文案ai智能体！！！
❗郑重说明：
虚拟产品，发货后不退哦，介意的话千万别拍，拍下视为同意此条款作为后续纠纷证据
#薛辉文案智能体 #自媒体必备 #文案神器 #8大智能体选题
网盘自动发货，有需要可以直接拍，虚拟产品不支持退款！
990379337637
</t>
        </is>
      </c>
      <c r="F94" s="2" t="str">
        <f>=HYPERLINK("http://img.alicdn.com/bao/uploaded/i1/O1CN01YHpp5l1v5vp4Bji5q_!!4611686018427385162-0-fleamarket.jpg_790x10000Q90.jpg_.webp", "img.alicdn.com/bao/uploaded/i1/O1CN01YHpp5l1v5vp4Bji5q_!!4611686018427385162-0-fleamarket.jpg_790x10000Q90.jpg_.webp")</f>
        <v>img.alicdn.com/bao/uploaded/i1/O1CN01YHpp5l1v5vp4Bji5q_!!4611686018427385162-0-fleamarket.jpg_790x10000Q90.jpg_.webp</v>
      </c>
      <c r="G94"/>
      <c r="H94" s="2" t="str">
        <f>=HYPERLINK("https://www.goofish.com/item?spm=a21ybx.search.searchFeedList.8.678761adKwsksx&amp;id=998250630523&amp;categoryId=202036301", "https://www.goofish.com/item?spm=a21ybx.search.searchFeedList.8.678761adKwsksx&amp;id=998250630523&amp;categoryId=202036301")</f>
        <v>https://www.goofish.com/item?spm=a21ybx.search.searchFeedList.8.678761adKwsksx&amp;id=998250630523&amp;categoryId=202036301</v>
      </c>
      <c r="I94"/>
      <c r="J94"/>
      <c r="K94"/>
    </row>
    <row r="95" ht="25.5" customHeight="1">
      <c r="A95" t="inlineStr">
        <is>
          <t>Al提示词大全Al提</t>
        </is>
      </c>
      <c r="B95">
        <v>143</v>
      </c>
      <c r="C95" s="2" t="str">
        <f>=HYPERLINK("http://宝子稍等片刻，资源正在路上", "宝子稍等片刻，资源正在路上")</f>
        <v>宝子稍等片刻，资源正在路上</v>
      </c>
      <c r="D95" t="inlineStr">
        <is>
          <t>是</t>
        </is>
      </c>
      <c r="E95" t="inlineStr">
        <is>
          <t>Al提示词大全Al提示词教程 Al指令Prompt即梦KIMI豆包DEEPSEEK
AI绘画关键词汇总 SD、MJ描述词
AI提示词底层逻辑
AI自动生成PPT
如何去除AI味
ACGG结构化提示词专业课,人工智能必修课提示工程入门
优质AI提示词 解决写作难题 轻松高效
【真更新】一次购买长期受益 无需二次付费
直接小刀秒发货 百度网盘观看
</t>
        </is>
      </c>
      <c r="F95" s="2" t="str">
        <f>=HYPERLINK("http://img.alicdn.com/bao/uploaded/i1/O1CN01BNEihF26fcQFVS92G_!!4611686018427382825-53-fleamarket.heic_790x10000Q90.jpg_.webp", "img.alicdn.com/bao/uploaded/i1/O1CN01BNEihF26fcQFVS92G_!!4611686018427382825-53-fleamarket.heic_790x10000Q90.jpg_.webp")</f>
        <v>img.alicdn.com/bao/uploaded/i1/O1CN01BNEihF26fcQFVS92G_!!4611686018427382825-53-fleamarket.heic_790x10000Q90.jpg_.webp</v>
      </c>
      <c r="G95"/>
      <c r="H95" s="2" t="str">
        <f>=HYPERLINK("https://www.goofish.com/item?spm=a21ybx.search.searchFeedList.13.678761adKwsksx&amp;id=951786701861&amp;categoryId=202152829", "https://www.goofish.com/item?spm=a21ybx.search.searchFeedList.13.678761adKwsksx&amp;id=951786701861&amp;categoryId=202152829")</f>
        <v>https://www.goofish.com/item?spm=a21ybx.search.searchFeedList.13.678761adKwsksx&amp;id=951786701861&amp;categoryId=202152829</v>
      </c>
      <c r="I95"/>
      <c r="J95"/>
      <c r="K95"/>
    </row>
    <row r="96" ht="25.5" customHeight="1">
      <c r="A96" t="inlineStr">
        <is>
          <t>只给你一个模板，其他</t>
        </is>
      </c>
      <c r="B96">
        <v>149</v>
      </c>
      <c r="C96" s="2" t="str">
        <f>=HYPERLINK("http://宝子稍等片刻，资源正在路上", "宝子稍等片刻，资源正在路上")</f>
        <v>宝子稍等片刻，资源正在路上</v>
      </c>
      <c r="D96" t="inlineStr">
        <is>
          <t>是</t>
        </is>
      </c>
      <c r="E96" t="inlineStr">
        <is>
          <t>只给你一个模板，其他都用自己的灵感来搭配提示词创作！
服务内容：
帮助您从0-精通使用suno制作自己专属的ai音乐
服务内容：
🎵 音乐人的秘密武器，终于公开了！
《Suno 提示词综合指南》正式发布｜网上那些自称一键生成提示词的智能体只是程序员的预先设定，并不能代表您的想法。只有用自己的灵感去搭配创作才会获得更好的生成体验。
打开 Suno，输入一句“lofi jazz with rain”，结果出来的旋律像电梯音乐？
不是你不会写提示词，是你没掌握真正的语法。
我们花了一年半，拆解了 5000+ 首 Suno 热榜神曲，逆向工程它们的提示词结构，同时创作和对比了上万首ai歌曲，
最终整理出这份——
📁 《Suno 提示词综合指南 v1.0》
这不是“提示词合集”，这是 Suno 的“作曲语法书”
✅ 各大音乐风格（Lo-fi、City Pop、Neo Soul、Dark Trap、Epic Orchestral…）
✅ 情绪+乐器+结构+音色等多维提示词列表
✅ 高级技巧：如何用“负向提示”避免雷区，如何用“风格融合”制造爆款
✅ 隐藏参数：Suno 官方没文档的“暗语”，我们帮你试出来了
🎧 音乐制作人：快速出demo，不再为“写提示词”卡壳
📀 内容创作者：BGM不再撞车，视频节奏精准卡点
🎮 游戏/播客/广告从业者：低成本定制爆款音乐，优化直播间听觉感受。
🧪 AI 音乐爱好者：快捷制作心仪的歌曲
写在最后: 这是一份为音乐爱好者和音乐人定制的提示词大全，几乎接近零成本。如果您喜欢，可以直接拍下宝贝并给卖家留言，卖家会直接发给您文档的下载链接。
</t>
        </is>
      </c>
      <c r="F96" s="2" t="str">
        <f>=HYPERLINK("http://img.alicdn.com/bao/uploaded/i3/O1CN01qAP7gs2DIRijTMlUu_!!4611686018427381018-0-fleamarket.jpg_790x10000Q90.jpg_.webp", "img.alicdn.com/bao/uploaded/i3/O1CN01qAP7gs2DIRijTMlUu_!!4611686018427381018-0-fleamarket.jpg_790x10000Q90.jpg_.webp")</f>
        <v>img.alicdn.com/bao/uploaded/i3/O1CN01qAP7gs2DIRijTMlUu_!!4611686018427381018-0-fleamarket.jpg_790x10000Q90.jpg_.webp</v>
      </c>
      <c r="G96"/>
      <c r="H96" s="2" t="str">
        <f>=HYPERLINK("https://www.goofish.com/item?spm=a21ybx.search.searchFeedList.13.678761adKwsksx&amp;id=988751334982&amp;categoryId=201451106", "https://www.goofish.com/item?spm=a21ybx.search.searchFeedList.13.678761adKwsksx&amp;id=988751334982&amp;categoryId=201451106")</f>
        <v>https://www.goofish.com/item?spm=a21ybx.search.searchFeedList.13.678761adKwsksx&amp;id=988751334982&amp;categoryId=201451106</v>
      </c>
      <c r="I96"/>
      <c r="J96"/>
      <c r="K96"/>
    </row>
    <row r="97" ht="25.5" customHeight="1">
      <c r="A97" t="inlineStr">
        <is>
          <t>Al提示词大全Al提</t>
        </is>
      </c>
      <c r="B97">
        <v>150</v>
      </c>
      <c r="C97" s="2" t="str">
        <f>=HYPERLINK("http://宝子稍等片刻，资源正在路上", "宝子稍等片刻，资源正在路上")</f>
        <v>宝子稍等片刻，资源正在路上</v>
      </c>
      <c r="D97" t="inlineStr">
        <is>
          <t>是</t>
        </is>
      </c>
      <c r="E97" t="inlineStr">
        <is>
          <t>Al提示词大全Al提示词教程 Al指令Prompt即梦KIMI豆包DEEPSEEK
AI绘画关键词汇总 SD、MJ描述词
AI提示词底层逻辑
AI自动生成PPT
如何去除AI味
ACGG结构化提示词专业课,人工智能必修课提示工程入门
优质AI提示词 解决写作难题 轻松高效
【真更新】一次购买长期受益 无需二次付费
直接小刀秒发货 百度网盘观看</t>
        </is>
      </c>
      <c r="F97" s="2" t="str">
        <f>=HYPERLINK("http://img.alicdn.com/bao/uploaded/i1/O1CN01BNEihF26fcQFVS92G_!!4611686018427382825-53-fleamarket.heic_790x10000Q90.jpg_.webp", "img.alicdn.com/bao/uploaded/i1/O1CN01BNEihF26fcQFVS92G_!!4611686018427382825-53-fleamarket.heic_790x10000Q90.jpg_.webp")</f>
        <v>img.alicdn.com/bao/uploaded/i1/O1CN01BNEihF26fcQFVS92G_!!4611686018427382825-53-fleamarket.heic_790x10000Q90.jpg_.webp</v>
      </c>
      <c r="G97"/>
      <c r="H97" s="2" t="str">
        <f>=HYPERLINK("https://www.goofish.com/item?spm=a21ybx.search.searchFeedList.13.678761adKwsksx&amp;id=951786701861&amp;categoryId=202152829", "https://www.goofish.com/item?spm=a21ybx.search.searchFeedList.13.678761adKwsksx&amp;id=951786701861&amp;categoryId=202152829")</f>
        <v>https://www.goofish.com/item?spm=a21ybx.search.searchFeedList.13.678761adKwsksx&amp;id=951786701861&amp;categoryId=202152829</v>
      </c>
      <c r="I97"/>
      <c r="J97"/>
      <c r="K97"/>
    </row>
    <row r="98" ht="25.5" customHeight="1">
      <c r="A98" t="inlineStr">
        <is>
          <t>成语故事ppt模板成</t>
        </is>
      </c>
      <c r="B98">
        <v>151</v>
      </c>
      <c r="C98" s="2" t="str">
        <f>=HYPERLINK("http://宝子稍等片刻，资源正在路上", "宝子稍等片刻，资源正在路上")</f>
        <v>宝子稍等片刻，资源正在路上</v>
      </c>
      <c r="D98" t="inlineStr">
        <is>
          <t>是</t>
        </is>
      </c>
      <c r="E98" t="inlineStr">
        <is>
          <t>成语故事ppt模板成品课件幼儿园小学生儿童讲解素材寓言教师说课
——★24小时自动秒发百度网盘 ★——
——★24小时自动秒发百度网盘 ★——
——★24小时自动秒发百度网盘 ★——
1600套成语故事PPT 成品课件 内容完整 直接可用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98" s="2" t="str">
        <f>=HYPERLINK("http://img.alicdn.com/bao/uploaded/i3/O1CN01yNvfQK1dZ5xAyfH2V_!!4611686018427387605-0-fleamarket.jpg_790x10000Q90.jpg_.webp", "img.alicdn.com/bao/uploaded/i3/O1CN01yNvfQK1dZ5xAyfH2V_!!4611686018427387605-0-fleamarket.jpg_790x10000Q90.jpg_.webp")</f>
        <v>img.alicdn.com/bao/uploaded/i3/O1CN01yNvfQK1dZ5xAyfH2V_!!4611686018427387605-0-fleamarket.jpg_790x10000Q90.jpg_.webp</v>
      </c>
      <c r="G98"/>
      <c r="H98" s="2" t="str">
        <f>=HYPERLINK("https://www.goofish.com/item?spm=a21ybx.personal.feeds.306.12e16ac2PYxLX9&amp;id=993217612606&amp;categoryId=50023914", "https://www.goofish.com/item?spm=a21ybx.personal.feeds.306.12e16ac2PYxLX9&amp;id=993217612606&amp;categoryId=50023914")</f>
        <v>https://www.goofish.com/item?spm=a21ybx.personal.feeds.306.12e16ac2PYxLX9&amp;id=993217612606&amp;categoryId=50023914</v>
      </c>
      <c r="I98"/>
      <c r="J98"/>
      <c r="K98"/>
    </row>
    <row r="99" ht="25.5" customHeight="1">
      <c r="A99" t="inlineStr">
        <is>
          <t>公司企业活动宣传产品</t>
        </is>
      </c>
      <c r="B99">
        <v>152</v>
      </c>
      <c r="C99" s="2" t="str">
        <f>=HYPERLINK("http://宝子稍等片刻，资源正在路上", "宝子稍等片刻，资源正在路上")</f>
        <v>宝子稍等片刻，资源正在路上</v>
      </c>
      <c r="D99" t="inlineStr">
        <is>
          <t>是</t>
        </is>
      </c>
      <c r="E99" t="inlineStr">
        <is>
          <t>公司企业活动宣传产品手册AI设计DM传单海报CDR三折页模板PSD素材
——★24小时自动秒发百度网盘 ★——
15秒发送云盘链接下载 包含9999款 大小:54GB PSD/CDR/AI格式 分层图案素材
宝贝秒拍秒发，如果没有及时回复可以先拍下来看是否需要和满意，不满意没有需要直接退款即可，上线会立即处理，您放心。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99" s="2" t="str">
        <f>=HYPERLINK("http://img.alicdn.com/bao/uploaded/i2/O1CN01ehxFDt1dZ5w8SlvsQ_!!4611686018427387605-0-fleamarket.jpg_790x10000Q90.jpg_.webp", "img.alicdn.com/bao/uploaded/i2/O1CN01ehxFDt1dZ5w8SlvsQ_!!4611686018427387605-0-fleamarket.jpg_790x10000Q90.jpg_.webp")</f>
        <v>img.alicdn.com/bao/uploaded/i2/O1CN01ehxFDt1dZ5w8SlvsQ_!!4611686018427387605-0-fleamarket.jpg_790x10000Q90.jpg_.webp</v>
      </c>
      <c r="G99"/>
      <c r="H99" s="2" t="str">
        <f>=HYPERLINK("https://www.goofish.com/item?spm=a21ybx.personal.feeds.274.12e16ac2PYxLX9&amp;id=971809642996&amp;categoryId=50023914", "https://www.goofish.com/item?spm=a21ybx.personal.feeds.274.12e16ac2PYxLX9&amp;id=971809642996&amp;categoryId=50023914")</f>
        <v>https://www.goofish.com/item?spm=a21ybx.personal.feeds.274.12e16ac2PYxLX9&amp;id=971809642996&amp;categoryId=50023914</v>
      </c>
      <c r="I99"/>
      <c r="J99"/>
      <c r="K99"/>
    </row>
    <row r="100" ht="25.5" customHeight="1">
      <c r="A100" t="inlineStr">
        <is>
          <t>时间轴ppt模板公司</t>
        </is>
      </c>
      <c r="B100">
        <v>153</v>
      </c>
      <c r="C100" s="2" t="str">
        <f>=HYPERLINK("http://宝子稍等片刻，资源正在路上", "宝子稍等片刻，资源正在路上")</f>
        <v>宝子稍等片刻，资源正在路上</v>
      </c>
      <c r="D100" t="inlineStr">
        <is>
          <t>是</t>
        </is>
      </c>
      <c r="E100" t="inlineStr">
        <is>
          <t>时间轴ppt模板公司发展历程大事件历史时间线工作汇报告项目进程
——★24小时自动秒发百度网盘 ★——
——★24小时自动秒发百度网盘 ★——
——★24小时自动秒发百度网盘 ★——
310套时间轴PPT 多风格 可编辑
发展历程 项目进度 历史演变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0" s="2" t="str">
        <f>=HYPERLINK("http://img.alicdn.com/bao/uploaded/i3/O1CN0184PsNy1dZ5x0Ppl4V_!!4611686018427387605-0-fleamarket.jpg_790x10000Q90.jpg_.webp", "img.alicdn.com/bao/uploaded/i3/O1CN0184PsNy1dZ5x0Ppl4V_!!4611686018427387605-0-fleamarket.jpg_790x10000Q90.jpg_.webp")</f>
        <v>img.alicdn.com/bao/uploaded/i3/O1CN0184PsNy1dZ5x0Ppl4V_!!4611686018427387605-0-fleamarket.jpg_790x10000Q90.jpg_.webp</v>
      </c>
      <c r="G100"/>
      <c r="H100" s="2" t="str">
        <f>=HYPERLINK("https://www.goofish.com/item?spm=a21ybx.personal.feeds.406.12e16ac2PYxLX9&amp;id=989027302177&amp;categoryId=50023914", "https://www.goofish.com/item?spm=a21ybx.personal.feeds.406.12e16ac2PYxLX9&amp;id=989027302177&amp;categoryId=50023914")</f>
        <v>https://www.goofish.com/item?spm=a21ybx.personal.feeds.406.12e16ac2PYxLX9&amp;id=989027302177&amp;categoryId=50023914</v>
      </c>
      <c r="I100"/>
      <c r="J100"/>
      <c r="K100"/>
    </row>
    <row r="101" ht="25.5" customHeight="1">
      <c r="A101" t="inlineStr">
        <is>
          <t>全国高校教师教学创新</t>
        </is>
      </c>
      <c r="B101">
        <v>154</v>
      </c>
      <c r="C101" s="2" t="str">
        <f>=HYPERLINK("http://宝子稍等片刻，资源正在路上", "宝子稍等片刻，资源正在路上")</f>
        <v>宝子稍等片刻，资源正在路上</v>
      </c>
      <c r="D101" t="inlineStr">
        <is>
          <t>是</t>
        </is>
      </c>
      <c r="E101" t="inlineStr">
        <is>
          <t>全国高校教师教学创新大赛ppt课堂实录视频设计汇报告获奖申报书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1" s="2" t="str">
        <f>=HYPERLINK("http://img.alicdn.com/bao/uploaded/i3/O1CN01Eg20Pf1dZ5wyD08LR_!!4611686018427387605-0-fleamarket.jpg_790x10000Q90.jpg_.webp", "img.alicdn.com/bao/uploaded/i3/O1CN01Eg20Pf1dZ5wyD08LR_!!4611686018427387605-0-fleamarket.jpg_790x10000Q90.jpg_.webp")</f>
        <v>img.alicdn.com/bao/uploaded/i3/O1CN01Eg20Pf1dZ5wyD08LR_!!4611686018427387605-0-fleamarket.jpg_790x10000Q90.jpg_.webp</v>
      </c>
      <c r="G101"/>
      <c r="H101" s="2" t="str">
        <f>=HYPERLINK("https://www.goofish.com/item?spm=a21ybx.personal.feeds.424.12e16ac2PYxLX9&amp;id=989099081586&amp;categoryId=50023914", "https://www.goofish.com/item?spm=a21ybx.personal.feeds.424.12e16ac2PYxLX9&amp;id=989099081586&amp;categoryId=50023914")</f>
        <v>https://www.goofish.com/item?spm=a21ybx.personal.feeds.424.12e16ac2PYxLX9&amp;id=989099081586&amp;categoryId=50023914</v>
      </c>
      <c r="I101"/>
      <c r="J101"/>
      <c r="K101"/>
    </row>
    <row r="102" ht="25.5" customHeight="1">
      <c r="A102" t="inlineStr">
        <is>
          <t>年级小学生数学手抄报</t>
        </is>
      </c>
      <c r="B102">
        <v>155</v>
      </c>
      <c r="C102" s="2" t="str">
        <f>=HYPERLINK("http://宝子稍等片刻，资源正在路上", "宝子稍等片刻，资源正在路上")</f>
        <v>宝子稍等片刻，资源正在路上</v>
      </c>
      <c r="D102" t="inlineStr">
        <is>
          <t>是</t>
        </is>
      </c>
      <c r="E102" t="inlineStr">
        <is>
          <t>年级小学生数学手抄报模板电子版趣味数学与生活数学乐园小报A3A4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02" s="2" t="str">
        <f>=HYPERLINK("http://img.alicdn.com/bao/uploaded/i1/O1CN01jXCnOl1dZ5wqn9gw0_!!4611686018427387605-2-fleamarket.png_790x10000.jpg_.webp", "img.alicdn.com/bao/uploaded/i1/O1CN01jXCnOl1dZ5wqn9gw0_!!4611686018427387605-2-fleamarket.png_790x10000.jpg_.webp")</f>
        <v>img.alicdn.com/bao/uploaded/i1/O1CN01jXCnOl1dZ5wqn9gw0_!!4611686018427387605-2-fleamarket.png_790x10000.jpg_.webp</v>
      </c>
      <c r="G102"/>
      <c r="H102" s="2" t="str">
        <f>=HYPERLINK("https://www.goofish.com/item?spm=a21ybx.personal.feeds.471.12e16ac2PYxLX9&amp;id=985682259333&amp;categoryId=50023914", "https://www.goofish.com/item?spm=a21ybx.personal.feeds.471.12e16ac2PYxLX9&amp;id=985682259333&amp;categoryId=50023914")</f>
        <v>https://www.goofish.com/item?spm=a21ybx.personal.feeds.471.12e16ac2PYxLX9&amp;id=985682259333&amp;categoryId=50023914</v>
      </c>
      <c r="I102"/>
      <c r="J102"/>
      <c r="K102"/>
    </row>
    <row r="103" ht="25.5" customHeight="1">
      <c r="A103" t="inlineStr">
        <is>
          <t>大学老师副教授正高级</t>
        </is>
      </c>
      <c r="B103">
        <v>156</v>
      </c>
      <c r="C103" s="2" t="str">
        <f>=HYPERLINK("http://宝子稍等片刻，资源正在路上", "宝子稍等片刻，资源正在路上")</f>
        <v>宝子稍等片刻，资源正在路上</v>
      </c>
      <c r="D103" t="inlineStr">
        <is>
          <t>是</t>
        </is>
      </c>
      <c r="E103" t="inlineStr">
        <is>
          <t>大学老师副教授正高级科研究员职称申报学术汇报答辩PPT模板评审
——★24小时自动秒发百度网盘 ★——
——★24小时自动秒发百度网盘 ★——
——★24小时自动秒发百度网盘 ★——
4套职称申报PPT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3" s="2" t="str">
        <f>=HYPERLINK("http://img.alicdn.com/bao/uploaded/i3/O1CN01vdK4t11dZ5wzAaHgV_!!4611686018427387605-0-fleamarket.jpg_790x10000Q90.jpg_.webp", "img.alicdn.com/bao/uploaded/i3/O1CN01vdK4t11dZ5wzAaHgV_!!4611686018427387605-0-fleamarket.jpg_790x10000Q90.jpg_.webp")</f>
        <v>img.alicdn.com/bao/uploaded/i3/O1CN01vdK4t11dZ5wzAaHgV_!!4611686018427387605-0-fleamarket.jpg_790x10000Q90.jpg_.webp</v>
      </c>
      <c r="G103"/>
      <c r="H103" s="2" t="str">
        <f>=HYPERLINK("https://www.goofish.com/item?spm=a21ybx.personal.feeds.405.12e16ac2PYxLX9&amp;id=988463271302&amp;categoryId=50023914", "https://www.goofish.com/item?spm=a21ybx.personal.feeds.405.12e16ac2PYxLX9&amp;id=988463271302&amp;categoryId=50023914")</f>
        <v>https://www.goofish.com/item?spm=a21ybx.personal.feeds.405.12e16ac2PYxLX9&amp;id=988463271302&amp;categoryId=50023914</v>
      </c>
      <c r="I103"/>
      <c r="J103"/>
      <c r="K103"/>
    </row>
    <row r="104" ht="25.5" customHeight="1">
      <c r="A104" t="inlineStr">
        <is>
          <t>PPT模板简约高级商</t>
        </is>
      </c>
      <c r="B104">
        <v>157</v>
      </c>
      <c r="C104" s="2" t="str">
        <f>=HYPERLINK("http://宝子稍等片刻，资源正在路上", "宝子稍等片刻，资源正在路上")</f>
        <v>宝子稍等片刻，资源正在路上</v>
      </c>
      <c r="D104" t="inlineStr">
        <is>
          <t>是</t>
        </is>
      </c>
      <c r="E104" t="inlineStr">
        <is>
          <t>PPT模板简约高级商务精英展示专家讲师团队名人简介排版人物介绍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4" s="2" t="str">
        <f>=HYPERLINK("http://img.alicdn.com/bao/uploaded/i4/O1CN01IQQZNn1dZ5wxiceHc_!!4611686018427387605-0-fleamarket.jpg_790x10000Q90.jpg_.webp", "img.alicdn.com/bao/uploaded/i4/O1CN01IQQZNn1dZ5wxiceHc_!!4611686018427387605-0-fleamarket.jpg_790x10000Q90.jpg_.webp")</f>
        <v>img.alicdn.com/bao/uploaded/i4/O1CN01IQQZNn1dZ5wxiceHc_!!4611686018427387605-0-fleamarket.jpg_790x10000Q90.jpg_.webp</v>
      </c>
      <c r="G104"/>
      <c r="H104" s="2" t="str">
        <f>=HYPERLINK("https://www.goofish.com/item?spm=a21ybx.personal.feeds.413.12e16ac2PYxLX9&amp;id=987990827174&amp;categoryId=50023914", "https://www.goofish.com/item?spm=a21ybx.personal.feeds.413.12e16ac2PYxLX9&amp;id=987990827174&amp;categoryId=50023914")</f>
        <v>https://www.goofish.com/item?spm=a21ybx.personal.feeds.413.12e16ac2PYxLX9&amp;id=987990827174&amp;categoryId=50023914</v>
      </c>
      <c r="I104"/>
      <c r="J104"/>
      <c r="K104"/>
    </row>
    <row r="105" ht="25.5" customHeight="1">
      <c r="A105" t="inlineStr">
        <is>
          <t>国庆节爱国红色主题儿</t>
        </is>
      </c>
      <c r="B105">
        <v>158</v>
      </c>
      <c r="C105" s="2" t="str">
        <f>=HYPERLINK("http://宝子稍等片刻，资源正在路上", "宝子稍等片刻，资源正在路上")</f>
        <v>宝子稍等片刻，资源正在路上</v>
      </c>
      <c r="D105" t="inlineStr">
        <is>
          <t>是</t>
        </is>
      </c>
      <c r="E105" t="inlineStr">
        <is>
          <t>国庆节爱国红色主题儿童画绘画小学生线稿电子版手抄报模板爱祖国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5" s="2" t="str">
        <f>=HYPERLINK("http://img.alicdn.com/bao/uploaded/i4/O1CN01ABxqNG1dZ5wZnwWfw_!!4611686018427387605-0-fleamarket.jpg_790x10000Q90.jpg_.webp", "img.alicdn.com/bao/uploaded/i4/O1CN01ABxqNG1dZ5wZnwWfw_!!4611686018427387605-0-fleamarket.jpg_790x10000Q90.jpg_.webp")</f>
        <v>img.alicdn.com/bao/uploaded/i4/O1CN01ABxqNG1dZ5wZnwWfw_!!4611686018427387605-0-fleamarket.jpg_790x10000Q90.jpg_.webp</v>
      </c>
      <c r="G105"/>
      <c r="H105" s="2" t="str">
        <f>=HYPERLINK("https://www.goofish.com/item?spm=a21ybx.personal.feeds.524.12e16ac2PYxLX9&amp;id=980224626695&amp;categoryId=50023914", "https://www.goofish.com/item?spm=a21ybx.personal.feeds.524.12e16ac2PYxLX9&amp;id=980224626695&amp;categoryId=50023914")</f>
        <v>https://www.goofish.com/item?spm=a21ybx.personal.feeds.524.12e16ac2PYxLX9&amp;id=980224626695&amp;categoryId=50023914</v>
      </c>
      <c r="I105"/>
      <c r="J105"/>
      <c r="K105"/>
    </row>
    <row r="106" ht="25.5" customHeight="1">
      <c r="A106" t="inlineStr">
        <is>
          <t>听音乐猜歌名游戏PP</t>
        </is>
      </c>
      <c r="B106">
        <v>159</v>
      </c>
      <c r="C106" s="2" t="str">
        <f>=HYPERLINK("http://宝子稍等片刻，资源正在路上", "宝子稍等片刻，资源正在路上")</f>
        <v>宝子稍等片刻，资源正在路上</v>
      </c>
      <c r="D106" t="inlineStr">
        <is>
          <t>是</t>
        </is>
      </c>
      <c r="E106" t="inlineStr">
        <is>
          <t>听音乐猜歌名游戏PPT学校企业早会晨会年会团建主持演讲互动游戏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6" s="2" t="str">
        <f>=HYPERLINK("http://img.alicdn.com/bao/uploaded/i4/O1CN01424ckr1dZ5wu6geOq_!!4611686018427387605-0-fleamarket.jpg_790x10000Q90.jpg_.webp", "img.alicdn.com/bao/uploaded/i4/O1CN01424ckr1dZ5wu6geOq_!!4611686018427387605-0-fleamarket.jpg_790x10000Q90.jpg_.webp")</f>
        <v>img.alicdn.com/bao/uploaded/i4/O1CN01424ckr1dZ5wu6geOq_!!4611686018427387605-0-fleamarket.jpg_790x10000Q90.jpg_.webp</v>
      </c>
      <c r="G106"/>
      <c r="H106" s="2" t="str">
        <f>=HYPERLINK("https://www.goofish.com/item?spm=a21ybx.personal.feeds.450.12e16ac2PYxLX9&amp;id=987356914309&amp;categoryId=50023914", "https://www.goofish.com/item?spm=a21ybx.personal.feeds.450.12e16ac2PYxLX9&amp;id=987356914309&amp;categoryId=50023914")</f>
        <v>https://www.goofish.com/item?spm=a21ybx.personal.feeds.450.12e16ac2PYxLX9&amp;id=987356914309&amp;categoryId=50023914</v>
      </c>
      <c r="I106"/>
      <c r="J106"/>
      <c r="K106"/>
    </row>
    <row r="107" ht="25.5" customHeight="1">
      <c r="A107" t="inlineStr">
        <is>
          <t>企业公司产品宣传品牌</t>
        </is>
      </c>
      <c r="B107">
        <v>160</v>
      </c>
      <c r="C107" s="2" t="str">
        <f>=HYPERLINK("http://宝子稍等片刻，资源正在路上", "宝子稍等片刻，资源正在路上")</f>
        <v>宝子稍等片刻，资源正在路上</v>
      </c>
      <c r="D107" t="inlineStr">
        <is>
          <t>是</t>
        </is>
      </c>
      <c r="E107" t="inlineStr">
        <is>
          <t>企业公司产品宣传品牌vi手册模板AI全套作品CDR设计PSD样机ID素材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7" s="2" t="str">
        <f>=HYPERLINK("http://img.alicdn.com/bao/uploaded/i2/O1CN01nZSSmD1dZ5xHS0oz0_!!4611686018427387605-0-fleamarket.jpg_790x10000Q90.jpg_.webp", "img.alicdn.com/bao/uploaded/i2/O1CN01nZSSmD1dZ5xHS0oz0_!!4611686018427387605-0-fleamarket.jpg_790x10000Q90.jpg_.webp")</f>
        <v>img.alicdn.com/bao/uploaded/i2/O1CN01nZSSmD1dZ5xHS0oz0_!!4611686018427387605-0-fleamarket.jpg_790x10000Q90.jpg_.webp</v>
      </c>
      <c r="G107"/>
      <c r="H107" s="2" t="str">
        <f>=HYPERLINK("https://www.goofish.com/item?spm=a21ybx.personal.feeds.171.12e16ac2PYxLX9&amp;id=993553130615&amp;categoryId=50023914", "https://www.goofish.com/item?spm=a21ybx.personal.feeds.171.12e16ac2PYxLX9&amp;id=993553130615&amp;categoryId=50023914")</f>
        <v>https://www.goofish.com/item?spm=a21ybx.personal.feeds.171.12e16ac2PYxLX9&amp;id=993553130615&amp;categoryId=50023914</v>
      </c>
      <c r="I107"/>
      <c r="J107"/>
      <c r="K107"/>
    </row>
    <row r="108" ht="25.5" customHeight="1">
      <c r="A108" t="inlineStr">
        <is>
          <t>企业岗位竞聘ppt模</t>
        </is>
      </c>
      <c r="B108">
        <v>161</v>
      </c>
      <c r="C108" s="2" t="str">
        <f>=HYPERLINK("http://宝子稍等片刻，资源正在路上", "宝子稍等片刻，资源正在路上")</f>
        <v>宝子稍等片刻，资源正在路上</v>
      </c>
      <c r="D108" t="inlineStr">
        <is>
          <t>是</t>
        </is>
      </c>
      <c r="E108" t="inlineStr">
        <is>
          <t>企业岗位竞聘ppt模板简约商务大气个人述职简历自我介绍演讲动态
——★24小时自动秒发百度网盘 ★——
47款岗位竞聘PPT，拍下全发！
预览图对应相应源文件名字，不是卖图片，也没有任何额外费用，如果不会使用可以咨询解决
每套风格的模版都是我精心挑选出来的。
每款精选质量高，适用于任何场合～
每个风格都有单独归类文档编号
你想要 各种素材都在这里 任何不满意直接退款！！！
</t>
        </is>
      </c>
      <c r="F108" s="2" t="str">
        <f>=HYPERLINK("http://img.alicdn.com/bao/uploaded/i2/O1CN01OMkDh61dZ5wB78Jfj_!!4611686018427387605-0-fleamarket.jpg_790x10000Q90.jpg_.webp", "img.alicdn.com/bao/uploaded/i2/O1CN01OMkDh61dZ5wB78Jfj_!!4611686018427387605-0-fleamarket.jpg_790x10000Q90.jpg_.webp")</f>
        <v>img.alicdn.com/bao/uploaded/i2/O1CN01OMkDh61dZ5wB78Jfj_!!4611686018427387605-0-fleamarket.jpg_790x10000Q90.jpg_.webp</v>
      </c>
      <c r="G108"/>
      <c r="H108" s="2" t="str">
        <f>=HYPERLINK("https://www.goofish.com/item?spm=a21ybx.personal.feeds.282.12e16ac2PYxLX9&amp;id=969744759110&amp;categoryId=50023914", "https://www.goofish.com/item?spm=a21ybx.personal.feeds.282.12e16ac2PYxLX9&amp;id=969744759110&amp;categoryId=50023914")</f>
        <v>https://www.goofish.com/item?spm=a21ybx.personal.feeds.282.12e16ac2PYxLX9&amp;id=969744759110&amp;categoryId=50023914</v>
      </c>
      <c r="I108"/>
      <c r="J108"/>
      <c r="K108"/>
    </row>
    <row r="109" ht="25.5" customHeight="1">
      <c r="A109" t="inlineStr">
        <is>
          <t>PPT模板校园大学辩</t>
        </is>
      </c>
      <c r="B109">
        <v>162</v>
      </c>
      <c r="C109" s="2" t="str">
        <f>=HYPERLINK("http://宝子稍等片刻，资源正在路上", "宝子稍等片刻，资源正在路上")</f>
        <v>宝子稍等片刻，资源正在路上</v>
      </c>
      <c r="D109" t="inlineStr">
        <is>
          <t>是</t>
        </is>
      </c>
      <c r="E109" t="inlineStr">
        <is>
          <t>PPT模板校园大学辩论赛职场巅峰对决主题比赛辩手倒计时成品课件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09" s="2" t="str">
        <f>=HYPERLINK("http://img.alicdn.com/bao/uploaded/i2/O1CN01A1nB6M1dZ5x2lOCNw_!!4611686018427387605-0-fleamarket.jpg_790x10000Q90.jpg_.webp", "img.alicdn.com/bao/uploaded/i2/O1CN01A1nB6M1dZ5x2lOCNw_!!4611686018427387605-0-fleamarket.jpg_790x10000Q90.jpg_.webp")</f>
        <v>img.alicdn.com/bao/uploaded/i2/O1CN01A1nB6M1dZ5x2lOCNw_!!4611686018427387605-0-fleamarket.jpg_790x10000Q90.jpg_.webp</v>
      </c>
      <c r="G109"/>
      <c r="H109" s="2" t="str">
        <f>=HYPERLINK("https://www.goofish.com/item?spm=a21ybx.personal.feeds.367.12e16ac2PYxLX9&amp;id=989831478508&amp;categoryId=50023914", "https://www.goofish.com/item?spm=a21ybx.personal.feeds.367.12e16ac2PYxLX9&amp;id=989831478508&amp;categoryId=50023914")</f>
        <v>https://www.goofish.com/item?spm=a21ybx.personal.feeds.367.12e16ac2PYxLX9&amp;id=989831478508&amp;categoryId=50023914</v>
      </c>
      <c r="I109"/>
      <c r="J109"/>
      <c r="K109"/>
    </row>
    <row r="110" ht="25.5" customHeight="1">
      <c r="A110" t="inlineStr">
        <is>
          <t>全国教学PPT能力大</t>
        </is>
      </c>
      <c r="B110">
        <v>163</v>
      </c>
      <c r="C110" s="2" t="str">
        <f>=HYPERLINK("http://宝子稍等片刻，资源正在路上", "宝子稍等片刻，资源正在路上")</f>
        <v>宝子稍等片刻，资源正在路上</v>
      </c>
      <c r="D110" t="inlineStr">
        <is>
          <t>是</t>
        </is>
      </c>
      <c r="E110" t="inlineStr">
        <is>
          <t>全国教学PPT能力大赛实施报告模板十二图教师国金技能讲课课件
——★24小时自动秒发百度网盘 ★——
——★24小时自动秒发百度网盘 ★——
——★24小时自动秒发百度网盘 ★——
完整12图+精选实施PPT+讲课
40套实施报告+327套讲课PPT模板
大赛配图案例库 国赛精选案例模板
40套 国赛获奖PPT模板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0" s="2" t="str">
        <f>=HYPERLINK("http://img.alicdn.com/bao/uploaded/i1/O1CN01YecB551dZ5xN9hN1c_!!4611686018427387605-0-fleamarket.jpg_790x10000Q90.jpg_.webp", "img.alicdn.com/bao/uploaded/i1/O1CN01YecB551dZ5xN9hN1c_!!4611686018427387605-0-fleamarket.jpg_790x10000Q90.jpg_.webp")</f>
        <v>img.alicdn.com/bao/uploaded/i1/O1CN01YecB551dZ5xN9hN1c_!!4611686018427387605-0-fleamarket.jpg_790x10000Q90.jpg_.webp</v>
      </c>
      <c r="G110"/>
      <c r="H110" s="2" t="str">
        <f>=HYPERLINK("https://www.goofish.com/item?spm=a21ybx.personal.feeds.82.12e16ac2PYxLX9&amp;id=994980775877&amp;categoryId=50023914", "https://www.goofish.com/item?spm=a21ybx.personal.feeds.82.12e16ac2PYxLX9&amp;id=994980775877&amp;categoryId=50023914")</f>
        <v>https://www.goofish.com/item?spm=a21ybx.personal.feeds.82.12e16ac2PYxLX9&amp;id=994980775877&amp;categoryId=50023914</v>
      </c>
      <c r="I110"/>
      <c r="J110"/>
      <c r="K110"/>
    </row>
    <row r="111" ht="25.5" customHeight="1">
      <c r="A111" t="inlineStr">
        <is>
          <t>ppt模板工作汇报高</t>
        </is>
      </c>
      <c r="B111">
        <v>164</v>
      </c>
      <c r="C111" s="2" t="str">
        <f>=HYPERLINK("http://宝子稍等片刻，资源正在路上", "宝子稍等片刻，资源正在路上")</f>
        <v>宝子稍等片刻，资源正在路上</v>
      </c>
      <c r="D111" t="inlineStr">
        <is>
          <t>是</t>
        </is>
      </c>
      <c r="E111" t="inlineStr">
        <is>
          <t>ppt模板工作汇报高级红色商务个人项目述职报告季度年终总结复盘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11" s="2" t="str">
        <f>=HYPERLINK("http://img.alicdn.com/bao/uploaded/i2/O1CN01J1o19L1dZ5wpSgARi_!!4611686018427387605-0-fleamarket.jpg_790x10000Q90.jpg_.webp", "img.alicdn.com/bao/uploaded/i2/O1CN01J1o19L1dZ5wpSgARi_!!4611686018427387605-0-fleamarket.jpg_790x10000Q90.jpg_.webp")</f>
        <v>img.alicdn.com/bao/uploaded/i2/O1CN01J1o19L1dZ5wpSgARi_!!4611686018427387605-0-fleamarket.jpg_790x10000Q90.jpg_.webp</v>
      </c>
      <c r="G111"/>
      <c r="H111" s="2" t="str">
        <f>=HYPERLINK("https://www.goofish.com/item?spm=a21ybx.personal.feeds.476.12e16ac2PYxLX9&amp;id=986224278767&amp;categoryId=50023914", "https://www.goofish.com/item?spm=a21ybx.personal.feeds.476.12e16ac2PYxLX9&amp;id=986224278767&amp;categoryId=50023914")</f>
        <v>https://www.goofish.com/item?spm=a21ybx.personal.feeds.476.12e16ac2PYxLX9&amp;id=986224278767&amp;categoryId=50023914</v>
      </c>
      <c r="I111"/>
      <c r="J111"/>
      <c r="K111"/>
    </row>
    <row r="112" ht="25.5" customHeight="1">
      <c r="A112" t="inlineStr">
        <is>
          <t>卡通可爱小学生幼儿园</t>
        </is>
      </c>
      <c r="B112">
        <v>165</v>
      </c>
      <c r="C112" s="2" t="str">
        <f>=HYPERLINK("http://宝子稍等片刻，资源正在路上", "宝子稍等片刻，资源正在路上")</f>
        <v>宝子稍等片刻，资源正在路上</v>
      </c>
      <c r="D112" t="inlineStr">
        <is>
          <t>是</t>
        </is>
      </c>
      <c r="E112" t="inlineStr">
        <is>
          <t>卡通可爱小学生幼儿园情绪管理心理健康教育主题班会动态ppt模板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2" s="2" t="str">
        <f>=HYPERLINK("http://img.alicdn.com/bao/uploaded/i3/O1CN01Tf9s1R1dZ5wkQ9iZB_!!4611686018427387605-0-fleamarket.jpg_790x10000Q90.jpg_.webp", "img.alicdn.com/bao/uploaded/i3/O1CN01Tf9s1R1dZ5wkQ9iZB_!!4611686018427387605-0-fleamarket.jpg_790x10000Q90.jpg_.webp")</f>
        <v>img.alicdn.com/bao/uploaded/i3/O1CN01Tf9s1R1dZ5wkQ9iZB_!!4611686018427387605-0-fleamarket.jpg_790x10000Q90.jpg_.webp</v>
      </c>
      <c r="G112"/>
      <c r="H112" s="2" t="str">
        <f>=HYPERLINK("https://www.goofish.com/item?spm=a21ybx.personal.feeds.519.12e16ac2PYxLX9&amp;id=984358905461&amp;categoryId=50023914", "https://www.goofish.com/item?spm=a21ybx.personal.feeds.519.12e16ac2PYxLX9&amp;id=984358905461&amp;categoryId=50023914")</f>
        <v>https://www.goofish.com/item?spm=a21ybx.personal.feeds.519.12e16ac2PYxLX9&amp;id=984358905461&amp;categoryId=50023914</v>
      </c>
      <c r="I112"/>
      <c r="J112"/>
      <c r="K112"/>
    </row>
    <row r="113" ht="25.5" customHeight="1">
      <c r="A113" t="inlineStr">
        <is>
          <t>中小学期中期末考试表</t>
        </is>
      </c>
      <c r="B113">
        <v>166</v>
      </c>
      <c r="C113" s="2" t="str">
        <f>=HYPERLINK("http://宝子稍等片刻，资源正在路上", "宝子稍等片刻，资源正在路上")</f>
        <v>宝子稍等片刻，资源正在路上</v>
      </c>
      <c r="D113" t="inlineStr">
        <is>
          <t>是</t>
        </is>
      </c>
      <c r="E113" t="inlineStr">
        <is>
          <t>中小学期中期末考试表彰大会学校班级颁奖PPT模板课件素材可修改
——★24小时自动秒发百度网盘 ★——
——★24小时自动秒发百度网盘 ★——
——★24小时自动秒发百度网盘 ★——
55套期中期末表彰
PPT模板+赠发言稿 新款已更新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3" s="2" t="str">
        <f>=HYPERLINK("http://img.alicdn.com/bao/uploaded/i1/O1CN01qSBRA01dZ5xKmsXp0_!!4611686018427387605-0-fleamarket.jpg_790x10000Q90.jpg_.webp", "img.alicdn.com/bao/uploaded/i1/O1CN01qSBRA01dZ5xKmsXp0_!!4611686018427387605-0-fleamarket.jpg_790x10000Q90.jpg_.webp")</f>
        <v>img.alicdn.com/bao/uploaded/i1/O1CN01qSBRA01dZ5xKmsXp0_!!4611686018427387605-0-fleamarket.jpg_790x10000Q90.jpg_.webp</v>
      </c>
      <c r="G113"/>
      <c r="H113" s="2" t="str">
        <f>=HYPERLINK("https://www.goofish.com/item?spm=a21ybx.personal.feeds.146.12e16ac2PYxLX9&amp;id=994107443561&amp;categoryId=50023914", "https://www.goofish.com/item?spm=a21ybx.personal.feeds.146.12e16ac2PYxLX9&amp;id=994107443561&amp;categoryId=50023914")</f>
        <v>https://www.goofish.com/item?spm=a21ybx.personal.feeds.146.12e16ac2PYxLX9&amp;id=994107443561&amp;categoryId=50023914</v>
      </c>
      <c r="I113"/>
      <c r="J113"/>
      <c r="K113"/>
    </row>
    <row r="114" ht="25.5" customHeight="1">
      <c r="A114" t="inlineStr">
        <is>
          <t>高校教育教学成果奖项</t>
        </is>
      </c>
      <c r="B114">
        <v>167</v>
      </c>
      <c r="C114" s="2" t="str">
        <f>=HYPERLINK("http://宝子稍等片刻，资源正在路上", "宝子稍等片刻，资源正在路上")</f>
        <v>宝子稍等片刻，资源正在路上</v>
      </c>
      <c r="D114" t="inlineStr">
        <is>
          <t>是</t>
        </is>
      </c>
      <c r="E114" t="inlineStr">
        <is>
          <t>高校教育教学成果奖项改革教改课题申报书思政课程案例立项申请书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4" s="2" t="str">
        <f>=HYPERLINK("http://img.alicdn.com/bao/uploaded/i1/O1CN01f6arXb1dZ5wxmGhqe_!!4611686018427387605-0-fleamarket.jpg_790x10000Q90.jpg_.webp", "img.alicdn.com/bao/uploaded/i1/O1CN01f6arXb1dZ5wxmGhqe_!!4611686018427387605-0-fleamarket.jpg_790x10000Q90.jpg_.webp")</f>
        <v>img.alicdn.com/bao/uploaded/i1/O1CN01f6arXb1dZ5wxmGhqe_!!4611686018427387605-0-fleamarket.jpg_790x10000Q90.jpg_.webp</v>
      </c>
      <c r="G114"/>
      <c r="H114" s="2" t="str">
        <f>=HYPERLINK("https://www.goofish.com/item?spm=a21ybx.personal.feeds.426.12e16ac2PYxLX9&amp;id=989101033032&amp;categoryId=50023914", "https://www.goofish.com/item?spm=a21ybx.personal.feeds.426.12e16ac2PYxLX9&amp;id=989101033032&amp;categoryId=50023914")</f>
        <v>https://www.goofish.com/item?spm=a21ybx.personal.feeds.426.12e16ac2PYxLX9&amp;id=989101033032&amp;categoryId=50023914</v>
      </c>
      <c r="I114"/>
      <c r="J114"/>
      <c r="K114"/>
    </row>
    <row r="115" ht="25.5" customHeight="1">
      <c r="A115" t="inlineStr">
        <is>
          <t>预防拒绝校园暴力欺凌</t>
        </is>
      </c>
      <c r="B115">
        <v>168</v>
      </c>
      <c r="C115" s="2" t="str">
        <f>=HYPERLINK("http://宝子稍等片刻，资源正在路上", "宝子稍等片刻，资源正在路上")</f>
        <v>宝子稍等片刻，资源正在路上</v>
      </c>
      <c r="D115" t="inlineStr">
        <is>
          <t>是</t>
        </is>
      </c>
      <c r="E115" t="inlineStr">
        <is>
          <t>预防拒绝校园暴力欺凌ppt模板课件成品中小学安全教育主题班会平
——★24小时自动秒发百度网盘 ★——
——★24小时自动秒发百度网盘 ★——
——★24小时自动秒发百度网盘 ★——
拒绝校园暴力PPT模板
成品PPT模板，每套模板均含文字内容
成品PPT，无需您修改，可上课直接使用!
含:什么是校园暴力，如何防范校园暴力等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5" s="2" t="str">
        <f>=HYPERLINK("http://img.alicdn.com/bao/uploaded/i4/O1CN01ytCfAV1dZ5wkvtnMF_!!4611686018427387605-0-fleamarket.jpg_790x10000Q90.jpg_.webp", "img.alicdn.com/bao/uploaded/i4/O1CN01ytCfAV1dZ5wkvtnMF_!!4611686018427387605-0-fleamarket.jpg_790x10000Q90.jpg_.webp")</f>
        <v>img.alicdn.com/bao/uploaded/i4/O1CN01ytCfAV1dZ5wkvtnMF_!!4611686018427387605-0-fleamarket.jpg_790x10000Q90.jpg_.webp</v>
      </c>
      <c r="G115"/>
      <c r="H115" s="2" t="str">
        <f>=HYPERLINK("https://www.goofish.com/item?spm=a21ybx.personal.feeds.501.12e16ac2PYxLX9&amp;id=985525496873&amp;categoryId=50023914", "https://www.goofish.com/item?spm=a21ybx.personal.feeds.501.12e16ac2PYxLX9&amp;id=985525496873&amp;categoryId=50023914")</f>
        <v>https://www.goofish.com/item?spm=a21ybx.personal.feeds.501.12e16ac2PYxLX9&amp;id=985525496873&amp;categoryId=50023914</v>
      </c>
      <c r="I115"/>
      <c r="J115"/>
      <c r="K115"/>
    </row>
    <row r="116" ht="25.5" customHeight="1">
      <c r="A116" t="inlineStr">
        <is>
          <t>思维导图ppt模板可</t>
        </is>
      </c>
      <c r="B116">
        <v>169</v>
      </c>
      <c r="C116" s="2" t="str">
        <f>=HYPERLINK("http://宝子稍等片刻，资源正在路上", "宝子稍等片刻，资源正在路上")</f>
        <v>宝子稍等片刻，资源正在路上</v>
      </c>
      <c r="D116" t="inlineStr">
        <is>
          <t>是</t>
        </is>
      </c>
      <c r="E116" t="inlineStr">
        <is>
          <t>思维导图ppt模板可编辑word流程逻辑数据图表鱼骨树状逻辑时间轴
——★24小时自动秒发百度网盘 ★——
——★24小时自动秒发百度网盘 ★——
——★24小时自动秒发百度网盘 ★——
4000款思维导图模板 PPT+Word+Xmind 可编辑 源文件
结构图 流程图 气泡图 鱼骨图 逻辑图 组织图 时间轴 树形图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6" s="2" t="str">
        <f>=HYPERLINK("http://img.alicdn.com/bao/uploaded/i1/O1CN01aedjLd1dZ5xLsjsZx_!!4611686018427387605-0-fleamarket.jpg_790x10000Q90.jpg_.webp", "img.alicdn.com/bao/uploaded/i1/O1CN01aedjLd1dZ5xLsjsZx_!!4611686018427387605-0-fleamarket.jpg_790x10000Q90.jpg_.webp")</f>
        <v>img.alicdn.com/bao/uploaded/i1/O1CN01aedjLd1dZ5xLsjsZx_!!4611686018427387605-0-fleamarket.jpg_790x10000Q90.jpg_.webp</v>
      </c>
      <c r="G116"/>
      <c r="H116" s="2" t="str">
        <f>=HYPERLINK("https://www.goofish.com/item?spm=a21ybx.personal.feeds.127.12e16ac2PYxLX9&amp;id=994960374702&amp;categoryId=50023914", "https://www.goofish.com/item?spm=a21ybx.personal.feeds.127.12e16ac2PYxLX9&amp;id=994960374702&amp;categoryId=50023914")</f>
        <v>https://www.goofish.com/item?spm=a21ybx.personal.feeds.127.12e16ac2PYxLX9&amp;id=994960374702&amp;categoryId=50023914</v>
      </c>
      <c r="I116"/>
      <c r="J116"/>
      <c r="K116"/>
    </row>
    <row r="117" ht="25.5" customHeight="1">
      <c r="A117" t="inlineStr">
        <is>
          <t>中国风典雅大气简约古</t>
        </is>
      </c>
      <c r="B117">
        <v>170</v>
      </c>
      <c r="C117" s="2" t="str">
        <f>=HYPERLINK("http://宝子稍等片刻，资源正在路上", "宝子稍等片刻，资源正在路上")</f>
        <v>宝子稍等片刻，资源正在路上</v>
      </c>
      <c r="D117" t="inlineStr">
        <is>
          <t>是</t>
        </is>
      </c>
      <c r="E117" t="inlineStr">
        <is>
          <t>中国风典雅大气简约古风国潮水墨教学教育说课件通用动态ppt模板
——★24小时自动秒发百度网盘 ★——
——★24小时自动秒发百度网盘 ★——
——★24小时自动秒发百度网盘 ★——
10款中国古风PPt
大小:798MB PPT格式 可编辑源文件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7" s="2" t="str">
        <f>=HYPERLINK("http://img.alicdn.com/bao/uploaded/i3/O1CN01yCvXfY1dZ5wznTLhN_!!4611686018427387605-0-fleamarket.jpg_790x10000Q90.jpg_.webp", "img.alicdn.com/bao/uploaded/i3/O1CN01yCvXfY1dZ5wznTLhN_!!4611686018427387605-0-fleamarket.jpg_790x10000Q90.jpg_.webp")</f>
        <v>img.alicdn.com/bao/uploaded/i3/O1CN01yCvXfY1dZ5wznTLhN_!!4611686018427387605-0-fleamarket.jpg_790x10000Q90.jpg_.webp</v>
      </c>
      <c r="G117"/>
      <c r="H117" s="2" t="str">
        <f>=HYPERLINK("https://www.goofish.com/item?spm=a21ybx.personal.feeds.397.12e16ac2PYxLX9&amp;id=989991817946&amp;categoryId=50023914", "https://www.goofish.com/item?spm=a21ybx.personal.feeds.397.12e16ac2PYxLX9&amp;id=989991817946&amp;categoryId=50023914")</f>
        <v>https://www.goofish.com/item?spm=a21ybx.personal.feeds.397.12e16ac2PYxLX9&amp;id=989991817946&amp;categoryId=50023914</v>
      </c>
      <c r="I117"/>
      <c r="J117"/>
      <c r="K117"/>
    </row>
    <row r="118" ht="25.5" customHeight="1">
      <c r="A118" t="inlineStr">
        <is>
          <t>草图大师模型SU园林</t>
        </is>
      </c>
      <c r="B118">
        <v>171</v>
      </c>
      <c r="C118" s="2" t="str">
        <f>=HYPERLINK("http://宝子稍等片刻，资源正在路上", "宝子稍等片刻，资源正在路上")</f>
        <v>宝子稍等片刻，资源正在路上</v>
      </c>
      <c r="D118" t="inlineStr">
        <is>
          <t>是</t>
        </is>
      </c>
      <c r="E118" t="inlineStr">
        <is>
          <t>草图大师模型SU园林景观植物花草树木灌木Sketchup凉亭2D组件单体
——★24小时自动秒发百度网盘 ★——
——★24小时自动秒发百度网盘 ★——
——★24小时自动秒发百度网盘 ★——
2025新款模型2D/3D植物/景观墙/喷泉/盆栽/石头/凉亭/灯具/人物等
SU园林 8000套 园林景观40大分类 草图景观单体模型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8" s="2" t="str">
        <f>=HYPERLINK("http://img.alicdn.com/bao/uploaded/i4/O1CN01Z3fGC41dZ5xKbLfqc_!!4611686018427387605-0-fleamarket.jpg_790x10000Q90.jpg_.webp", "img.alicdn.com/bao/uploaded/i4/O1CN01Z3fGC41dZ5xKbLfqc_!!4611686018427387605-0-fleamarket.jpg_790x10000Q90.jpg_.webp")</f>
        <v>img.alicdn.com/bao/uploaded/i4/O1CN01Z3fGC41dZ5xKbLfqc_!!4611686018427387605-0-fleamarket.jpg_790x10000Q90.jpg_.webp</v>
      </c>
      <c r="G118"/>
      <c r="H118" s="2" t="str">
        <f>=HYPERLINK("https://www.goofish.com/item?spm=a21ybx.personal.feeds.151.12e16ac2PYxLX9&amp;id=994379570043&amp;categoryId=50023914", "https://www.goofish.com/item?spm=a21ybx.personal.feeds.151.12e16ac2PYxLX9&amp;id=994379570043&amp;categoryId=50023914")</f>
        <v>https://www.goofish.com/item?spm=a21ybx.personal.feeds.151.12e16ac2PYxLX9&amp;id=994379570043&amp;categoryId=50023914</v>
      </c>
      <c r="I118"/>
      <c r="J118"/>
      <c r="K118"/>
    </row>
    <row r="119" ht="25.5" customHeight="1">
      <c r="A119" t="inlineStr">
        <is>
          <t>中国民间神话故事pp</t>
        </is>
      </c>
      <c r="B119">
        <v>172</v>
      </c>
      <c r="C119" s="2" t="str">
        <f>=HYPERLINK("http://宝子稍等片刻，资源正在路上", "宝子稍等片刻，资源正在路上")</f>
        <v>宝子稍等片刻，资源正在路上</v>
      </c>
      <c r="D119" t="inlineStr">
        <is>
          <t>是</t>
        </is>
      </c>
      <c r="E119" t="inlineStr">
        <is>
          <t>中国民间神话故事ppt模板绘本古代神话传说女娲补天后羿课件演讲
——★24小时自动秒发百度网盘 ★——
——★24小时自动秒发百度网盘 ★——
——★24小时自动秒发百度网盘 ★——
神话故事/民间故事/演讲等
成品PPT模板，故事均含文字和插画
成品PPT，您可直接演讲使用!PPT文字可修改
我们家是高清版!电视/大屏幕/投影仪均可使用!
放心拍!今年新整理!很全很全很全!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19" s="2" t="str">
        <f>=HYPERLINK("http://img.alicdn.com/bao/uploaded/i3/O1CN01umSjMF1dZ5wkMBkjT_!!4611686018427387605-0-fleamarket.jpg_790x10000Q90.jpg_.webp", "img.alicdn.com/bao/uploaded/i3/O1CN01umSjMF1dZ5wkMBkjT_!!4611686018427387605-0-fleamarket.jpg_790x10000Q90.jpg_.webp")</f>
        <v>img.alicdn.com/bao/uploaded/i3/O1CN01umSjMF1dZ5wkMBkjT_!!4611686018427387605-0-fleamarket.jpg_790x10000Q90.jpg_.webp</v>
      </c>
      <c r="G119"/>
      <c r="H119" s="2" t="str">
        <f>=HYPERLINK("https://www.goofish.com/item?spm=a21ybx.personal.feeds.503.12e16ac2PYxLX9&amp;id=985524880575&amp;categoryId=50023914", "https://www.goofish.com/item?spm=a21ybx.personal.feeds.503.12e16ac2PYxLX9&amp;id=985524880575&amp;categoryId=50023914")</f>
        <v>https://www.goofish.com/item?spm=a21ybx.personal.feeds.503.12e16ac2PYxLX9&amp;id=985524880575&amp;categoryId=50023914</v>
      </c>
      <c r="I119"/>
      <c r="J119"/>
      <c r="K119"/>
    </row>
    <row r="120" ht="25.5" customHeight="1">
      <c r="A120" t="inlineStr">
        <is>
          <t>我爱你中国 红歌祖国</t>
        </is>
      </c>
      <c r="B120">
        <v>173</v>
      </c>
      <c r="C120" s="2" t="str">
        <f>=HYPERLINK("http://宝子稍等片刻，资源正在路上", "宝子稍等片刻，资源正在路上")</f>
        <v>宝子稍等片刻，资源正在路上</v>
      </c>
      <c r="D120" t="inlineStr">
        <is>
          <t>是</t>
        </is>
      </c>
      <c r="E120" t="inlineStr">
        <is>
          <t>我爱你中国 红歌祖国朗诵歌曲爱国庆伴奏演出led舞台背景视频素材
——★24小时自动秒发百度网盘 ★——
——★24小时自动秒发百度网盘 ★——
——★24小时自动秒发百度网盘 ★——
视频尺寸:1920X1080
时长有:3分钟 4分钟 5分钟等
原唱+伴奏+无声+歌词+MP3
有字幕+无字幕
这个视频品质非常高!现场大屏播放效果高清!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20" s="2" t="str">
        <f>=HYPERLINK("http://img.alicdn.com/bao/uploaded/i3/O1CN01tT1of61dZ5wkTpKIx_!!4611686018427387605-0-fleamarket.jpg_790x10000Q90.jpg_.webp", "img.alicdn.com/bao/uploaded/i3/O1CN01tT1of61dZ5wkTpKIx_!!4611686018427387605-0-fleamarket.jpg_790x10000Q90.jpg_.webp")</f>
        <v>img.alicdn.com/bao/uploaded/i3/O1CN01tT1of61dZ5wkTpKIx_!!4611686018427387605-0-fleamarket.jpg_790x10000Q90.jpg_.webp</v>
      </c>
      <c r="G120"/>
      <c r="H120" s="2" t="str">
        <f>=HYPERLINK("https://www.goofish.com/item?spm=a21ybx.personal.feeds.505.12e16ac2PYxLX9&amp;id=983568003573&amp;categoryId=50023914", "https://www.goofish.com/item?spm=a21ybx.personal.feeds.505.12e16ac2PYxLX9&amp;id=983568003573&amp;categoryId=50023914")</f>
        <v>https://www.goofish.com/item?spm=a21ybx.personal.feeds.505.12e16ac2PYxLX9&amp;id=983568003573&amp;categoryId=50023914</v>
      </c>
      <c r="I120"/>
      <c r="J120"/>
      <c r="K120"/>
    </row>
    <row r="121" ht="25.5" customHeight="1">
      <c r="A121" t="inlineStr">
        <is>
          <t>2026马年红色简约</t>
        </is>
      </c>
      <c r="B121">
        <v>174</v>
      </c>
      <c r="C121" s="2" t="str">
        <f>=HYPERLINK("http://宝子稍等片刻，资源正在路上", "宝子稍等片刻，资源正在路上")</f>
        <v>宝子稍等片刻，资源正在路上</v>
      </c>
      <c r="D121" t="inlineStr">
        <is>
          <t>是</t>
        </is>
      </c>
      <c r="E121" t="inlineStr">
        <is>
          <t>2026马年红色简约商务高级感年终工作总结汇报暨新年计划ppt模板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21" s="2" t="str">
        <f>=HYPERLINK("http://img.alicdn.com/bao/uploaded/i1/O1CN01k8qEDF1dZ5wxw7oSG_!!4611686018427387605-0-fleamarket.jpg_790x10000Q90.jpg_.webp", "img.alicdn.com/bao/uploaded/i1/O1CN01k8qEDF1dZ5wxw7oSG_!!4611686018427387605-0-fleamarket.jpg_790x10000Q90.jpg_.webp")</f>
        <v>img.alicdn.com/bao/uploaded/i1/O1CN01k8qEDF1dZ5wxw7oSG_!!4611686018427387605-0-fleamarket.jpg_790x10000Q90.jpg_.webp</v>
      </c>
      <c r="G121"/>
      <c r="H121" s="2" t="str">
        <f>=HYPERLINK("https://www.goofish.com/item?spm=a21ybx.personal.feeds.416.12e16ac2PYxLX9&amp;id=989296193820&amp;categoryId=50023914", "https://www.goofish.com/item?spm=a21ybx.personal.feeds.416.12e16ac2PYxLX9&amp;id=989296193820&amp;categoryId=50023914")</f>
        <v>https://www.goofish.com/item?spm=a21ybx.personal.feeds.416.12e16ac2PYxLX9&amp;id=989296193820&amp;categoryId=50023914</v>
      </c>
      <c r="I121"/>
      <c r="J121"/>
      <c r="K121"/>
    </row>
    <row r="122" ht="25.5" customHeight="1">
      <c r="A122" t="inlineStr">
        <is>
          <t>全国大学生职业生涯规</t>
        </is>
      </c>
      <c r="B122">
        <v>175</v>
      </c>
      <c r="C122" s="2" t="str">
        <f>=HYPERLINK("http://宝子稍等片刻，资源正在路上", "宝子稍等片刻，资源正在路上")</f>
        <v>宝子稍等片刻，资源正在路上</v>
      </c>
      <c r="D122" t="inlineStr">
        <is>
          <t>是</t>
        </is>
      </c>
      <c r="E122" t="inlineStr">
        <is>
          <t>全国大学生职业生涯规划大赛职规赛就业计划书高级感红色ppt模板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
</t>
        </is>
      </c>
      <c r="F122" s="2" t="str">
        <f>=HYPERLINK("http://img.alicdn.com/bao/uploaded/i2/O1CN01eqinHG1dZ5xBHBCCj_!!4611686018427387605-0-fleamarket.jpg_790x10000Q90.jpg_.webp", "img.alicdn.com/bao/uploaded/i2/O1CN01eqinHG1dZ5xBHBCCj_!!4611686018427387605-0-fleamarket.jpg_790x10000Q90.jpg_.webp")</f>
        <v>img.alicdn.com/bao/uploaded/i2/O1CN01eqinHG1dZ5xBHBCCj_!!4611686018427387605-0-fleamarket.jpg_790x10000Q90.jpg_.webp</v>
      </c>
      <c r="G122"/>
      <c r="H122" s="2" t="str">
        <f>=HYPERLINK("https://www.goofish.com/item?spm=a21ybx.personal.feeds.302.12e16ac2PYxLX9&amp;id=992027734857&amp;categoryId=50023914", "https://www.goofish.com/item?spm=a21ybx.personal.feeds.302.12e16ac2PYxLX9&amp;id=992027734857&amp;categoryId=50023914")</f>
        <v>https://www.goofish.com/item?spm=a21ybx.personal.feeds.302.12e16ac2PYxLX9&amp;id=992027734857&amp;categoryId=50023914</v>
      </c>
      <c r="I122"/>
      <c r="J122"/>
      <c r="K122"/>
    </row>
    <row r="123" ht="25.5" customHeight="1">
      <c r="A123" t="inlineStr">
        <is>
          <t>2025七上语文人教版全套资料473个文件</t>
        </is>
      </c>
      <c r="B123">
        <v>176</v>
      </c>
      <c r="C123" s="2" t="str">
        <f>=HYPERLINK("http://宝子稍等片刻，资源正在路上", "宝子稍等片刻，资源正在路上")</f>
        <v>宝子稍等片刻，资源正在路上</v>
      </c>
      <c r="D123" t="inlineStr">
        <is>
          <t>是</t>
        </is>
      </c>
      <c r="E123" t="inlineStr">
        <is>
          <t>✅ 包含473个文件，覆盖预习、复习、知识积累、考试冲刺全场景，助力孩子抢占学习先机✅ 涵盖必背内容、基础字词句、每课一练、早背晚默、重点归纳、单元检测、古诗文训练、名著专题等多类资料✅ 拍下百度网盘自动发货，标价即为卖价，无需等待，快速获取资料虚拟商品，拍下后无法退换，资料仅限学习使用。</t>
        </is>
      </c>
      <c r="F123" s="2" t="str">
        <f>=HYPERLINK("https://s.coze.cn/t/KV-hLagusOA/", "https://s.coze.cn/t/KV-hLagusOA/")</f>
        <v>https://s.coze.cn/t/KV-hLagusOA/</v>
      </c>
      <c r="G123"/>
      <c r="H123" s="2" t="str">
        <f>=HYPERLINK("https://www.goofish.com/item?spm=a21ybx.search.searchFeedList.5.1b377e61Ma7Ms3&amp;id=948726934630&amp;categoryId=202036301", "https://www.goofish.com/item?spm=a21ybx.search.searchFeedList.5.1b377e61Ma7Ms3&amp;id=948726934630&amp;categoryId=202036301")</f>
        <v>https://www.goofish.com/item?spm=a21ybx.search.searchFeedList.5.1b377e61Ma7Ms3&amp;id=948726934630&amp;categoryId=202036301</v>
      </c>
      <c r="I123"/>
      <c r="J123"/>
      <c r="K123"/>
    </row>
    <row r="124" ht="25.5" customHeight="1">
      <c r="A124" t="inlineStr">
        <is>
          <t>新人教A版高中数学全套课件教案</t>
        </is>
      </c>
      <c r="B124">
        <v>177</v>
      </c>
      <c r="C124" s="2" t="str">
        <f>=HYPERLINK("http://宝子稍等片刻，资源正在路上", "宝子稍等片刻，资源正在路上")</f>
        <v>宝子稍等片刻，资源正在路上</v>
      </c>
      <c r="D124" t="inlineStr">
        <is>
          <t>是</t>
        </is>
      </c>
      <c r="E124" t="inlineStr">
        <is>
          <t>✅ 特聘100名一线特级教师整理编撰，包含必修一二三和选修一二三全套电子版资料，更懂课堂教学✅ 优质PPT课件、精品教案，紧跟教学前沿，符合新课改，教学设计规范标准，轻松应对备课与检查✅ 适用于老师备课、学生自学、家长辅导，满足多种学习教学场景✅ 百度网盘发货，支持在线播放，标价为整理辛苦费注意事项：电子资料非实物，一经售出不退不换。资料来源于网络公开渠道，仅供学习交流使用，不用于商业用途，如涉及侵权，请及时联系删除。</t>
        </is>
      </c>
      <c r="F124" s="2" t="str">
        <f>=HYPERLINK("https://s.coze.cn/t/Tpk-8uFD06I/", "https://s.coze.cn/t/Tpk-8uFD06I/")</f>
        <v>https://s.coze.cn/t/Tpk-8uFD06I/</v>
      </c>
      <c r="G124"/>
      <c r="H124" s="2" t="str">
        <f>=HYPERLINK("https://www.goofish.com/item?spm=a21ybx.search.searchFeedList.26.1b377e61Ma7Ms3&amp;id=977151259449&amp;categoryId=202036301", "https://www.goofish.com/item?spm=a21ybx.search.searchFeedList.26.1b377e61Ma7Ms3&amp;id=977151259449&amp;categoryId=202036301")</f>
        <v>https://www.goofish.com/item?spm=a21ybx.search.searchFeedList.26.1b377e61Ma7Ms3&amp;id=977151259449&amp;categoryId=202036301</v>
      </c>
      <c r="I124"/>
      <c r="J124"/>
      <c r="K124"/>
    </row>
    <row r="125" ht="25.5" customHeight="1">
      <c r="A125" t="inlineStr">
        <is>
          <t>2025新中特PDF及课后答案复习资料</t>
        </is>
      </c>
      <c r="B125">
        <v>178</v>
      </c>
      <c r="C125" s="2" t="str">
        <f>=HYPERLINK("http://宝子稍等片刻，资源正在路上", "宝子稍等片刻，资源正在路上")</f>
        <v>宝子稍等片刻，资源正在路上</v>
      </c>
      <c r="D125" t="inlineStr">
        <is>
          <t>是</t>
        </is>
      </c>
      <c r="E125" t="inlineStr">
        <is>
          <t>✅ 包含2024和2021新中特复习资料，涵盖知识点总结、题库答案、课后习题答案、考试重难点等，覆盖研究生政治考试复习需求✅ 一手资料，完整无广告，避免其他店铺二次加工的干扰✅ 适用于研究生、本科生、博士生及相关课程学习者，满足不同学习场景✅ 拍下秒发货，百度网盘和夸克网盘双渠道发送，7*24小时自动发送，无需等待虚拟商品，拍下后无法退换，资料仅限学习使用。</t>
        </is>
      </c>
      <c r="F125" s="2" t="str">
        <f>=HYPERLINK("https://s.coze.cn/t/N4Vwqra8orI/", "https://s.coze.cn/t/N4Vwqra8orI/")</f>
        <v>https://s.coze.cn/t/N4Vwqra8orI/</v>
      </c>
      <c r="G125"/>
      <c r="H125" s="2" t="str">
        <f>=HYPERLINK("https://www.goofish.com/item?spm=a21ybx.search.searchFeedList.10.1b377e61Ma7Ms3&amp;id=993356819001&amp;categoryId=202036301", "https://www.goofish.com/item?spm=a21ybx.search.searchFeedList.10.1b377e61Ma7Ms3&amp;id=993356819001&amp;categoryId=202036301")</f>
        <v>https://www.goofish.com/item?spm=a21ybx.search.searchFeedList.10.1b377e61Ma7Ms3&amp;id=993356819001&amp;categoryId=202036301</v>
      </c>
      <c r="I125"/>
      <c r="J125"/>
      <c r="K125"/>
    </row>
    <row r="126" ht="25.5" customHeight="1">
      <c r="A126" t="inlineStr">
        <is>
          <t>2025版毛概期末题库，24h秒发</t>
        </is>
      </c>
      <c r="B126">
        <v>179</v>
      </c>
      <c r="C126" s="2" t="str">
        <f>=HYPERLINK("http://宝子稍等片刻，资源正在路上", "宝子稍等片刻，资源正在路上")</f>
        <v>宝子稍等片刻，资源正在路上</v>
      </c>
      <c r="D126" t="inlineStr">
        <is>
          <t>是</t>
        </is>
      </c>
      <c r="E126" t="inlineStr">
        <is>
          <t>✅ 大学老师提供的最新版毛概题库，包含八章全部内容，有选择题、大题、简答题，附带课后习题答案和复习笔记✅ 24小时自动发货，无需等待，助力期末高效复习虚拟商品，拍下后无法退换，资料仅限学习使用。</t>
        </is>
      </c>
      <c r="F126" s="2" t="str">
        <f>=HYPERLINK("https://s.coze.cn/t/u_Bp4BZlnl0/", "https://s.coze.cn/t/u_Bp4BZlnl0/")</f>
        <v>https://s.coze.cn/t/u_Bp4BZlnl0/</v>
      </c>
      <c r="G126"/>
      <c r="H126" s="2" t="str">
        <f>=HYPERLINK("https://www.goofish.com/item?spm=a21ybx.search.searchFeedList.29.1b377e61Ma7Ms3&amp;id=937046458029&amp;categoryId=202036301", "https://www.goofish.com/item?spm=a21ybx.search.searchFeedList.29.1b377e61Ma7Ms3&amp;id=937046458029&amp;categoryId=202036301")</f>
        <v>https://www.goofish.com/item?spm=a21ybx.search.searchFeedList.29.1b377e61Ma7Ms3&amp;id=937046458029&amp;categoryId=202036301</v>
      </c>
      <c r="I126"/>
      <c r="J126"/>
      <c r="K126"/>
    </row>
    <row r="127" ht="25.5" customHeight="1">
      <c r="A127" t="inlineStr">
        <is>
          <t>25届国网财会类考试资料，含题库讲义</t>
        </is>
      </c>
      <c r="B127">
        <v>180</v>
      </c>
      <c r="C127" s="2" t="str">
        <f>=HYPERLINK("http://宝子稍等片刻，资源正在路上", "宝子稍等片刻，资源正在路上")</f>
        <v>宝子稍等片刻，资源正在路上</v>
      </c>
      <c r="D127" t="inlineStr">
        <is>
          <t>是</t>
        </is>
      </c>
      <c r="E127" t="inlineStr">
        <is>
          <t>✅ 涵盖财务管理、会计类等财会专业，刚更新25届题库、讲义和模拟卷，资料最新最全✅ 独家筛选分类多家机构核心资料，包含网课视频、讲义、题库、真题模拟题和笔记，节省复习时间✅ 25届大纲和解析版企业文化（附快速记忆方法），时政更新至25年1月，含押题题库和重点题库拍前必看：图里的资料都有，需要就拍。虚拟商品，拍下后无法退换，资料仅限学习使用。</t>
        </is>
      </c>
      <c r="F127" s="2" t="str">
        <f>=HYPERLINK("https://s.coze.cn/t/b9mOUjJKOtc/", "https://s.coze.cn/t/b9mOUjJKOtc/")</f>
        <v>https://s.coze.cn/t/b9mOUjJKOtc/</v>
      </c>
      <c r="G127"/>
      <c r="H127" s="2" t="str">
        <f>=HYPERLINK("https://www.goofish.com/item?spm=a21ybx.search.searchFeedList.5.1b377e61Ma7Ms3&amp;id=903850991084&amp;categoryId=202036301", "https://www.goofish.com/item?spm=a21ybx.search.searchFeedList.5.1b377e61Ma7Ms3&amp;id=903850991084&amp;categoryId=202036301")</f>
        <v>https://www.goofish.com/item?spm=a21ybx.search.searchFeedList.5.1b377e61Ma7Ms3&amp;id=903850991084&amp;categoryId=202036301</v>
      </c>
      <c r="I127"/>
      <c r="J127"/>
      <c r="K127"/>
    </row>
    <row r="128" ht="25.5" customHeight="1">
      <c r="A128" t="inlineStr">
        <is>
          <t>自考15040新思想概论，资料超全</t>
        </is>
      </c>
      <c r="B128">
        <v>181</v>
      </c>
      <c r="C128" s="2" t="str">
        <f>=HYPERLINK("http://宝子稍等片刻，资源正在路上", "宝子稍等片刻，资源正在路上")</f>
        <v>宝子稍等片刻，资源正在路上</v>
      </c>
      <c r="D128" t="inlineStr">
        <is>
          <t>是</t>
        </is>
      </c>
      <c r="E128" t="inlineStr">
        <is>
          <t>✅ 包含2504精讲视频、2504串讲、最新历年真题、讲义、复习资料，全方位覆盖自考备考需求✅ 高清版资料，可网盘在线观看，格式排版清晰，支持直接打印✅ 拍下速发度盘，自动发本科目全部资料，还赠送复习资料✅ 电子版资料，一经售出不退不换，如有遗漏或链接失效可私信解决祝所有考生顺利通关，拿下本科证！</t>
        </is>
      </c>
      <c r="F128" s="2" t="str">
        <f>=HYPERLINK("https://s.coze.cn/t/z2jY7K8vacY/", "https://s.coze.cn/t/z2jY7K8vacY/")</f>
        <v>https://s.coze.cn/t/z2jY7K8vacY/</v>
      </c>
      <c r="G128"/>
      <c r="H128" s="2" t="str">
        <f>=HYPERLINK("https://www.goofish.com/item?spm=a21ybx.search.searchFeedList.28.1b377e61Ma7Ms3&amp;id=939071072800&amp;categoryId=202036301", "https://www.goofish.com/item?spm=a21ybx.search.searchFeedList.28.1b377e61Ma7Ms3&amp;id=939071072800&amp;categoryId=202036301")</f>
        <v>https://www.goofish.com/item?spm=a21ybx.search.searchFeedList.28.1b377e61Ma7Ms3&amp;id=939071072800&amp;categoryId=202036301</v>
      </c>
      <c r="I128"/>
      <c r="J128"/>
      <c r="K128"/>
    </row>
    <row r="129" ht="25.5" customHeight="1">
      <c r="A129" t="inlineStr">
        <is>
          <t>25新版小学知识大盘点语数英三科</t>
        </is>
      </c>
      <c r="B129">
        <v>182</v>
      </c>
      <c r="C129" s="2" t="str">
        <f>=HYPERLINK("http://宝子稍等片刻，资源正在路上", "宝子稍等片刻，资源正在路上")</f>
        <v>宝子稍等片刻，资源正在路上</v>
      </c>
      <c r="D129" t="inlineStr">
        <is>
          <t>是</t>
        </is>
      </c>
      <c r="E129" t="inlineStr">
        <is>
          <t>✅ 小学1-6年级知识点全面盘点梳理，不分年级、版本，全国通用，适合预习、复习使用✅ 高清pdf扫描版本，可自行打印，扫码看视频讲解、听音频，2025最新版✅ 三科打包1元，语文含小学知识大盘点＋高频必刷题，数学含小学知识大盘点＋思维导图，英语含小学知识大盘点＋高频必刷题✅ 发百度网盘，链接永久有效，可随时查看转存下载免责申明:本店所有资料版权归原作者和出版社所有，标价仅为自己收集整理的辛苦费，不代表原实物价格。如有侵权，立删。</t>
        </is>
      </c>
      <c r="F129" s="2" t="str">
        <f>=HYPERLINK("https://s.coze.cn/t/1gYfsb-tiPA/", "https://s.coze.cn/t/1gYfsb-tiPA/")</f>
        <v>https://s.coze.cn/t/1gYfsb-tiPA/</v>
      </c>
      <c r="G129"/>
      <c r="H129" s="2" t="str">
        <f>=HYPERLINK("https://www.goofish.com/item?spm=a21ybx.search.searchFeedList.8.1b377e61Ma7Ms3&amp;id=946001438110&amp;categoryId=202036301", "https://www.goofish.com/item?spm=a21ybx.search.searchFeedList.8.1b377e61Ma7Ms3&amp;id=946001438110&amp;categoryId=202036301")</f>
        <v>https://www.goofish.com/item?spm=a21ybx.search.searchFeedList.8.1b377e61Ma7Ms3&amp;id=946001438110&amp;categoryId=202036301</v>
      </c>
      <c r="I129"/>
      <c r="J129"/>
      <c r="K129"/>
    </row>
    <row r="130" ht="25.5" customHeight="1">
      <c r="A130" t="inlineStr">
        <is>
          <t>26初级护师历年真题，2010-2025年全含</t>
        </is>
      </c>
      <c r="B130">
        <v>183</v>
      </c>
      <c r="C130" s="2" t="str">
        <f>=HYPERLINK("http://宝子稍等片刻，资源正在路上", "宝子稍等片刻，资源正在路上")</f>
        <v>宝子稍等片刻，资源正在路上</v>
      </c>
      <c r="D130" t="inlineStr">
        <is>
          <t>是</t>
        </is>
      </c>
      <c r="E130" t="inlineStr">
        <is>
          <t>✅ 包含2010-2025年初级护师真题及答案解析，2025年真题已更新，题目与答案分开，方便下载打印做题✅ 资料丰富，有彩色考点笔记、口诀速记、计算公式、模拟文档题，还赠送高频考题✅ 拍下秒发百度网盘，可下载可打印，助力26年初级护师备考整理不易，发出不退换，希望理解，记得给个好评。</t>
        </is>
      </c>
      <c r="F130" s="2" t="str">
        <f>=HYPERLINK("https://s.coze.cn/t/d_szbpW8vzg/", "https://s.coze.cn/t/d_szbpW8vzg/")</f>
        <v>https://s.coze.cn/t/d_szbpW8vzg/</v>
      </c>
      <c r="G130"/>
      <c r="H130" s="2" t="str">
        <f>=HYPERLINK("https://www.goofish.com/item?spm=a21ybx.search.searchFeedList.27.1b377e61Ma7Ms3&amp;id=857227411020&amp;categoryId=202036301", "https://www.goofish.com/item?spm=a21ybx.search.searchFeedList.27.1b377e61Ma7Ms3&amp;id=857227411020&amp;categoryId=202036301")</f>
        <v>https://www.goofish.com/item?spm=a21ybx.search.searchFeedList.27.1b377e61Ma7Ms3&amp;id=857227411020&amp;categoryId=202036301</v>
      </c>
      <c r="I130"/>
      <c r="J130"/>
      <c r="K130"/>
    </row>
    <row r="131" ht="25.5" customHeight="1">
      <c r="A131" t="inlineStr">
        <is>
          <t>思想课期末冲刺包，大一到大三全覆盖</t>
        </is>
      </c>
      <c r="B131">
        <v>184</v>
      </c>
      <c r="C131" s="2" t="str">
        <f>=HYPERLINK("http://宝子稍等片刻，资源正在路上", "宝子稍等片刻，资源正在路上")</f>
        <v>宝子稍等片刻，资源正在路上</v>
      </c>
      <c r="D131" t="inlineStr">
        <is>
          <t>是</t>
        </is>
      </c>
      <c r="E131" t="inlineStr">
        <is>
          <t>✅ 2023版思想课重点笔记，期末重点一目了然，助力期末高效复习✅ 每个章节课后习题答案全收录，巩固知识点，查漏补缺✅ 题库及答案汇总、知识点总结+思维导图，让复习更有针对性✅ 适用于考研政治笔试、考研马理论复试、期末课后习题复习标价直接拍，虚拟商品，拍下后不退不换。</t>
        </is>
      </c>
      <c r="F131" s="2" t="str">
        <f>=HYPERLINK("https://s.coze.cn/t/7cpaTYE2BDU/", "https://s.coze.cn/t/7cpaTYE2BDU/")</f>
        <v>https://s.coze.cn/t/7cpaTYE2BDU/</v>
      </c>
      <c r="G131"/>
      <c r="H131" s="2" t="str">
        <f>=HYPERLINK("https://www.goofish.com/item?spm=a21ybx.search.searchFeedList.17.1b377e61Ma7Ms3&amp;id=975519024031&amp;categoryId=202036301", "https://www.goofish.com/item?spm=a21ybx.search.searchFeedList.17.1b377e61Ma7Ms3&amp;id=975519024031&amp;categoryId=202036301")</f>
        <v>https://www.goofish.com/item?spm=a21ybx.search.searchFeedList.17.1b377e61Ma7Ms3&amp;id=975519024031&amp;categoryId=202036301</v>
      </c>
      <c r="I131"/>
      <c r="J131"/>
      <c r="K131"/>
    </row>
    <row r="132" ht="25.5" customHeight="1">
      <c r="A132" t="inlineStr">
        <is>
          <t>沪科版初中数学七到九年级讲义</t>
        </is>
      </c>
      <c r="B132">
        <v>185</v>
      </c>
      <c r="C132" s="2" t="str">
        <f>=HYPERLINK("http://宝子稍等片刻，资源正在路上", "宝子稍等片刻，资源正在路上")</f>
        <v>宝子稍等片刻，资源正在路上</v>
      </c>
      <c r="D132" t="inlineStr">
        <is>
          <t>是</t>
        </is>
      </c>
      <c r="E132" t="inlineStr">
        <is>
          <t>✅ 讲义按课本章节整理，每章分基础版和提高版，均含知识点讲解与配套巩固练习✅ 适合在校老师课堂专题讲解、课外辅导一对一或班课直接使用✅ 一册1元，全套5元，送中考总复习，系统自动发货新教材新题，版权所有，有完整创作时间线，禁止翻卖，资料翻卖会追究。认准正版，根据新教材更新资料。</t>
        </is>
      </c>
      <c r="F132" s="2" t="str">
        <f>=HYPERLINK("https://s.coze.cn/t/UgEPzNN3fr8/", "https://s.coze.cn/t/UgEPzNN3fr8/")</f>
        <v>https://s.coze.cn/t/UgEPzNN3fr8/</v>
      </c>
      <c r="G132"/>
      <c r="H132" s="2" t="str">
        <f>=HYPERLINK("https://www.goofish.com/item?spm=a21ybx.search.searchFeedList.4.1b377e61Ma7Ms3&amp;id=807129218718&amp;categoryId=202036301", "https://www.goofish.com/item?spm=a21ybx.search.searchFeedList.4.1b377e61Ma7Ms3&amp;id=807129218718&amp;categoryId=202036301")</f>
        <v>https://www.goofish.com/item?spm=a21ybx.search.searchFeedList.4.1b377e61Ma7Ms3&amp;id=807129218718&amp;categoryId=202036301</v>
      </c>
      <c r="I132"/>
      <c r="J132"/>
      <c r="K132"/>
    </row>
    <row r="133" ht="25.5" customHeight="1">
      <c r="A133" t="inlineStr">
        <is>
          <t>2023版马原PDF，本科考研政治必备</t>
        </is>
      </c>
      <c r="B133">
        <v>187</v>
      </c>
      <c r="C133" s="2" t="str">
        <f>=HYPERLINK("http://宝子稍等片刻，资源正在路上", "宝子稍等片刻，资源正在路上")</f>
        <v>宝子稍等片刻，资源正在路上</v>
      </c>
      <c r="D133" t="inlineStr">
        <is>
          <t>是</t>
        </is>
      </c>
      <c r="E133" t="inlineStr">
        <is>
          <t>✅ 高等教育出版社正版教材PDF电子版，是本科学习与考研政治复习的必备资料✅ 拍下秒发百度网盘链接，获取速度超快，助力高效备考✅ 其他相关资料可随时咨询，全方位满足学习需求虚拟商品，拍下后不退不换，资料仅限学习使用。</t>
        </is>
      </c>
      <c r="F133" s="2" t="str">
        <f>=HYPERLINK("https://s.coze.cn/t/9zQ6oYAAubk/", "https://s.coze.cn/t/9zQ6oYAAubk/")</f>
        <v>https://s.coze.cn/t/9zQ6oYAAubk/</v>
      </c>
      <c r="G133"/>
      <c r="H133" s="2" t="str">
        <f>=HYPERLINK("https://www.goofish.com/item?spm=a21ybx.search.searchFeedList.7.1b377e61Ma7Ms3&amp;id=999178498819&amp;categoryId=201460510", "https://www.goofish.com/item?spm=a21ybx.search.searchFeedList.7.1b377e61Ma7Ms3&amp;id=999178498819&amp;categoryId=201460510")</f>
        <v>https://www.goofish.com/item?spm=a21ybx.search.searchFeedList.7.1b377e61Ma7Ms3&amp;id=999178498819&amp;categoryId=201460510</v>
      </c>
      <c r="I133"/>
      <c r="J133"/>
      <c r="K133"/>
    </row>
    <row r="134" ht="25.5" customHeight="1">
      <c r="A134" t="inlineStr">
        <is>
          <t>2025高中名校试卷真题库，9科全含</t>
        </is>
      </c>
      <c r="B134">
        <v>189</v>
      </c>
      <c r="C134" s="2" t="str">
        <f>=HYPERLINK("http://宝子稍等片刻，资源正在路上", "宝子稍等片刻，资源正在路上")</f>
        <v>宝子稍等片刻，资源正在路上</v>
      </c>
      <c r="D134" t="inlineStr">
        <is>
          <t>是</t>
        </is>
      </c>
      <c r="E134" t="inlineStr">
        <is>
          <t>✅ 高一、高二资料覆盖2024.7-2025.7，已整理至25年5月，包更新至对应时间；高三资料覆盖2024.6-2025.6，已整理至25年5月，包更新至25年6月✅ 高考9科按月整理，收录各地区名校试卷，配详细答案解析，掌握最新考试动态✅ 标价为三个年级打包价，每个年级几千套试卷，适合教学工作者研究试题和学生刷题✅ 24小时自动发渡盘，电子资料永久保存，可自行打印，方便学习使用试卷海量，不排除个别无答案，介意勿拍。价格为资料整理费用，如有侵权，联系客服删除。</t>
        </is>
      </c>
      <c r="F134" s="2" t="str">
        <f>=HYPERLINK("https://s.coze.cn/t/Td95X_zW8QM/", "https://s.coze.cn/t/Td95X_zW8QM/")</f>
        <v>https://s.coze.cn/t/Td95X_zW8QM/</v>
      </c>
      <c r="G134"/>
      <c r="H134" s="2" t="str">
        <f>=HYPERLINK("https://www.goofish.com/item?spm=a21ybx.search.searchFeedList.14.1b377e61Ma7Ms3&amp;id=945296404459&amp;categoryId=202036301", "https://www.goofish.com/item?spm=a21ybx.search.searchFeedList.14.1b377e61Ma7Ms3&amp;id=945296404459&amp;categoryId=202036301")</f>
        <v>https://www.goofish.com/item?spm=a21ybx.search.searchFeedList.14.1b377e61Ma7Ms3&amp;id=945296404459&amp;categoryId=202036301</v>
      </c>
      <c r="I134"/>
      <c r="J134"/>
      <c r="K134"/>
    </row>
    <row r="135" ht="25.5" customHeight="1">
      <c r="A135" t="inlineStr">
        <is>
          <t>小学英语语法练习题，58页电子版</t>
        </is>
      </c>
      <c r="B135">
        <v>190</v>
      </c>
      <c r="C135" s="2" t="str">
        <f>=HYPERLINK("http://宝子稍等片刻，资源正在路上", "宝子稍等片刻，资源正在路上")</f>
        <v>宝子稍等片刻，资源正在路上</v>
      </c>
      <c r="D135" t="inlineStr">
        <is>
          <t>是</t>
        </is>
      </c>
      <c r="E135" t="inlineStr">
        <is>
          <t>✅ 58页电子版练习资料，PDF可直接打印，含语法知识点和专项练习，讲解全面易懂，是巩固语法的优质选择✅ 全国教材通用，适配人教版、外研版、牛津版等多种教材✅ 拍下24小时自动发百度网盘链接，链接永不失效，可随时查看使用虚拟商品，因素材可复制性，一经发货概不退款，不接受退换。</t>
        </is>
      </c>
      <c r="F135" s="2" t="str">
        <f>=HYPERLINK("https://s.coze.cn/t/GyIU2gxyntY/", "https://s.coze.cn/t/GyIU2gxyntY/")</f>
        <v>https://s.coze.cn/t/GyIU2gxyntY/</v>
      </c>
      <c r="G135"/>
      <c r="H135" s="2" t="str">
        <f>=HYPERLINK("https://www.goofish.com/item?spm=a21ybx.search.searchFeedList.3.1b377e61Ma7Ms3&amp;id=941464310692&amp;categoryId=202036301", "https://www.goofish.com/item?spm=a21ybx.search.searchFeedList.3.1b377e61Ma7Ms3&amp;id=941464310692&amp;categoryId=202036301")</f>
        <v>https://www.goofish.com/item?spm=a21ybx.search.searchFeedList.3.1b377e61Ma7Ms3&amp;id=941464310692&amp;categoryId=202036301</v>
      </c>
      <c r="I135"/>
      <c r="J135"/>
      <c r="K135"/>
    </row>
    <row r="136" ht="25.5" customHeight="1">
      <c r="A136" t="inlineStr">
        <is>
          <t>计算机408考研资料合集，持续更新</t>
        </is>
      </c>
      <c r="B136">
        <v>191</v>
      </c>
      <c r="C136" s="2" t="str">
        <f>=HYPERLINK("http://宝子稍等片刻，资源正在路上", "宝子稍等片刻，资源正在路上")</f>
        <v>宝子稍等片刻，资源正在路上</v>
      </c>
      <c r="D136" t="inlineStr">
        <is>
          <t>是</t>
        </is>
      </c>
      <c r="E136" t="inlineStr">
        <is>
          <t>✅ 包含408八套卷答案解析、26竟成模拟题及解析、26零壹模拟卷、灰灰考研八套26年模拟题等优质资料✅ 百度网盘发货，完整电子版资料按年份分类整理，方便查找使用✅ 拍下稍等即可获取链接，后续资料会持续更新，助力考研备考虚拟商品，拍下后不退不换，资料仅限学习使用。</t>
        </is>
      </c>
      <c r="F136" s="2" t="str">
        <f>=HYPERLINK("https://s.coze.cn/t/2F5GkX50lIY/", "https://s.coze.cn/t/2F5GkX50lIY/")</f>
        <v>https://s.coze.cn/t/2F5GkX50lIY/</v>
      </c>
      <c r="G136"/>
      <c r="H136" s="2" t="str">
        <f>=HYPERLINK("https://www.goofish.com/item?spm=a21ybx.search.searchFeedList.23.1b377e61Ma7Ms3&amp;id=991304162422&amp;categoryId=202036301", "https://www.goofish.com/item?spm=a21ybx.search.searchFeedList.23.1b377e61Ma7Ms3&amp;id=991304162422&amp;categoryId=202036301")</f>
        <v>https://www.goofish.com/item?spm=a21ybx.search.searchFeedList.23.1b377e61Ma7Ms3&amp;id=991304162422&amp;categoryId=202036301</v>
      </c>
      <c r="I136"/>
      <c r="J136"/>
      <c r="K136"/>
    </row>
    <row r="137" ht="25.5" customHeight="1">
      <c r="A137" t="inlineStr">
        <is>
          <t>高中匠心地理课件全套，人教版</t>
        </is>
      </c>
      <c r="B137">
        <v>192</v>
      </c>
      <c r="C137" s="2" t="str">
        <f>=HYPERLINK("http://宝子稍等片刻，资源正在路上", "宝子稍等片刻，资源正在路上")</f>
        <v>宝子稍等片刻，资源正在路上</v>
      </c>
      <c r="D137" t="inlineStr">
        <is>
          <t>是</t>
        </is>
      </c>
      <c r="E137" t="inlineStr">
        <is>
          <t>✅ 包含匠心必修一、二课件，选择性必修一、二、三课件，区域地理课件（中国和世界地理）以及高三复习课件一轮二轮✅ 赠送匠心微专题课件，标价即为打包价，一站式获取优质地理教学资料✅ 适用于高中地理教学备课，助力老师打造精彩课堂特殊商品，不退不换，感兴趣可直接下单。</t>
        </is>
      </c>
      <c r="F137" s="2" t="str">
        <f>=HYPERLINK("https://s.coze.cn/t/oZYPR3nF7kc/", "https://s.coze.cn/t/oZYPR3nF7kc/")</f>
        <v>https://s.coze.cn/t/oZYPR3nF7kc/</v>
      </c>
      <c r="G137"/>
      <c r="H137" s="2" t="str">
        <f>=HYPERLINK("https://www.goofish.com/item?spm=a21ybx.search.searchFeedList.14.1b377e61Ma7Ms3&amp;id=974278541118&amp;categoryId=202036301", "https://www.goofish.com/item?spm=a21ybx.search.searchFeedList.14.1b377e61Ma7Ms3&amp;id=974278541118&amp;categoryId=202036301")</f>
        <v>https://www.goofish.com/item?spm=a21ybx.search.searchFeedList.14.1b377e61Ma7Ms3&amp;id=974278541118&amp;categoryId=202036301</v>
      </c>
      <c r="I137"/>
      <c r="J137"/>
      <c r="K137"/>
    </row>
    <row r="138" ht="25.5" customHeight="1">
      <c r="A138" t="inlineStr">
        <is>
          <t>曼昆宏观经济学第十十一版全套资料</t>
        </is>
      </c>
      <c r="B138">
        <v>193</v>
      </c>
      <c r="C138" s="2" t="str">
        <f>=HYPERLINK("http://宝子稍等片刻，资源正在路上", "宝子稍等片刻，资源正在路上")</f>
        <v>宝子稍等片刻，资源正在路上</v>
      </c>
      <c r="D138" t="inlineStr">
        <is>
          <t>是</t>
        </is>
      </c>
      <c r="E138" t="inlineStr">
        <is>
          <t>✅ 包含宏观经济学第十版、第十一版曼昆pdf笔记、教材、练习题以及课后习题答案，助力期末考试重点复习✅ 标价即拍价，价格市面最低，性价比超高虚拟商品，拍下后不退不换，资料仅限学习使用。</t>
        </is>
      </c>
      <c r="F138" s="2" t="str">
        <f>=HYPERLINK("https://s.coze.cn/t/zQESkpCL80o/", "https://s.coze.cn/t/zQESkpCL80o/")</f>
        <v>https://s.coze.cn/t/zQESkpCL80o/</v>
      </c>
      <c r="G138"/>
      <c r="H138" s="2" t="str">
        <f>=HYPERLINK("https://www.goofish.com/item?spm=a21ybx.search.searchFeedList.23.1b377e61Ma7Ms3&amp;id=953373572384&amp;categoryId=202036301", "https://www.goofish.com/item?spm=a21ybx.search.searchFeedList.23.1b377e61Ma7Ms3&amp;id=953373572384&amp;categoryId=202036301")</f>
        <v>https://www.goofish.com/item?spm=a21ybx.search.searchFeedList.23.1b377e61Ma7Ms3&amp;id=953373572384&amp;categoryId=202036301</v>
      </c>
      <c r="I138"/>
      <c r="J138"/>
      <c r="K138"/>
    </row>
    <row r="139" ht="25.5" customHeight="1">
      <c r="A139" t="inlineStr">
        <is>
          <t>2026新高考数学题型全解Word版</t>
        </is>
      </c>
      <c r="B139">
        <v>194</v>
      </c>
      <c r="C139" s="2" t="str">
        <f>=HYPERLINK("http://宝子稍等片刻，资源正在路上", "宝子稍等片刻，资源正在路上")</f>
        <v>宝子稍等片刻，资源正在路上</v>
      </c>
      <c r="D139" t="inlineStr">
        <is>
          <t>是</t>
        </is>
      </c>
      <c r="E139" t="inlineStr">
        <is>
          <t>✅ 讲义覆盖高考所有题型，例题和练习题多选自历年新高考真题及各省市优质模拟题，助学生熟悉高考命题风格与难度，适应高考节奏✅ 对真题详细分类解析，梳理数学知识，帮助学生构建完整知识体系，明确复习方向✅ 提供学生版和教师版原版Word，可编辑可打印，适用于高考数学一轮复习高中数学必备资料，助力高考数学复习。</t>
        </is>
      </c>
      <c r="F139" s="2" t="str">
        <f>=HYPERLINK("https://s.coze.cn/t/QXDoL5W8zCw/", "https://s.coze.cn/t/QXDoL5W8zCw/")</f>
        <v>https://s.coze.cn/t/QXDoL5W8zCw/</v>
      </c>
      <c r="G139"/>
      <c r="H139" s="2" t="str">
        <f>=HYPERLINK("https://www.goofish.com/item?spm=a21ybx.search.searchFeedList.4.1b377e61Ma7Ms3&amp;id=947259655001&amp;categoryId=202036301", "https://www.goofish.com/item?spm=a21ybx.search.searchFeedList.4.1b377e61Ma7Ms3&amp;id=947259655001&amp;categoryId=202036301")</f>
        <v>https://www.goofish.com/item?spm=a21ybx.search.searchFeedList.4.1b377e61Ma7Ms3&amp;id=947259655001&amp;categoryId=202036301</v>
      </c>
      <c r="I139"/>
      <c r="J139"/>
      <c r="K139"/>
    </row>
    <row r="140" ht="25.5" customHeight="1">
      <c r="A140" t="inlineStr">
        <is>
          <t>2025新人教版高中政治必背知识点7册</t>
        </is>
      </c>
      <c r="B140">
        <v>196</v>
      </c>
      <c r="C140" s="2" t="str">
        <f>=HYPERLINK("http://宝子稍等片刻，资源正在路上", "宝子稍等片刻，资源正在路上")</f>
        <v>宝子稍等片刻，资源正在路上</v>
      </c>
      <c r="D140" t="inlineStr">
        <is>
          <t>是</t>
        </is>
      </c>
      <c r="E140" t="inlineStr">
        <is>
          <t>✅ 高中全年级必修+选修7册知识点梳理，含填空版和背诵版，每单元两份Word文档（挖空版+答案版）✅ 专为新人教版设计，适配高考总复习一轮、二轮备考，快速记忆核心考点✅ 点击“直接刀成”5秒内发百度网盘，电子版资料即拍即得✅ 注意：仅限新人教版课本使用，其他版本勿拍，虚拟商品不退换</t>
        </is>
      </c>
      <c r="F140" s="2" t="str">
        <f>=HYPERLINK("https://s.coze.cn/t/uHV9WF_cGG4/", "https://s.coze.cn/t/uHV9WF_cGG4/")</f>
        <v>https://s.coze.cn/t/uHV9WF_cGG4/</v>
      </c>
      <c r="G140"/>
      <c r="H140" s="2" t="str">
        <f>=HYPERLINK("https://www.goofish.com/item?spm=a21ybx.search.searchFeedList.13.1b377e61Ma7Ms3&amp;id=953038530018&amp;categoryId=202036301", "https://www.goofish.com/item?spm=a21ybx.search.searchFeedList.13.1b377e61Ma7Ms3&amp;id=953038530018&amp;categoryId=202036301")</f>
        <v>https://www.goofish.com/item?spm=a21ybx.search.searchFeedList.13.1b377e61Ma7Ms3&amp;id=953038530018&amp;categoryId=202036301</v>
      </c>
      <c r="I140"/>
      <c r="J140"/>
      <c r="K140"/>
    </row>
    <row r="141" ht="25.5" customHeight="1">
      <c r="A141" t="inlineStr">
        <is>
          <t>26+25武忠祥选填技巧课 高效提分</t>
        </is>
      </c>
      <c r="B141">
        <v>197</v>
      </c>
      <c r="C141" s="2" t="str">
        <f>=HYPERLINK("http://宝子稍等片刻，资源正在路上", "宝子稍等片刻，资源正在路上")</f>
        <v>宝子稍等片刻，资源正在路上</v>
      </c>
      <c r="D141" t="inlineStr">
        <is>
          <t>是</t>
        </is>
      </c>
      <c r="E141" t="inlineStr">
        <is>
          <t>✅ 涵盖26选填技巧课（实时更新）与25完整版选填技巧课，搭配视频板书，满足不同复习节奏需求✅ 包含25武忠祥《解题密码 选填题》练习题详解，攻克选填难题✅ 视频为mp4格式，无需额外播放器，百度网盘、夸克网盘自动发货，便捷获取✅ 武忠祥名师授课，课程质量高，助力考生提升选填答题能力注意：26课程更新较慢，复习进度快的同学可选择25版课程</t>
        </is>
      </c>
      <c r="F141" s="2" t="str">
        <f>=HYPERLINK("https://s.coze.cn/t/M0casKewyfQ/", "https://s.coze.cn/t/M0casKewyfQ/")</f>
        <v>https://s.coze.cn/t/M0casKewyfQ/</v>
      </c>
      <c r="G141"/>
      <c r="H141" s="2" t="str">
        <f>=HYPERLINK("https://www.goofish.com/item?spm=a21ybx.search.searchFeedList.20.1b377e61Ma7Ms3&amp;id=989632758919&amp;categoryId=202036301", "https://www.goofish.com/item?spm=a21ybx.search.searchFeedList.20.1b377e61Ma7Ms3&amp;id=989632758919&amp;categoryId=202036301")</f>
        <v>https://www.goofish.com/item?spm=a21ybx.search.searchFeedList.20.1b377e61Ma7Ms3&amp;id=989632758919&amp;categoryId=202036301</v>
      </c>
      <c r="I141"/>
      <c r="J141"/>
      <c r="K141"/>
    </row>
  </sheetData>
  <dataValidations count="1">
    <dataValidation allowBlank="false" sqref="D2:D140" type="list">
      <formula1>"是,否"</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