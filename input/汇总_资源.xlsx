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资源"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3">
    <font>
      <sz val="11"/>
      <color theme="1"/>
      <name val="DengXian"/>
      <family val="2"/>
    </font>
    <font>
      <sz val="10"/>
      <color/>
      <name val="Calibri"/>
      <family val="2"/>
    </font>
    <font>
      <u val="single"/>
      <sz val="11"/>
      <color rgb="FF0000FF"/>
      <name val="DengXian"/>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0" fontId="2" fillId="0" borderId="0" xfId="0" applyFon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0" customWidth="1"/>
    <col min="8" max="8" width="19" customWidth="1"/>
    <col min="9" max="9" width="19" customWidth="1"/>
    <col min="10" max="10" width="19" customWidth="1"/>
    <col min="11" max="11" width="0" customWidth="1"/>
  </cols>
  <sheetData>
    <row r="1" ht="13" customHeight="1">
      <c r="A1" s="1" t="inlineStr">
        <is>
          <t>名称</t>
        </is>
      </c>
      <c r="B1" s="1" t="inlineStr">
        <is>
          <t>编码</t>
        </is>
      </c>
      <c r="C1" s="1" t="inlineStr">
        <is>
          <t>已经定时发布</t>
        </is>
      </c>
      <c r="D1" s="1" t="inlineStr">
        <is>
          <t>发货内容</t>
        </is>
      </c>
      <c r="E1" s="1" t="inlineStr">
        <is>
          <t>标题</t>
        </is>
      </c>
      <c r="F1" s="1" t="inlineStr">
        <is>
          <t>图片</t>
        </is>
      </c>
      <c r="G1" s="1" t="inlineStr">
        <is>
          <t>图片路径（影刀）</t>
        </is>
      </c>
      <c r="H1" s="1" t="inlineStr">
        <is>
          <t>链接网址</t>
        </is>
      </c>
      <c r="I1" s="1" t="inlineStr">
        <is>
          <t>是否出单</t>
        </is>
      </c>
      <c r="J1" s="1" t="inlineStr">
        <is>
          <t>完成转存</t>
        </is>
      </c>
      <c r="K1" s="1" t="inlineStr">
        <is>
          <t>豆瓣搜索</t>
        </is>
      </c>
    </row>
    <row r="2" ht="25.5" customHeight="1">
      <c r="A2" t="inlineStr">
        <is>
          <t>【赠品】</t>
        </is>
      </c>
      <c r="B2">
        <v>1</v>
      </c>
      <c r="C2" t="inlineStr">
        <is>
          <t>是</t>
        </is>
      </c>
      <c r="D2" t="inlineStr">
        <is>
          <t>赠送：
1、【上千部优秀电影资源】
打开最新版「夸克APP」即可获取，畅享原画，免费5倍速播放，支持AI字幕和投屏。夸克网盘链接：https://pan.quark.cn/s/824507145116
2、【各种职场技能全都有】
打开最新版「夸克APP」即可获取，夸克网盘链接：https://pan.quark.cn/s/6631055fd82d
3、生活、职场、饭局等【人情世故】实用指南
通过百度网盘分享的文件：
链接:https://pan.baidu.com/s/13pAGMn4CwzN3b6rHEBdTdw?pwd=1b38 
复制这段内容打开「百度网盘APP 即可获取」
4、网易云破J版
夸克：https://pan.quark.cn/s/111813b950ea</t>
        </is>
      </c>
      <c r="E2"/>
      <c r="F2" s="2"/>
      <c r="G2"/>
      <c r="H2" s="2"/>
      <c r="I2"/>
      <c r="J2"/>
      <c r="K2" t="inlineStr">
        <is>
          <t>【赠品】</t>
        </is>
      </c>
    </row>
    <row r="3" ht="25.5" customHeight="1">
      <c r="A3" t="inlineStr">
        <is>
          <t>葬送的芙莉莲</t>
        </is>
      </c>
      <c r="B3">
        <v>2</v>
      </c>
      <c r="C3" t="inlineStr">
        <is>
          <t>是</t>
        </is>
      </c>
      <c r="D3" t="inlineStr">
        <is>
          <t>百度：
https://pan.baidu.com/s/1Bswdx7COeEy-l2JDdX_tAw?pwd=13s2
夸克：
https://pan.quark.cn/s/9a9f99a3630b</t>
        </is>
      </c>
      <c r="E3" t="inlineStr">
        <is>
          <t>葬送的芙莉莲(28集全) 蓝光4K+超清1080P/官方正式版/原声中字/超高清动漫电视剧/完整版全集/原版未删减/适合收藏
同时发4K和1080P两版资源</t>
        </is>
      </c>
      <c r="F3" s="2"/>
      <c r="G3"/>
      <c r="H3" s="2"/>
      <c r="I3"/>
      <c r="J3"/>
      <c r="K3" t="inlineStr">
        <is>
          <t>葬送的芙莉莲</t>
        </is>
      </c>
    </row>
    <row r="4" ht="25.5" customHeight="1">
      <c r="A4" t="inlineStr">
        <is>
          <t>甄嬛传</t>
        </is>
      </c>
      <c r="B4">
        <v>3</v>
      </c>
      <c r="C4" t="inlineStr">
        <is>
          <t>是</t>
        </is>
      </c>
      <c r="D4" t="inlineStr">
        <is>
          <t>百度网盘链接: https://pan.baidu.com/s/1eFgu7FMLf_P0JwsDuuymGA?pwd=68z3
我用夸克网盘链接：https://pan.quark.cn/s/6ae800ba1241</t>
        </is>
      </c>
      <c r="E4" t="inlineStr">
        <is>
          <t>《甄嬛传》全76集 蓝光4K+1080➕国粤中字幕➕可投屏
━━━━━━24小时自动发货━━━━━━
[超便宜]夸克网盘包含:
甄嬛传国语:4K  单集2.8G版本〔共198G〕
            4KHDR  单集6G版本〔490G〕收藏版
[超便宜]百度网盘包含:
甄嬛传国语:4K  单集2.8G版本〔共198G〕
            超清1080P  单集400M〔32G〕小体积
[钉子]附带赠送:超清1080+[国粤双音轨]+[内封外挂字幕][可剪辑版][共123G][mkv]
[hot]百度网盘下载后才可以切换粤语
[钉子]需知：在线观看高级别画质需开通会员，无会员可下载后观看视频原画质。
=========夸克+百度双盘===========
[超便宜]注意:拍“2人小刀”时，可点击右上方〔还差一人刀成，直接刀成〕，这样无需等待，秒发货
[超便宜]本资源是免费分享，价格为整理材料人工费用。如有侵权，联系我主动下架删除。最终版权归作者所有，本人不承担任何法律责任。#电视剧</t>
        </is>
      </c>
      <c r="F4" s="2"/>
      <c r="G4"/>
      <c r="H4" s="2"/>
      <c r="I4"/>
      <c r="J4"/>
      <c r="K4" t="inlineStr">
        <is>
          <t>甄嬛传</t>
        </is>
      </c>
    </row>
    <row r="5" ht="25.5" customHeight="1">
      <c r="A5" t="inlineStr">
        <is>
          <t>僵尸先生1-7</t>
        </is>
      </c>
      <c r="B5">
        <v>4</v>
      </c>
      <c r="C5" t="inlineStr">
        <is>
          <t>是</t>
        </is>
      </c>
      <c r="D5" t="inlineStr">
        <is>
          <t>夸克链接：https://pan.quark.cn/s/00a476a000df
百度链接: https://pan.baidu.com/s/1WTaL2bTeohOtoIzUMz0Jqg?pwd=czcf</t>
        </is>
      </c>
      <c r="E5" t="inlineStr">
        <is>
          <t>《僵尸先生1-7部》超清修复4K+1080➕夸度双盘秒发➕7部全➕国粤中字幕
━━━━━━24小时自动发货━━━━━━
1.《僵尸先生》（1985年）4K+1080双版
2.《僵尸家族》（1986年）4K+1080双版
3.《灵幻先生》（1987年）4K+1080双版
4.《僵尸叔叔》（1988年）4K+1080双版
5.《一眉道人》（1989年）1080p
6.《驱魔警察》（1990年）1080p
7.《新僵尸先生》（1992年）4K+1080双版
[钉子]需知：在线观看高级别画质需开通会员，无会员可下载后观看视频原画质。
[钉子]介绍:国语+粤语（百度网盘默认国语）
=========夸克+百度双盘===========
[火]注意:拍“2人小刀”时，可点击右上方〔还差一人刀成，直接刀成〕，这样无需等待，秒发货
[火]本资源是免费分享，价格为整理材料人工费用。如有侵权，联系我主动下架删除。最终版权归作者所有，本人不承担任何法律责任。#电影#高清修复#老电影</t>
        </is>
      </c>
      <c r="F5" s="2"/>
      <c r="G5"/>
      <c r="H5" s="2"/>
      <c r="I5"/>
      <c r="J5"/>
      <c r="K5" t="inlineStr">
        <is>
          <t>新僵尸先生</t>
        </is>
      </c>
    </row>
    <row r="6" ht="25.5" customHeight="1">
      <c r="A6" t="inlineStr">
        <is>
          <t>战狼1-2</t>
        </is>
      </c>
      <c r="B6">
        <v>5</v>
      </c>
      <c r="C6" t="inlineStr">
        <is>
          <t>是</t>
        </is>
      </c>
      <c r="D6" t="inlineStr">
        <is>
          <t>我用夸克网盘链接：https://pan.quark.cn/s/3b5351291539
通过百度网盘链接: https://pan.baidu.com/s/1uQ2IaRHkf2Jp1nBudHswag?pwd=ut2s</t>
        </is>
      </c>
      <c r="E6" t="inlineStr">
        <is>
          <t>《战狼1+2》原盘高清！支持投屏！双盘秒发货！可投屏！
━━━━━━◈◈◈━━━━━━
▫️资源规格：原盘高清（单部30G/共2部）
▫️字幕类型：国语中英字幕（右下角自由选择）
▫️发货方试：百度+夸克网盘双盘秒发！
[超便宜]需知：在线观看高级别画质需开通会员，无会员可下载后观看视频原画质。
=========夸克+百度双盘===========
[钉子]注意:拍“2人小刀”时，可点击右上方〔还差一人刀成，直接刀成〕，这样无需等待，秒发货
[钉子]本资源是免费分享，价格为整理材料人工费用。如有侵权，联系我主动下架删除。最终版权归作者所有，本人不承担任何法律责任。#电影</t>
        </is>
      </c>
      <c r="F6" s="2"/>
      <c r="G6"/>
      <c r="H6" s="2"/>
      <c r="I6"/>
      <c r="J6"/>
      <c r="K6" t="inlineStr">
        <is>
          <t>战狼1</t>
        </is>
      </c>
    </row>
    <row r="7" ht="25.5" customHeight="1">
      <c r="A7" t="inlineStr">
        <is>
          <t>狂飙</t>
        </is>
      </c>
      <c r="B7">
        <v>6</v>
      </c>
      <c r="C7" t="inlineStr">
        <is>
          <t>是</t>
        </is>
      </c>
      <c r="D7" t="inlineStr">
        <is>
          <t>夸克网盘链接：https://pan.quark.cn/s/46eab5132dc0
百度网盘链接: https://pan.baidu.com/s/13NXU58cTFkK7WpUvh0F34g?pwd=5d6s</t>
        </is>
      </c>
      <c r="E7" t="inlineStr">
        <is>
          <t>《狂飙》蓝光4K➕夸度双盘秒发➕39集全➕国语中字幕
━━━━━━24小时自动发货━━━━━━
▫️资源规格:  4K蓝光（共73G）
▫️字幕类型:  原声中字
▫️文件类型:  mp4
▫️发货方试:  百度+夸克网盘双盘秒发！
[钉子]需知：在线观看高级别画质需开通会员，无会员可下载后观看视频原画质。
[钉子]介绍:京海市一线刑警安欣（张译 饰），在与黑恶势力的斗争中，不断遭到保护伞的打击，始终无法将犯罪分子绳之以法。全国政法队伍教育整顿工作开展后，临江省派出指导组入驻京海，联合公检法司各部门，清除了政法队伍内部的腐败分子，粉碎了黑恶势力的保护伞，一举铲除了盘踞京海多年的强盛集团。
=========夸克+百度双盘===========
[火]注意:拍“2人小刀”时，可点击右上方〔还差一人刀成，直接刀成〕，这样无需等待，秒发货
[火]本资源是免费分享，价格为整理材料人工费用。如有侵权，联系我主动下架删除。最终版权归作者所有，本人不承担任何法律责任。#电视剧</t>
        </is>
      </c>
      <c r="F7" s="2"/>
      <c r="G7"/>
      <c r="H7" s="2"/>
      <c r="I7"/>
      <c r="J7"/>
      <c r="K7" t="inlineStr">
        <is>
          <t>狂飙</t>
        </is>
      </c>
    </row>
    <row r="8" ht="25.5" customHeight="1">
      <c r="A8" t="inlineStr">
        <is>
          <t xml:space="preserve">人民的名义 </t>
        </is>
      </c>
      <c r="B8">
        <v>7</v>
      </c>
      <c r="C8" t="inlineStr">
        <is>
          <t>是</t>
        </is>
      </c>
      <c r="D8" t="inlineStr">
        <is>
          <t>
我用夸克网盘链接：https://pan.quark.cn/s/fcba4912e87f
通过百度网盘链接: https://pan.baidu.com/s/18Hi32xc0NQunM3VK13p8xQ?pwd=896r</t>
        </is>
      </c>
      <c r="E8" t="inlineStr">
        <is>
          <t>《人民的名义》4k蓝光全集珍藏版！未删减！夸度双盘秒发！
━━━━━━◈◈◈━━━━━━
▫️资源规格：超清4K（单集2.8G/共55集）
▫️字幕类型：国语中字幕
▫️发货方试：百度云+夸克网盘双盘秒发！
[钉子]需知：在线观看高级别画质需开通会员，无会员可下载后观看视频原画质。
=========夸克+百度双盘===========
[火]注意:拍“2人小刀”时，可点击右上方〔还差一人刀成，直接刀成〕，这样无需等待，秒发货
[火]本资源是免费分享，价格为整理材料人工费用。如有侵权，联系我主动下架删除。最终版权归作者所有，本人不承担任何法律责任。#电视剧</t>
        </is>
      </c>
      <c r="F8" s="2"/>
      <c r="G8"/>
      <c r="H8" s="2"/>
      <c r="I8"/>
      <c r="J8"/>
      <c r="K8" t="inlineStr">
        <is>
          <t xml:space="preserve">人民的名义 </t>
        </is>
      </c>
    </row>
    <row r="9" ht="25.5" customHeight="1">
      <c r="A9" t="inlineStr">
        <is>
          <t>圣斗士星矢 12部</t>
        </is>
      </c>
      <c r="B9">
        <v>8</v>
      </c>
      <c r="C9" t="inlineStr">
        <is>
          <t>是</t>
        </is>
      </c>
      <c r="D9" t="inlineStr">
        <is>
          <t>我用夸克链接：https://pan.quark.cn/s/16fe692d244f
百度链接: https://pan.baidu.com/s/1BPbS7l_7S9EBqav4eKRA7g?pwd=c226</t>
        </is>
      </c>
      <c r="E9" t="inlineStr">
        <is>
          <t>【圣斗士星矢】 蓝光压缩1080P 12部珍藏版 每集900M 多语顶配动画片(广配国语+台配国语+粤语+日语+法语配音+中文字幕) + 圣斗士星矢全系列漫画 共500G 超大容量 童年回忆 珍藏版
[cool]动画片可以直接在网盘上播放(无需下载)
[火][火][火]动画片(460G)  蓝光压缩1080P 高码HDR 极清画质 国粤法日多语配音 中文字幕： 
   01.TV版(银河战争篇+教皇刺客篇+黄道十二宫篇+北欧篇+海皇篇)114话全   
   02.冥王十二宫篇 13话全
   03.冥界篇前后章 12话全 
   04.极乐净土篇 6话全
   05.冥王神话篇 26话全 
   06.欧米伽 97话全
   07.黄金魂 13话全
   08.剧场版 6部
   09.圣斗少女翔 10话全
   10.十二宫骑士 12话全
   11.圣斗士星矢 真人版电影
   12.圣斗士星矢3D动画电影 
[火][火][火]圣斗士全系列漫画(36G) (多格式):
   圣斗士星矢完全版【港版】
   圣斗士星矢完全版【台版】
   圣斗士星矢（简体版）
   圣斗士星矢冥王神话
   圣斗士星矢冥王神话外传
   圣斗少女翔
   圣斗士星矢EPIS斗士星矢Ω
发货方试：百度+夸克网盘双盘秒发
━━━━━━◈◈◈━━━━━━
1️⃣ 选择【立即购买】自动秒发货
2️⃣ 2人小刀用户请注意！请选择【直接刀成】不然可能需要等待！第一位免拼！
3️⃣【声明】本资源是免费分享，价格为整理材料人工费用。如有侵权，联系我主动下架删除。最终版权归作者所有，本人不承担任何法律责任。
━━━━━━━━━━━━━━━#圣斗士</t>
        </is>
      </c>
      <c r="F9" s="2"/>
      <c r="G9"/>
      <c r="H9" s="2"/>
      <c r="I9"/>
      <c r="J9"/>
      <c r="K9" t="inlineStr">
        <is>
          <t>圣斗士星矢 12部</t>
        </is>
      </c>
    </row>
    <row r="10" ht="25.5" customHeight="1">
      <c r="A10" t="inlineStr">
        <is>
          <t>启示</t>
        </is>
      </c>
      <c r="B10">
        <v>9</v>
      </c>
      <c r="C10" t="inlineStr">
        <is>
          <t>是</t>
        </is>
      </c>
      <c r="D10" t="inlineStr">
        <is>
          <t>【秒发】启示/4K蓝光/国语版+玛雅版正式139分钟完整版+
百度网盘链接: https://pan.baidu.com/s/18TJmWRdUQ7OYBNt6QmTPjw?pwd=44zd
夸克链接：https://pan.quark.cn/s/047362f4ce0a</t>
        </is>
      </c>
      <c r="E10" t="inlineStr">
        <is>
          <t>【秒发】启示/4K蓝光/国语版+玛雅版正式139分钟完整版+
中英文字幕/可投屏
极致画质58G珍藏完整版 包括：
《启示》2006年 4K蓝光HDR超高清[国语版]
正式完整139分钟，国语+内嵌中文字幕
《启示》2006年 4K蓝光HDR超高清[玛雅版]
正式完整139分钟，玛雅语+内嵌中英文字幕
[国语版+玛雅原版]一起发！支持投屏！秒发货
百度网盘➕夸克网盘 双盘秒发
【24小时自动发货】
点击【直接刀成】不用等发货
点击【直接刀成】不用等发货
点击【直接刀成】不用等发货</t>
        </is>
      </c>
      <c r="F10" s="2"/>
      <c r="G10"/>
      <c r="H10" s="2"/>
      <c r="I10"/>
      <c r="J10"/>
      <c r="K10" t="inlineStr">
        <is>
          <t>启示</t>
        </is>
      </c>
    </row>
    <row r="11" ht="25.5" customHeight="1">
      <c r="A11" t="inlineStr">
        <is>
          <t>个人简历ppt模板</t>
        </is>
      </c>
      <c r="B11">
        <v>10</v>
      </c>
      <c r="C11" t="inlineStr">
        <is>
          <t>是</t>
        </is>
      </c>
      <c r="D11" t="inlineStr">
        <is>
          <t>链接【请复制链接到百度网盘打开，然后即可保存和下载。不要直接点！不要直接点！不要直接点！】：https://pan.baidu.com/s/1Tdg_gxJDnCUyqn6sM09tsA?pwd=5678
提取码:5678
  永久链接  持续更新中
收货好平 再送一款哦，祝您生活愉快~</t>
        </is>
      </c>
      <c r="E11" t="inlineStr">
        <is>
          <t>个人简历ppt模板自我介绍工作岗位竞聘竞选应聘求职转正述职演讲
⭐️无需解压，打开即可编辑
⭐️每套风格都是我精心挑选出来的。
⭐️每个风格都有单独归类文档编号跟预览，方便查找！
⭐️标价就是售价，直接拍 拍下秒发☁️盘
此套全员高级！一步到位~
全部精品！没有一个滥竽充数的模板！
喜欢的亲们，不用问在不在，直接拍。</t>
        </is>
      </c>
      <c r="F11" s="2"/>
      <c r="G11"/>
      <c r="H11" s="2"/>
      <c r="I11"/>
      <c r="J11"/>
      <c r="K11"/>
    </row>
    <row r="12" ht="25.5" customHeight="1">
      <c r="A12" t="inlineStr">
        <is>
          <t>科研PPT模板</t>
        </is>
      </c>
      <c r="B12">
        <v>11</v>
      </c>
      <c r="C12" t="inlineStr">
        <is>
          <t>是</t>
        </is>
      </c>
      <c r="D12" t="inlineStr">
        <is>
          <t>通过网盘分享的文件：A047-科研学术汇报文献汇报PPT 链接: https://pan.baidu.com/s/1i3YBzMmKEwO_-PRuBsgmEQ?pwd=i6cy 提取码: i6cy 手机使用：复制整段话到百度网盘自动提取 电脑使用：复制上面发您的链接在浏览器地址栏 好-平，可任选店里一个宝贝免费送哦！</t>
        </is>
      </c>
      <c r="E12" t="inlineStr">
        <is>
          <t>科研PPT模板学术汇报项目组会论文献答辩研究生开题报告职称申报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12" s="2"/>
      <c r="G12"/>
      <c r="H12" s="2"/>
      <c r="I12"/>
      <c r="J12"/>
      <c r="K12"/>
    </row>
    <row r="13" ht="25.5" customHeight="1">
      <c r="A13" t="inlineStr">
        <is>
          <t>【秒发】英语课堂游戏ppt</t>
        </is>
      </c>
      <c r="B13">
        <v>12</v>
      </c>
      <c r="C13" t="inlineStr">
        <is>
          <t>是</t>
        </is>
      </c>
      <c r="D13" t="inlineStr">
        <is>
          <t>这是您要的资料：
【超级会员V3】通过百度网盘分享的文件：英语课堂游戏PP…
链接:https://pan.baidu.com/s/1cp-X8sDmFl6Q4DajLCa81w?pwd=jh35 
提取码:jh35
复制这段内容打开「百度网盘APP 即可获取」</t>
        </is>
      </c>
      <c r="E13" t="inlineStr">
        <is>
          <t>【秒发】英语课堂游戏ppt教具趣味教学互动教师公开课单词造句小游戏课件
4000款学英语游戏PPT
拿来就用/可修改/可编辑
销量前三我都买了
标价就是售价
24小时自动发货
拍下即发货
下单后自动秒发货到聊天窗口
如果没有收到链接或链接失效
请联系人工客服
客服在线时间晚10:00点
#发布技能来赚钱 #学习资料教材</t>
        </is>
      </c>
      <c r="F13" s="2" t="str">
        <f>=HYPERLINK("http://img.alicdn.com/bao/uploaded/i4/O1CN015ph24l1LvqS14RntA_!!4611686018427381938-53-fleamarket.heic_790x10000Q90.jpg_.webp", "img.alicdn.com/bao/uploaded/i4/O1CN015ph24l1LvqS14RntA_!!4611686018427381938-53-fleamarket.heic_790x10000Q90.jpg_.webp")</f>
        <v>img.alicdn.com/bao/uploaded/i4/O1CN015ph24l1LvqS14RntA_!!4611686018427381938-53-fleamarket.heic_790x10000Q90.jpg_.webp</v>
      </c>
      <c r="G13"/>
      <c r="H13" s="2"/>
      <c r="I13"/>
      <c r="J13"/>
      <c r="K13"/>
    </row>
    <row r="14" ht="25.5" customHeight="1">
      <c r="A14" t="inlineStr">
        <is>
          <t>ppt模板高级感简约商务</t>
        </is>
      </c>
      <c r="B14">
        <v>13</v>
      </c>
      <c r="C14" t="inlineStr">
        <is>
          <t>是</t>
        </is>
      </c>
      <c r="D14" t="inlineStr">
        <is>
          <t>通过网盘分享的文件：SS100-9999PPT
链接: https://pan.baidu.com/s/1Q5wU5DtRlub8SWKujZmtVA?pwd=frqh 提取码: frqh 
手机使用：复制整段话到百度网盘自动提取
电脑使用：复制上面发您的链接在浏览器地址栏</t>
        </is>
      </c>
      <c r="E14" t="inlineStr">
        <is>
          <t>ppt模板高级感简约商务毕业答辩教师课件工作汇报总结动态模版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14" s="2" t="str">
        <f>=HYPERLINK("http://img.alicdn.com/bao/uploaded/i2/O1CN01EM2dUg1dZ5wnvSFdA_!!4611686018427387605-0-fleamarket.jpg_790x10000Q90.jpg_.webp", "img.alicdn.com/bao/uploaded/i2/O1CN01EM2dUg1dZ5wnvSFdA_!!4611686018427387605-0-fleamarket.jpg_790x10000Q90.jpg_.webp")</f>
        <v>img.alicdn.com/bao/uploaded/i2/O1CN01EM2dUg1dZ5wnvSFdA_!!4611686018427387605-0-fleamarket.jpg_790x10000Q90.jpg_.webp</v>
      </c>
      <c r="G14"/>
      <c r="H14" s="2"/>
      <c r="I14"/>
      <c r="J14"/>
      <c r="K14"/>
    </row>
    <row r="15" ht="25.5" customHeight="1">
      <c r="A15" t="inlineStr">
        <is>
          <t>500页创意图文PPT模板，一键换图超实用</t>
        </is>
      </c>
      <c r="B15">
        <v>14</v>
      </c>
      <c r="C15" t="inlineStr">
        <is>
          <t>是</t>
        </is>
      </c>
      <c r="D15" t="inlineStr">
        <is>
          <t>通过网盘分享的文件：B107-最新500页全动画PPT模板
链接: https://pan.baidu.com/s/1JFXEgeQoQwF29nujKz-h1Q 提取码: 9999 
--来自百度网盘超级会员v3的分享</t>
        </is>
      </c>
      <c r="E15" t="inlineStr">
        <is>
          <t>500页创意图文PPT模板，一键换图超实用！适合工作汇报、项目报告、策划方案等场景。包含多图排版、截图展示、人物介绍等多种模板，100%可编辑，用更少时间做出更高级的图文页面。标价就是卖价，24小时自动发货，网盘链接永久有效。
百度网盘发货
免责声明:
1.本店均通过网络等渠道合法获得，仅作为阅读交流使用，无任何商业目的。
2.本店商品价格是网盘储存费用和人工整理资料费用，并非资料本身价格。
3.本店为广大朋友提供音频视频资料学习，特此声明，版权归原作者所有，如有侵权请联系客服删除，谢谢!
B107</t>
        </is>
      </c>
      <c r="F15" s="2" t="str">
        <f>=HYPERLINK("http://img.alicdn.com/bao/uploaded/i4/O1CN01HmIEXn2KMIL44jL6E_!!4611686018427383542-53-fleamarket.heic_790x10000Q90.jpg_.webp", "img.alicdn.com/bao/uploaded/i4/O1CN01HmIEXn2KMIL44jL6E_!!4611686018427383542-53-fleamarket.heic_790x10000Q90.jpg_.webp")</f>
        <v>img.alicdn.com/bao/uploaded/i4/O1CN01HmIEXn2KMIL44jL6E_!!4611686018427383542-53-fleamarket.heic_790x10000Q90.jpg_.webp</v>
      </c>
      <c r="G15"/>
      <c r="H15" s="2"/>
      <c r="I15"/>
      <c r="J15"/>
      <c r="K15"/>
    </row>
    <row r="16" ht="25.5" customHeight="1">
      <c r="A16" t="inlineStr">
        <is>
          <t>【速发】999+套经典正红主题PPT模板</t>
        </is>
      </c>
      <c r="B16">
        <v>15</v>
      </c>
      <c r="C16" t="inlineStr">
        <is>
          <t>是</t>
        </is>
      </c>
      <c r="D16" t="inlineStr">
        <is>
          <t>----
您好，感谢光临小店
以下是发货内容：
「888红色主题-...以免丢失」，复制整段内容，打开最新版「夸克APP」即可获取。
畅享原画，免费5倍速播放，支持AI字幕和投屏，更有网盘TV版。
筷莱茳鹙违张夜夺郝
/~1fbf36mfkJ~:/
链接：https://pan.quark.cn/s/848cc93e47ca
通过网盘分享的文件：888红色主题-先转存在提取以免丢失
链接: https://pan.baidu.com/s/1WfkSXsMzi2z3-OGRLDcttw?pwd=6666 提取码: 6666 
--来自百度网盘超级会员v3的分享
----</t>
        </is>
      </c>
      <c r="E16" t="inlineStr">
        <is>
          <t>【速发】999+套经典正红主题PPT模板 高端商务课件 工作总结汇报 简约大气套装
——★24小时自动发货★——
[精选分类]专题学习｜历史教育｜会议精神｜年度总结｜主题会议｜政策解读｜周年纪念｜团队建设｜职业道德｜行业发展｜传统文化｜精神传承｜纪律规范...
[亮点]主题全覆盖，即下载即使用！
【适用场景】
职场汇报｜年度总结｜市场研究｜毕业答辩｜教学课件｜学术竞赛｜高校应用｜教师教研｜创新创业｜项目展示｜
品牌推广｜新品发布｜人才招聘｜员工培训｜商业提案｜工程技术｜时尚产业｜建筑地产｜家居设计｜健康产业｜媒体传播｜餐饮文旅｜招生宣传｜庆典活动｜服务行业｜东方美学｜极简扁平｜机构应用
[核心优势]
• 百款模板一键打包，行业超高性价比
• 专业设计团队出品，品质保障
• 智能分类管理，标签清晰易查找
• 可自定义修改，高效省时</t>
        </is>
      </c>
      <c r="F16" s="2" t="str">
        <f>=HYPERLINK("http://img.alicdn.com/bao/uploaded/i4/O1CN01ooS73v2LM7moIUBKC_!!4611686018427383533-0-fleamarket.jpg_790x10000Q90.jpg_.webp", "img.alicdn.com/bao/uploaded/i4/O1CN01ooS73v2LM7moIUBKC_!!4611686018427383533-0-fleamarket.jpg_790x10000Q90.jpg_.webp")</f>
        <v>img.alicdn.com/bao/uploaded/i4/O1CN01ooS73v2LM7moIUBKC_!!4611686018427383533-0-fleamarket.jpg_790x10000Q90.jpg_.webp</v>
      </c>
      <c r="G16"/>
      <c r="H16" s="2"/>
      <c r="I16"/>
      <c r="J16"/>
      <c r="K16"/>
    </row>
    <row r="17" ht="25.5" customHeight="1">
      <c r="A17" t="inlineStr">
        <is>
          <t>少儿创意美术PPT课件600个＋</t>
        </is>
      </c>
      <c r="B17">
        <v>16</v>
      </c>
      <c r="C17" t="inlineStr">
        <is>
          <t>是</t>
        </is>
      </c>
      <c r="D17" t="inlineStr">
        <is>
          <t>~~~~~
您好！感谢光临本店，这是您的订单
以下为订单内容，请注意查收：
【超级会员V2】通过百度网盘分享的文件：少儿创意美术60...
链接：https://pan.baidu.com/s/12v46UsJtBQM4Dy4TlLaXZQ 
提取码：8877 
复制这段内容打开「百度网盘APP 即可获取」
记得再来哦！！
~~~~~</t>
        </is>
      </c>
      <c r="E17" t="inlineStr">
        <is>
          <t>少儿创意美术PPT课件600个＋，适合3-16岁，中小大班通用。不用问在不在，1元即可拥有600个ppt，需要直接拍下！
内容丰富，包括步骤和范画，适合美术社团、线上自学、兴趣班等。图片精美，范画详尽，省心省力，让教学更轻松。
已开通24小时自动发货，需要的朋友直接拍下。质量信得过，适合美术教培机构。发的是网盘链接，永不失效，售出不退。
所有文件均来自网络公开渠道，仅供学习交流使用，版权归版权人所有。如有版权问题，请联系小店删除。
欢迎有兴趣的朋友点击“我想要”！</t>
        </is>
      </c>
      <c r="F17" s="2" t="str">
        <f>=HYPERLINK("http://img.alicdn.com/bao/uploaded/i3/O1CN01ehY5p822M96bIzjRX_!!4611686018427385297-53-fleamarket.heic_790x10000Q90.jpg_.webp", "img.alicdn.com/bao/uploaded/i3/O1CN01ehY5p822M96bIzjRX_!!4611686018427385297-53-fleamarket.heic_790x10000Q90.jpg_.webp")</f>
        <v>img.alicdn.com/bao/uploaded/i3/O1CN01ehY5p822M96bIzjRX_!!4611686018427385297-53-fleamarket.heic_790x10000Q90.jpg_.webp</v>
      </c>
      <c r="G17"/>
      <c r="H17" s="2"/>
      <c r="I17"/>
      <c r="J17"/>
      <c r="K17"/>
    </row>
    <row r="18" ht="25.5" customHeight="1">
      <c r="A18" t="inlineStr">
        <is>
          <t>ai指令</t>
        </is>
      </c>
      <c r="B18">
        <v>18</v>
      </c>
      <c r="C18" t="inlineStr">
        <is>
          <t>是</t>
        </is>
      </c>
      <c r="D18" t="inlineStr">
        <is>
          <t>【超级会员V1】通过百度网盘分享的文件：92-ai指令价…
链接:https://pan.baidu.com/s/1703Y2tXOzVFCXlWrSJDs0w 
提取码:6d92
复制这段内容打开「百度网盘APP 即可获取」</t>
        </is>
      </c>
      <c r="E18" t="inlineStr">
        <is>
          <t>ai指令</t>
        </is>
      </c>
      <c r="F18" s="2"/>
      <c r="G18"/>
      <c r="H18" s="2"/>
      <c r="I18"/>
      <c r="J18"/>
      <c r="K18"/>
    </row>
    <row r="19" ht="25.5" customHeight="1">
      <c r="A19" t="inlineStr">
        <is>
          <t>adobe软件</t>
        </is>
      </c>
      <c r="B19">
        <v>19</v>
      </c>
      <c r="C19" t="inlineStr">
        <is>
          <t>是</t>
        </is>
      </c>
      <c r="D19" t="inlineStr">
        <is>
          <t>浏览器不限速链接:https://ai.feishu.cn/（去掉我）record/B04OrPsuLebCCFczwTocZf87nTh(一定转存后下载）
 通过网盘分享的文件：ai(一定要转存后下载，以免文件损坏）
链接: https://pan.baidu.com/s/1SDrrIVNp5Rn1rCbIu89SpA 提取码: 52d8 (一定手机转存自己网盘后下载，以免文件丢失)
安装教程以及问题解决：https://www.yuque.com/xiaogaifenxiang/eerhzc/wfs9flxo0dgkgy1w?singleDoc#
（网盘复制链接即可，不要全部复制）</t>
        </is>
      </c>
      <c r="E19" t="inlineStr">
        <is>
          <t>adobe软件</t>
        </is>
      </c>
      <c r="F19" s="2"/>
      <c r="G19"/>
      <c r="H19" s="2"/>
      <c r="I19"/>
      <c r="J19"/>
      <c r="K19"/>
    </row>
    <row r="20" ht="25.5" customHeight="1">
      <c r="A20" t="inlineStr">
        <is>
          <t>即梦会员</t>
        </is>
      </c>
      <c r="B20">
        <v>20</v>
      </c>
      <c r="C20" t="inlineStr">
        <is>
          <t>是</t>
        </is>
      </c>
      <c r="D20" t="inlineStr">
        <is>
          <t>【既梦】最新版资源
----------------------------------------
夸克网盘链接：https://pan.quark.cn/s/957aaeb9c4f7
【先保存到网盘，再下载查看，终身包更新！！】
----------------------------------------
使用教程：复制以上链接打开跨克或浏览器即可查看
注意：虚拟商品发货后不支持退款！！！</t>
        </is>
      </c>
      <c r="E20" t="inlineStr">
        <is>
          <t>即梦会员</t>
        </is>
      </c>
      <c r="F20" s="2"/>
      <c r="G20"/>
      <c r="H20" s="2"/>
      <c r="I20"/>
      <c r="J20"/>
      <c r="K20"/>
    </row>
    <row r="21" ht="25.5" customHeight="1">
      <c r="A21" t="inlineStr">
        <is>
          <t>【秒发】个人简历PPT模板简</t>
        </is>
      </c>
      <c r="B21">
        <v>21</v>
      </c>
      <c r="C21" t="inlineStr">
        <is>
          <t>是</t>
        </is>
      </c>
      <c r="D21" t="inlineStr">
        <is>
          <t>G 个人简历PPT模板简约大学生自我介绍工作求职面试岗位竞聘晋升ppt
链接: https://pan.baidu.com/s/1zov9tXPjLlk1Rm1eHpIXOQ?pwd=5555 提取码: 5555</t>
        </is>
      </c>
      <c r="E21" t="inlineStr">
        <is>
          <t>【秒发】个人简历PPT模板简约大学生自我介绍工作求职面试岗位竞聘晋升ppt
自动发货，基本24小时都可以秒发，需要直接拍，发白度网盘链接</t>
        </is>
      </c>
      <c r="F21" s="2" t="str">
        <f>=HYPERLINK("http://img.alicdn.com/bao/uploaded/i4/O1CN01DURtu11oLJiyhmkBB_!!4611686018427383640-53-fleamarket.heic_790x10000Q90.jpg_.webp", "img.alicdn.com/bao/uploaded/i4/O1CN01DURtu11oLJiyhmkBB_!!4611686018427383640-53-fleamarket.heic_790x10000Q90.jpg_.webp")</f>
        <v>img.alicdn.com/bao/uploaded/i4/O1CN01DURtu11oLJiyhmkBB_!!4611686018427383640-53-fleamarket.heic_790x10000Q90.jpg_.webp</v>
      </c>
      <c r="G21"/>
      <c r="H21" s="2"/>
      <c r="I21"/>
      <c r="J21"/>
      <c r="K21"/>
    </row>
    <row r="22" ht="25.5" customHeight="1">
      <c r="A22" t="inlineStr">
        <is>
          <t>ai模板科研绘图素材</t>
        </is>
      </c>
      <c r="B22">
        <v>30</v>
      </c>
      <c r="C22" t="inlineStr">
        <is>
          <t>是</t>
        </is>
      </c>
      <c r="D22" t="inlineStr">
        <is>
          <t>~~~~~
您好！感谢光临本店，这是您的订单以下为订单内容，请注意查收：
素材提取链接：
链接: https://pan.baidu.com/s/10Mvts9BU6FAUVOxNqPCmIw?pwd=8888 提取码: 8888</t>
        </is>
      </c>
      <c r="E22" t="inlineStr">
        <is>
          <t>ai模板科研绘图素材ppt医学插画器官细胞流程图片png生物作图资料
[钉子]资料拍下发佰度盘
[火]资料都是我自己工作期间，一个一个收集整理的，分类清晰，内容丰富，非常适合参考学习；
-----★24小时自动发货，直接拍秒发★-----
[1]这些资料，能让你的工作更方便，帮你提高工作效率，节省时间和精力！
[2]东西不贵，算是整理资料的一点点辛苦费，需要的朋友可以直接下单，大部分产品是秒发货！
遇到困难很需要这份资料可以随时联系我</t>
        </is>
      </c>
      <c r="F22" s="2" t="str">
        <f>=HYPERLINK("http://img.alicdn.com/bao/uploaded/i1/O1CN01OT8h9p1P2Co2yKhm7_!!4611686018427379974-0-fleamarket.jpg_790x10000Q90.jpg_.webp", "img.alicdn.com/bao/uploaded/i1/O1CN01OT8h9p1P2Co2yKhm7_!!4611686018427379974-0-fleamarket.jpg_790x10000Q90.jpg_.webp")</f>
        <v>img.alicdn.com/bao/uploaded/i1/O1CN01OT8h9p1P2Co2yKhm7_!!4611686018427379974-0-fleamarket.jpg_790x10000Q90.jpg_.webp</v>
      </c>
      <c r="G22"/>
      <c r="H22" s="2"/>
      <c r="I22"/>
      <c r="J22"/>
      <c r="K22"/>
    </row>
    <row r="23" ht="25.5" customHeight="1">
      <c r="A23" t="inlineStr">
        <is>
          <t>家装室内设计软装</t>
        </is>
      </c>
      <c r="B23">
        <v>31</v>
      </c>
      <c r="C23" t="inlineStr">
        <is>
          <t>是</t>
        </is>
      </c>
      <c r="D23" t="inlineStr">
        <is>
          <t>链接：https://pan.baidu.com/s/1KKcjynRfSBqeZaYHegDZCA?pwd=xvxr 提取码：xvxr
复制这段内容后打开百度网盘手机App，操作更方便哦
免解压版：
链接：https://pan.baidu.com/s/12jvCN0F06vBA6swwme8ZBQ?pwd=1kym 
提取码：1kym</t>
        </is>
      </c>
      <c r="E23" t="inlineStr">
        <is>
          <t>家装室内设计软装ppt模板310套素材！！！！！动态装修家居现代北欧轻奢方案素材
不要问有没有，能看到就有，直接拍下就可以！拍了自动发货的！直接下单就行
产品介绍：
310套PPT
大小大约8个G
各种风格都有
拍下发网盘链接 ！！
点赞并且收藏一下，防止以后找不到我家哦。
10秒内发货，随时咨询
本素材为电子图册，因资料有可复制性，下单后不退款。介意勿拍。
素材收集于网络，不可用于商业目的，收取的费用为整理素材的辛苦费用</t>
        </is>
      </c>
      <c r="F23" s="2" t="str">
        <f>=HYPERLINK("http://img.alicdn.com/bao/uploaded/i4/O1CN01DV6E451XfbkqqQpiT_!!53-fleamarket.heic_790x10000Q90.jpg_.webp", "img.alicdn.com/bao/uploaded/i4/O1CN01DV6E451XfbkqqQpiT_!!53-fleamarket.heic_790x10000Q90.jpg_.webp")</f>
        <v>img.alicdn.com/bao/uploaded/i4/O1CN01DV6E451XfbkqqQpiT_!!53-fleamarket.heic_790x10000Q90.jpg_.webp</v>
      </c>
      <c r="G23"/>
      <c r="H23" s="2"/>
      <c r="I23"/>
      <c r="J23"/>
      <c r="K23"/>
    </row>
    <row r="24" ht="25.5" customHeight="1">
      <c r="A24" t="inlineStr">
        <is>
          <t>科研学术答辩PPT</t>
        </is>
      </c>
      <c r="B24">
        <v>32</v>
      </c>
      <c r="C24" t="inlineStr">
        <is>
          <t>是</t>
        </is>
      </c>
      <c r="D24" t="inlineStr">
        <is>
          <t>科研学术答辩PP...辩PPT
链接：https://pan.quark.cn/s/ead4528ebc65
-----------------------
记得保存，防止链接失效
-----------------------
转存方法： 先转存，然后在网盘下载
【手机】复制本段话，粘贴到网盘搜索栏获取文件。
【电脑】单独复制链接，通过浏览器打开获取文件。
-----------------------
由于佰度网盘不是阿里官方网盘，容易导致禁言，以及佰度网盘和谐，无法分享，就算分享出来也是空文件。</t>
        </is>
      </c>
      <c r="E24" t="inlineStr">
        <is>
          <t>⚠️科研学术答辩PPT、毕业答辩PPT（四种配色全发，支持一|||
键换色）
[闪亮]ppt模版适用范围：国自然基金答辩、重点项目申报答辩、青年科学基金答辩、科研学术项目申报答辩、职称晋升答辩、学术论坛会议汇报、组会文献汇报答辩、开题答辩、中期答辩、毕业答辩等，工作汇报、路演汇报等。。
[蓝圆]国自然基金答辩模版ppt，精美版专业汇报
[绿圆]组会文献汇报模版ppt，秒胜同门师兄妹
[红圆]本科、硕士、博士全领域专属答辩ppt模版
[黄圆]科研、学术论坛汇报ppt模版，尽显专业
[火]职称晋升、重点实验室申报答辩ppt模版
[1]支持一键换色
[2]蓝色、绿色、红色、紫色四种配色全发
[3]ppt内所有元素均可自由编辑
～ 所见即所得 ～
需要可以直接拍下，看到马上发货哦
❤️❤️❤️自动发货，标价就是卖价，需要直接拍，24小时秒发网盘链接
[钉子]任何情况，不要申请退款，私信沟通给你处理，小店经营不易。
[钉子]所有文件均获取自网络公开渠道，仅供学习和交流使用，所有版权归版权人所有，如版权方认为侵犯了您的版权，请及时联系小店删除。</t>
        </is>
      </c>
      <c r="F24" s="2" t="str">
        <f>=HYPERLINK("http://img.alicdn.com/bao/uploaded/i2/O1CN01dmg1R21IFlIK5Cisb_!!4611686018427383856-53-fleamarket.heic_790x10000Q90.jpg_.webp", "img.alicdn.com/bao/uploaded/i2/O1CN01dmg1R21IFlIK5Cisb_!!4611686018427383856-53-fleamarket.heic_790x10000Q90.jpg_.webp")</f>
        <v>img.alicdn.com/bao/uploaded/i2/O1CN01dmg1R21IFlIK5Cisb_!!4611686018427383856-53-fleamarket.heic_790x10000Q90.jpg_.webp</v>
      </c>
      <c r="G24"/>
      <c r="H24" s="2"/>
      <c r="I24"/>
      <c r="J24"/>
      <c r="K24"/>
    </row>
    <row r="25" ht="25.5" customHeight="1">
      <c r="A25" t="inlineStr">
        <is>
          <t>课题平面逻辑</t>
        </is>
      </c>
      <c r="B25">
        <v>33</v>
      </c>
      <c r="C25" t="inlineStr">
        <is>
          <t>是</t>
        </is>
      </c>
      <c r="D25" t="inlineStr">
        <is>
          <t>请先转存网盘，保存数据，防止链接失效
通过网盘分享的文件：技术线路图内部资料.pptx
链接: https://pan.baidu.com/s/11EJsh2ykjfF7cU43vbFUiw?pwd=8888 提取码: 8888 
--来自百度网盘超级会员v1的分享</t>
        </is>
      </c>
      <c r="E25" t="inlineStr">
        <is>
          <t>课题平面逻辑框架图ppt模板
可编辑课题框架图，适用于课题项目申报，答辩等
适用范围：国家重大科技专项，国家重点研发，国自然/国社科基金项目等
设计素材可自由编辑，内容完整清晰，适合做课题申报的朋友用。价格实惠。通过网盘发送，即拍即发。</t>
        </is>
      </c>
      <c r="F25" s="2" t="str">
        <f>=HYPERLINK("http://img.alicdn.com/bao/uploaded/i2/O1CN01TKBFZu1cR1KA4f7dp_!!4611686018427385644-53-fleamarket.heic_790x10000Q90.jpg_.webp", "img.alicdn.com/bao/uploaded/i2/O1CN01TKBFZu1cR1KA4f7dp_!!4611686018427385644-53-fleamarket.heic_790x10000Q90.jpg_.webp")</f>
        <v>img.alicdn.com/bao/uploaded/i2/O1CN01TKBFZu1cR1KA4f7dp_!!4611686018427385644-53-fleamarket.heic_790x10000Q90.jpg_.webp</v>
      </c>
      <c r="G25"/>
      <c r="H25" s="2"/>
      <c r="I25"/>
      <c r="J25"/>
      <c r="K25"/>
    </row>
    <row r="26" ht="25.5" customHeight="1">
      <c r="A26" t="inlineStr">
        <is>
          <t>900多套ppt模板</t>
        </is>
      </c>
      <c r="B26">
        <v>34</v>
      </c>
      <c r="C26" t="inlineStr">
        <is>
          <t>是</t>
        </is>
      </c>
      <c r="D26" t="inlineStr">
        <is>
          <t>----
您好，你购买的订单号：3133813623640075187 以下是给您发货的内容：
链接：https://pan.baidu.com/s/17JEAHcOsMcZHMChovcvHrQ?pwd=6666 
提取码：6666 
----</t>
        </is>
      </c>
      <c r="E26" t="inlineStr">
        <is>
          <t>900多套ppt模板打包价2.8元，拍后再送店内其他素材1份（全店任选）俩也行~
店内所有2.8元的ppt都与这套一样滴，展示的都在这个链接里。
拍后发b.d网 盘 链 接，发后不退。
只能用电脑或者平板编辑</t>
        </is>
      </c>
      <c r="F26" s="2" t="str">
        <f>=HYPERLINK("http://img.alicdn.com/bao/uploaded/i4/O1CN01fAXSCI27GiDg6MdlX_!!0-fleamarket.jpg_790x10000Q90.jpg_.webp", "img.alicdn.com/bao/uploaded/i4/O1CN01fAXSCI27GiDg6MdlX_!!0-fleamarket.jpg_790x10000Q90.jpg_.webp")</f>
        <v>img.alicdn.com/bao/uploaded/i4/O1CN01fAXSCI27GiDg6MdlX_!!0-fleamarket.jpg_790x10000Q90.jpg_.webp</v>
      </c>
      <c r="G26"/>
      <c r="H26" s="2" t="str">
        <f>=HYPERLINK("https://www.goofish.com/item?spm=a21ybx.search.searchFeedList.6.22e26c82F4k9k2&amp;id=689853330803&amp;categoryId=201454708", "https://www.goofish.com/item?spm=a21ybx.search.searchFeedList.6.22e26c82F4k9k2&amp;id=689853330803&amp;categoryId=201454708")</f>
        <v>https://www.goofish.com/item?spm=a21ybx.search.searchFeedList.6.22e26c82F4k9k2&amp;id=689853330803&amp;categoryId=201454708</v>
      </c>
      <c r="I26"/>
      <c r="J26"/>
      <c r="K26"/>
    </row>
    <row r="27" ht="25.5" customHeight="1">
      <c r="A27" t="inlineStr">
        <is>
          <t>动态PPT模板</t>
        </is>
      </c>
      <c r="B27">
        <v>35</v>
      </c>
      <c r="C27" t="inlineStr">
        <is>
          <t>是</t>
        </is>
      </c>
      <c r="D27" t="inlineStr">
        <is>
          <t>PPT转盘轮播套…
链接：https://pan.quark.cn/s/bb62a9bbdcbd
-----------------------
记得保存，防止链接失效，
由于度盘和谐文件无法分享。
-----------------------
转存方法： 先转存，然后在网盘下载
【手机】复制本段话，粘贴到网盘搜索栏获取文件。
【电脑】单独复制链接，通过浏览器打开获取文件。
-----------------------
好萍赠送壁纸+上万ppt模版+学习资料等，10T+资料合集。</t>
        </is>
      </c>
      <c r="E27" t="inlineStr">
        <is>
          <t>动态PPT模板，高级感答辩汇报用【拍下秒发货】动态高级感ppt模板平滑切换答辩工作汇报简约蓝|||色展示大气高端
——★24小时自动发货★——
【适用】
商务｜工作总结｜答辩｜工作汇报｜数据分析｜市场调研｜科技创新｜汇报展示｜企业宣传｜产品介绍｜企业招聘｜企业培训｜商业计划书｜能源科技｜时尚｜文化传媒｜教育招生｜企业年会｜产品发布
[比心] 全部都是动态的ppt
[比心]仅20份，快来捡漏吧～
[五角星]可编辑，可下载～
[五角星]分类清晰，独立文件夹标注～
[五角星]售后无忧，可放心拍～
效果图如下～（仅部分展示）</t>
        </is>
      </c>
      <c r="F27" s="2" t="str">
        <f>=HYPERLINK("http://img.alicdn.com/bao/uploaded/i1/O1CN01w8cWp71IFlGGHtkF4_!!4611686018427383856-53-fleamarket.heic_790x10000Q90.jpg_.webp", "img.alicdn.com/bao/uploaded/i1/O1CN01w8cWp71IFlGGHtkF4_!!4611686018427383856-53-fleamarket.heic_790x10000Q90.jpg_.webp")</f>
        <v>img.alicdn.com/bao/uploaded/i1/O1CN01w8cWp71IFlGGHtkF4_!!4611686018427383856-53-fleamarket.heic_790x10000Q90.jpg_.webp</v>
      </c>
      <c r="G27"/>
      <c r="H27" s="2" t="str">
        <f>=HYPERLINK("https://www.goofish.com/item?spm=a21ybx.search.searchFeedList.4.22e26c82F4k9k2&amp;id=931771158389&amp;categoryId=201454708", "https://www.goofish.com/item?spm=a21ybx.search.searchFeedList.4.22e26c82F4k9k2&amp;id=931771158389&amp;categoryId=201454708")</f>
        <v>https://www.goofish.com/item?spm=a21ybx.search.searchFeedList.4.22e26c82F4k9k2&amp;id=931771158389&amp;categoryId=201454708</v>
      </c>
      <c r="I27"/>
      <c r="J27"/>
      <c r="K27"/>
    </row>
    <row r="28" ht="25.5" customHeight="1">
      <c r="A28" t="inlineStr">
        <is>
          <t>屎盆子镶金边PPT模板</t>
        </is>
      </c>
      <c r="B28">
        <v>36</v>
      </c>
      <c r="C28" t="inlineStr">
        <is>
          <t>是</t>
        </is>
      </c>
      <c r="D28" t="inlineStr">
        <is>
          <t>通过网盘分享的文件：屎盆子镶金边PPT模板
链接: https://pan.baidu.com/s/16t_6O2EkFPp1U1h-bXAUHQ?pwd=7wk4 提取码: 7wk4 
手机使用：复制整段话到百度网盘自动提取
电脑使用：复制上面发您的链接在浏览器地址栏
好-平，可任选店里一个宝贝免费送哦！</t>
        </is>
      </c>
      <c r="E28" t="inlineStr">
        <is>
          <t>屎盆子镶金边PPT模板素材高端创意平滑轮播旋转极简动态快闪汇报
——★24小时自动秒发百度网盘 ★——
——★24小时自动秒发百度网盘 ★——
——★24小时自动秒发百度网盘 ★——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28" s="2" t="str">
        <f>=HYPERLINK("http://img.alicdn.com/bao/uploaded/i4/O1CN01APpF6p1dZ5xE4kSzQ_!!4611686018427387605-0-fleamarket.jpg_790x10000Q90.jpg_.webp", "img.alicdn.com/bao/uploaded/i4/O1CN01APpF6p1dZ5xE4kSzQ_!!4611686018427387605-0-fleamarket.jpg_790x10000Q90.jpg_.webp")</f>
        <v>img.alicdn.com/bao/uploaded/i4/O1CN01APpF6p1dZ5xE4kSzQ_!!4611686018427387605-0-fleamarket.jpg_790x10000Q90.jpg_.webp</v>
      </c>
      <c r="G28"/>
      <c r="H28" s="2" t="str">
        <f>=HYPERLINK("https://www.goofish.com/item?spm=a21ybx.search.searchFeedList.21.22e26c82F4k9k2&amp;id=993239941201&amp;categoryId=201454708", "https://www.goofish.com/item?spm=a21ybx.search.searchFeedList.21.22e26c82F4k9k2&amp;id=993239941201&amp;categoryId=201454708")</f>
        <v>https://www.goofish.com/item?spm=a21ybx.search.searchFeedList.21.22e26c82F4k9k2&amp;id=993239941201&amp;categoryId=201454708</v>
      </c>
      <c r="I28"/>
      <c r="J28"/>
      <c r="K28"/>
    </row>
    <row r="29" ht="25.5" customHeight="1">
      <c r="A29" t="inlineStr">
        <is>
          <t>大学生职业生涯规划大赛</t>
        </is>
      </c>
      <c r="B29">
        <v>37</v>
      </c>
      <c r="C29" t="inlineStr">
        <is>
          <t>是</t>
        </is>
      </c>
      <c r="D29" t="inlineStr">
        <is>
          <t>通过网盘分享的文件：大学生职业生涯规划大赛PPT模板
链接: https://pan.baidu.com/s/1cA1ff0IdAkSlChvNj_XQIg?pwd=3t2x 提取码: 3t2x 
手机使用：复制整段话到百度网盘自动提取
电脑使用：复制上面发您的链接在浏览器地址栏</t>
        </is>
      </c>
      <c r="E29" t="inlineStr">
        <is>
          <t>大学生职业生涯规划大赛PPT模版职规赛成长就业赛道指导答辩高级
——★24小时自动秒发百度网盘 ★——
——★24小时自动秒发百度网盘 ★——
——★24小时自动秒发百度网盘 ★——
299套PPT职业规划大赛 成长赛道 就业赛道 带导航栏 结构完整
宝贝秒拍秒发，拍下全发！你想要各种素材都在这里 任何不满意直接退款！！！
如果没有及时回复可以先拍下来看是否需要和满意，不满意没有需要直接退款即可，上线会立即处理，您放心。
预览图对应相应源文件名字，不是卖图片，也没有任何额外费用，如果不会使用可以咨询解决
每套风格的模版都是我精心挑选出来的。
每款精选质量高，适用于任何场合～
每个风格都有单独归类文档编号</t>
        </is>
      </c>
      <c r="F29" s="2" t="str">
        <f>=HYPERLINK("http://img.alicdn.com/bao/uploaded/i1/O1CN01QyKCN61dZ5xXsDTvo_!!4611686018427387605-0-fleamarket.jpg_790x10000Q90.jpg_.webp", "img.alicdn.com/bao/uploaded/i1/O1CN01QyKCN61dZ5xXsDTvo_!!4611686018427387605-0-fleamarket.jpg_790x10000Q90.jpg_.webp")</f>
        <v>img.alicdn.com/bao/uploaded/i1/O1CN01QyKCN61dZ5xXsDTvo_!!4611686018427387605-0-fleamarket.jpg_790x10000Q90.jpg_.webp</v>
      </c>
      <c r="G29"/>
      <c r="H29" s="2" t="str">
        <f>=HYPERLINK("https://www.goofish.com/item?spm=a21ybx.search.searchFeedList.9.22e26c82F4k9k2&amp;id=998863131131&amp;categoryId=201454708", "https://www.goofish.com/item?spm=a21ybx.search.searchFeedList.9.22e26c82F4k9k2&amp;id=998863131131&amp;categoryId=201454708")</f>
        <v>https://www.goofish.com/item?spm=a21ybx.search.searchFeedList.9.22e26c82F4k9k2&amp;id=998863131131&amp;categoryId=201454708</v>
      </c>
      <c r="I29"/>
      <c r="J29"/>
      <c r="K29"/>
    </row>
    <row r="30" ht="25.5" customHeight="1">
      <c r="A30" t="inlineStr">
        <is>
          <t>13色1950页高级感工作汇</t>
        </is>
      </c>
      <c r="B30">
        <v>38</v>
      </c>
      <c r="C30" t="inlineStr">
        <is>
          <t>是</t>
        </is>
      </c>
      <c r="D30" t="inlineStr">
        <is>
          <t>13色1950页
链接：https://pan.quark.cn/s/ce9ecc66ccef
-----------------------
记得保存，防止链接失效，
由于度盘和谐文件无法分享。
-----------------------
转存方法： 先转存，然后在网盘下载
【手机】复制本段话，粘贴到网盘搜索栏获取文件。
【电脑】单独复制链接，通过浏览器打开获取文件。
-----------------------
好萍赠送壁纸+上万ppt模版+学习资料等，10T+资料合集。</t>
        </is>
      </c>
      <c r="E30" t="inlineStr">
        <is>
          <t>13色1950页高级感工作汇报数据分析PPT模板 工作汇报||| | 数据分析 | 市场调研
格式：PPT（可编辑）
超值还赠送：
[1]500页精美通用PPT模板
[2]PPT设计小图标
[3]各类逻辑图表
13种配色，每色150页，共1950页
适用范围：日常报告，市场调研，数据分析，工作总结，工作汇报等各种场景。流程进度、数据图表、逻辑图表应有尽有
拍下24小时自动发货，拍下网盘秒发货</t>
        </is>
      </c>
      <c r="F30" s="2" t="str">
        <f>=HYPERLINK("http://img.alicdn.com/bao/uploaded/i1/O1CN01rB27Ci1IFlGmDdjQH_!!4611686018427383856-53-fleamarket.heic_790x10000Q90.jpg_.webp", "img.alicdn.com/bao/uploaded/i1/O1CN01rB27Ci1IFlGmDdjQH_!!4611686018427383856-53-fleamarket.heic_790x10000Q90.jpg_.webp")</f>
        <v>img.alicdn.com/bao/uploaded/i1/O1CN01rB27Ci1IFlGmDdjQH_!!4611686018427383856-53-fleamarket.heic_790x10000Q90.jpg_.webp</v>
      </c>
      <c r="G30"/>
      <c r="H30" s="2" t="str">
        <f>=HYPERLINK("https://www.goofish.com/item?spm=a21ybx.search.searchFeedList.23.22e26c82F4k9k2&amp;id=949004980033&amp;categoryId=201454708", "https://www.goofish.com/item?spm=a21ybx.search.searchFeedList.23.22e26c82F4k9k2&amp;id=949004980033&amp;categoryId=201454708")</f>
        <v>https://www.goofish.com/item?spm=a21ybx.search.searchFeedList.23.22e26c82F4k9k2&amp;id=949004980033&amp;categoryId=201454708</v>
      </c>
      <c r="I30"/>
      <c r="J30"/>
      <c r="K30"/>
    </row>
    <row r="31" ht="25.5" customHeight="1">
      <c r="A31" t="inlineStr">
        <is>
          <t>国自然PPT模板国家自然科学基金科研</t>
        </is>
      </c>
      <c r="B31">
        <v>40</v>
      </c>
      <c r="C31" t="inlineStr">
        <is>
          <t>是</t>
        </is>
      </c>
      <c r="D31" t="inlineStr">
        <is>
          <t>通过网盘分享的文件：B40-国家自然科学
链接: https://pan.baidu.com/s/1MA8WUBt2eroHC3awi0NeeA?pwd=9999 提取码: 9999 
--来自百度网盘超级会员v3的分享</t>
        </is>
      </c>
      <c r="E31" t="inlineStr">
        <is>
          <t>国自然PPT模板国家自然科学基金科研项目申请答辩结题汇报PPT模板
24小时自动发货，直接拍秒发
主页置顶商品全店会员6.6，包含全店所有素材和以后更新的素材
每套模版都是我精挑细选出来的
每款模板都是质量高，适用于任何场合
每个模板都可以帮你节省大量时间
B40</t>
        </is>
      </c>
      <c r="F31" s="2" t="str">
        <f>=HYPERLINK("http://img.alicdn.com/bao/uploaded/i4/O1CN011S9AVE2KMIKlnhsE6_!!4611686018427383542-53-fleamarket.heic_790x10000Q90.jpg_.webp", "img.alicdn.com/bao/uploaded/i4/O1CN011S9AVE2KMIKlnhsE6_!!4611686018427383542-53-fleamarket.heic_790x10000Q90.jpg_.webp")</f>
        <v>img.alicdn.com/bao/uploaded/i4/O1CN011S9AVE2KMIKlnhsE6_!!4611686018427383542-53-fleamarket.heic_790x10000Q90.jpg_.webp</v>
      </c>
      <c r="G31"/>
      <c r="H31" s="2" t="str">
        <f>=HYPERLINK("https://www.goofish.com/item?spm=a21ybx.search.searchFeedList.16.22e26c82F4k9k2&amp;id=953863212313&amp;categoryId=201454708", "https://www.goofish.com/item?spm=a21ybx.search.searchFeedList.16.22e26c82F4k9k2&amp;id=953863212313&amp;categoryId=201454708")</f>
        <v>https://www.goofish.com/item?spm=a21ybx.search.searchFeedList.16.22e26c82F4k9k2&amp;id=953863212313&amp;categoryId=201454708</v>
      </c>
      <c r="I31"/>
      <c r="J31"/>
      <c r="K31"/>
    </row>
    <row r="32" ht="25.5" customHeight="1">
      <c r="A32" t="inlineStr">
        <is>
          <t>105套国赛金奖ppt模板大学生创新创业</t>
        </is>
      </c>
      <c r="B32">
        <v>41</v>
      </c>
      <c r="C32" t="inlineStr">
        <is>
          <t>是</t>
        </is>
      </c>
      <c r="D32" t="inlineStr">
        <is>
          <t>您好，您此次购物的订单编号是：3134153461078075187。
以下是给您发货的内容。
通过网盘分享的文件：105套国赛金奖ppt模板
链接: https://pan.baidu.com/s/1ft-TL7tLTcYY2nR1rqUTcw?pwd=xurc 提取码: xurc 
--来自百度网盘超级会员v6的分享:
复制上面这段话到佰度网盘即可打开，记得及时保存，避免失效！
要是宝贝合您心意，还请不吝好评。我们准备了惊喜赠品，赶紧好评解锁吧！</t>
        </is>
      </c>
      <c r="E32" t="inlineStr">
        <is>
          <t>105套国赛金奖ppt模板大学生创新创业大赛挑战杯创赛获奖
都是可编辑修改的
拍下后另外赠送：
[1] 500+套互联网＋，大创，挑战杯，往届获奖作品等资料参考，部分附带演示视频，路演视频！
[2] 10000套大学生创新创业计划书word成品互联网+大赛ppt模板商业策划书撰。
[3] 100个专业大学生职业生涯规划书Word范文赠送PPT
需要的直接拍，拍下后网盘秒发货</t>
        </is>
      </c>
      <c r="F32" s="2" t="str">
        <f>=HYPERLINK("http://img.alicdn.com/bao/uploaded/i2/O1CN01doYnYm1bo5dNtbyQN_!!4611686018427387015-53-fleamarket.heic_790x10000Q90.jpg_.webp", "img.alicdn.com/bao/uploaded/i2/O1CN01doYnYm1bo5dNtbyQN_!!4611686018427387015-53-fleamarket.heic_790x10000Q90.jpg_.webp")</f>
        <v>img.alicdn.com/bao/uploaded/i2/O1CN01doYnYm1bo5dNtbyQN_!!4611686018427387015-53-fleamarket.heic_790x10000Q90.jpg_.webp</v>
      </c>
      <c r="G32"/>
      <c r="H32" s="2" t="str">
        <f>=HYPERLINK("https://www.goofish.com/item?spm=a21ybx.search.searchFeedList.25.22e26c82F4k9k2&amp;id=909700993980&amp;categoryId=201454708", "https://www.goofish.com/item?spm=a21ybx.search.searchFeedList.25.22e26c82F4k9k2&amp;id=909700993980&amp;categoryId=201454708")</f>
        <v>https://www.goofish.com/item?spm=a21ybx.search.searchFeedList.25.22e26c82F4k9k2&amp;id=909700993980&amp;categoryId=201454708</v>
      </c>
      <c r="I32"/>
      <c r="J32"/>
      <c r="K32"/>
    </row>
    <row r="33" ht="25.5" customHeight="1">
      <c r="A33" t="inlineStr">
        <is>
          <t>【职规赛专属PPT模</t>
        </is>
      </c>
      <c r="B33">
        <v>42</v>
      </c>
      <c r="C33"/>
      <c r="D33"/>
      <c r="E33" t="inlineStr">
        <is>
          <t>【职规赛专属PPT模板（夺冠必备版）】
让职业规划演示页间衔接流畅自然，瞬间提升答辩专业度与吸睛度～
模板覆盖自我认知、职业分析、路径规划、实施计划等职规赛核心模块，从初赛到决赛的全阶段展示场景都能精准适配～更高效实用，可一键替换数据图表与个人案例，灵活匹配不同专业方向的内容需求～
设计简约大气，重点内容排版突出，文字、数据、图表编辑替换超便捷，零设计基础也能快速打造符合评审偏好的高水准答辩PPT！
超省心冲刺职规赛高分
全模块覆盖+一键编辑，适配不同专业答辩需求
网盘，拍下即发，助力快速完成演示准备
【免责声明】
文件均来自公开网络资源，仅供学习和交流，版权归原作者所有。如有版权问题，请及时联系我们删除。商品价格仅代表资源查找和整理的劳动成本，支持正版。本店商品仅限个人学习使用，不涉及商业用途。
</t>
        </is>
      </c>
      <c r="F33" s="2" t="str">
        <f>=HYPERLINK("http://img.alicdn.com/bao/uploaded/i1/O1CN01gJCxys1IFlIBxegEk_!!4611686018427383856-53-fleamarket.heic_790x10000Q90.jpg_.webp", "img.alicdn.com/bao/uploaded/i1/O1CN01gJCxys1IFlIBxegEk_!!4611686018427383856-53-fleamarket.heic_790x10000Q90.jpg_.webp")</f>
        <v>img.alicdn.com/bao/uploaded/i1/O1CN01gJCxys1IFlIBxegEk_!!4611686018427383856-53-fleamarket.heic_790x10000Q90.jpg_.webp</v>
      </c>
      <c r="G33"/>
      <c r="H33" s="2" t="str">
        <f>=HYPERLINK("https://www.goofish.com/item?spm=a21ybx.personal.feeds.137.69b752f39oihHY&amp;id=978499846717&amp;categoryId=50023914", "https://www.goofish.com/item?spm=a21ybx.personal.feeds.137.69b752f39oihHY&amp;id=978499846717&amp;categoryId=50023914")</f>
        <v>https://www.goofish.com/item?spm=a21ybx.personal.feeds.137.69b752f39oihHY&amp;id=978499846717&amp;categoryId=50023914</v>
      </c>
      <c r="I33"/>
      <c r="J33"/>
      <c r="K33"/>
    </row>
    <row r="34" ht="25.5" customHeight="1">
      <c r="A34" t="inlineStr">
        <is>
          <t>毕业论文技术路线图模</t>
        </is>
      </c>
      <c r="B34">
        <v>55</v>
      </c>
      <c r="C34"/>
      <c r="D34"/>
      <c r="E34" t="inlineStr">
        <is>
          <t>毕业论文技术路线图模板合集（100+套精选）|||
包含文件内容：
1. 可编辑Word模板（30套）
- 每套独立Word文件，含预览图展示
- 直接编辑文字/图形，适配开题报告需求
2. 高效整合版Word模板（50套）没有预览图可直接打开word查看
- 集中收录于单一Word文档，快速浏览调用
- 涵盖实验设计/理论研究/数据分析等多场景
3. 专业Visio模板（17套）
- VSDX格式源文件，需用Visio软件编辑
- 支持复杂流程图、系统架构图等高阶需求
格式说明：
- 所有模板文字/图形可自由修改
- （Visio需安装对应软件）
交付方式：
- 自动发链接，即时下载
- 数字资源不支持退换</t>
        </is>
      </c>
      <c r="F34" s="2" t="str">
        <f>=HYPERLINK("http://img.alicdn.com/bao/uploaded/i4/O1CN01APm8jd1IFlH45LKPb_!!4611686018427383856-53-fleamarket.heic_790x10000Q90.jpg_.webp", "img.alicdn.com/bao/uploaded/i4/O1CN01APm8jd1IFlH45LKPb_!!4611686018427383856-53-fleamarket.heic_790x10000Q90.jpg_.webp")</f>
        <v>img.alicdn.com/bao/uploaded/i4/O1CN01APm8jd1IFlH45LKPb_!!4611686018427383856-53-fleamarket.heic_790x10000Q90.jpg_.webp</v>
      </c>
      <c r="G34"/>
      <c r="H34" s="2" t="str">
        <f>=HYPERLINK("https://www.goofish.com/item?spm=a21ybx.personal.feeds.76.69b752f39oihHY&amp;id=952820257064&amp;categoryId=50023914", "https://www.goofish.com/item?spm=a21ybx.personal.feeds.76.69b752f39oihHY&amp;id=952820257064&amp;categoryId=50023914")</f>
        <v>https://www.goofish.com/item?spm=a21ybx.personal.feeds.76.69b752f39oihHY&amp;id=952820257064&amp;categoryId=50023914</v>
      </c>
      <c r="I34"/>
      <c r="J34"/>
      <c r="K34"/>
    </row>
    <row r="35" ht="25.5" customHeight="1">
      <c r="A35" t="inlineStr">
        <is>
          <t>2025家装避坑全流</t>
        </is>
      </c>
      <c r="B35">
        <v>56</v>
      </c>
      <c r="C35"/>
      <c r="D35"/>
      <c r="E35" t="inlineStr">
        <is>
          <t>2025家装避坑全流程资料包2025年家装避坑全流程指南 ！一站式购齐所有装修资料！
拍下秒发25样全套全流程资料！家装大全电子档+装修全流程大全+装修避坑大全+装修小白必备+装修常用尺寸设计+装修合同模版+装修预算表+全屋效果图+全屋定制效果图+室内设计软装模版+施工流程及工艺要求+高端室内设计案例+装修验收标准+全屋插座定位图
手机电脑都可以随时查看，非常齐全最新版本，直接下单即可。
要求高的不要下单，而且卖掉0.01已经相当于免费送了</t>
        </is>
      </c>
      <c r="F35" s="2" t="str">
        <f>=HYPERLINK("http://img.alicdn.com/bao/uploaded/i1/O1CN015k8GWx1IFlGj3P9qF_!!4611686018427383856-0-fleamarket.jpg_790x10000Q90.jpg_.webp", "img.alicdn.com/bao/uploaded/i1/O1CN015k8GWx1IFlGj3P9qF_!!4611686018427383856-0-fleamarket.jpg_790x10000Q90.jpg_.webp")</f>
        <v>img.alicdn.com/bao/uploaded/i1/O1CN015k8GWx1IFlGj3P9qF_!!4611686018427383856-0-fleamarket.jpg_790x10000Q90.jpg_.webp</v>
      </c>
      <c r="G35"/>
      <c r="H35" s="2" t="str">
        <f>=HYPERLINK("https://www.goofish.com/item?spm=a21ybx.personal.feeds.37.69b752f39oihHY&amp;id=945646124837&amp;categoryId=50023914", "https://www.goofish.com/item?spm=a21ybx.personal.feeds.37.69b752f39oihHY&amp;id=945646124837&amp;categoryId=50023914")</f>
        <v>https://www.goofish.com/item?spm=a21ybx.personal.feeds.37.69b752f39oihHY&amp;id=945646124837&amp;categoryId=50023914</v>
      </c>
      <c r="I35"/>
      <c r="J35"/>
      <c r="K35"/>
    </row>
    <row r="36" ht="25.5" customHeight="1">
      <c r="A36" t="inlineStr">
        <is>
          <t>【秒发】领导超爱的高</t>
        </is>
      </c>
      <c r="B36">
        <v>57</v>
      </c>
      <c r="C36"/>
      <c r="D36"/>
      <c r="E36" t="inlineStr">
        <is>
          <t>【秒发】领导超爱的高级感工作汇报PPT模版 逻辑图 数据图|||
排版简洁干净，高端大气，打工人必备！
九个模版九种配色 每套160页
附赠：国外高端PPT模版（400p）、常用小图标、字体包
由于电子教程的可复制性，发货后不得退款，敬请谅解！
【免责声明】
上架资源均由个人亲自整理 且标注免责声明以及对应图片 具体内容如下:
1.所有文件均获取自网络公开渠道，仅供学习和交流使用，所有版权归版权人所有。
2.如版权方认为侵犯了您的版权，请及时联系小店删除
3.本店所有商品售价仅是对资源查找以及整理的加工费用，如喜欢作品，请支持正版哦~
4.本店所有商品不涉及商用，仅是以众筹的于提供给想要学习的极少部分人用于学习。</t>
        </is>
      </c>
      <c r="F36" s="2" t="str">
        <f>=HYPERLINK("http://img.alicdn.com/bao/uploaded/i2/O1CN01XVcaDw1IFlGsPe3nG_!!4611686018427383856-53-fleamarket.heic_790x10000Q90.jpg_.webp", "img.alicdn.com/bao/uploaded/i2/O1CN01XVcaDw1IFlGsPe3nG_!!4611686018427383856-53-fleamarket.heic_790x10000Q90.jpg_.webp")</f>
        <v>img.alicdn.com/bao/uploaded/i2/O1CN01XVcaDw1IFlGsPe3nG_!!4611686018427383856-53-fleamarket.heic_790x10000Q90.jpg_.webp</v>
      </c>
      <c r="G36"/>
      <c r="H36" s="2" t="str">
        <f>=HYPERLINK("https://www.goofish.com/item?spm=a21ybx.personal.feeds.8.69b752f39oihHY&amp;id=948022201397&amp;categoryId=50023914", "https://www.goofish.com/item?spm=a21ybx.personal.feeds.8.69b752f39oihHY&amp;id=948022201397&amp;categoryId=50023914")</f>
        <v>https://www.goofish.com/item?spm=a21ybx.personal.feeds.8.69b752f39oihHY&amp;id=948022201397&amp;categoryId=50023914</v>
      </c>
      <c r="I36"/>
      <c r="J36"/>
      <c r="K36"/>
    </row>
    <row r="37" ht="25.5" customHeight="1">
      <c r="A37" t="inlineStr">
        <is>
          <t>Excel函数公式大</t>
        </is>
      </c>
      <c r="B37">
        <v>58</v>
      </c>
      <c r="C37"/>
      <c r="D37"/>
      <c r="E37" t="inlineStr">
        <is>
          <t>Excel函数公式大全精讲Excel函数公式大全总结（史上最强总结），例子简单明了！一|||共有5个excel文件，每个excel里面多个sheet表的内容，绝大部分函数都有。
以下仅为部分资料截图
感兴趣的小伙伴，点击我想要，然后点右上角立即购买后联系客服，文件以网盘的方式发给您！</t>
        </is>
      </c>
      <c r="F37" s="2" t="str">
        <f>=HYPERLINK("http://img.alicdn.com/bao/uploaded/i2/O1CN01jtIuMb1IFlH7nTboG_!!4611686018427383856-53-fleamarket.heic_790x10000Q90.jpg_.webp", "img.alicdn.com/bao/uploaded/i2/O1CN01jtIuMb1IFlH7nTboG_!!4611686018427383856-53-fleamarket.heic_790x10000Q90.jpg_.webp")</f>
        <v>img.alicdn.com/bao/uploaded/i2/O1CN01jtIuMb1IFlH7nTboG_!!4611686018427383856-53-fleamarket.heic_790x10000Q90.jpg_.webp</v>
      </c>
      <c r="G37"/>
      <c r="H37" s="2" t="str">
        <f>=HYPERLINK("https://www.goofish.com/item?spm=a21ybx.personal.feeds.140.69b752f39oihHY&amp;id=954223364616&amp;categoryId=50023914", "https://www.goofish.com/item?spm=a21ybx.personal.feeds.140.69b752f39oihHY&amp;id=954223364616&amp;categoryId=50023914")</f>
        <v>https://www.goofish.com/item?spm=a21ybx.personal.feeds.140.69b752f39oihHY&amp;id=954223364616&amp;categoryId=50023914</v>
      </c>
      <c r="I37"/>
      <c r="J37"/>
      <c r="K37"/>
    </row>
    <row r="38" ht="25.5" customHeight="1">
      <c r="A38" t="inlineStr">
        <is>
          <t>（自动发货）289页</t>
        </is>
      </c>
      <c r="B38">
        <v>59</v>
      </c>
      <c r="C38"/>
      <c r="D38"/>
      <c r="E38" t="inlineStr">
        <is>
          <t>（自动发货）289页高级PPT图文排版，领导看了直呼哇塞！支|||持一键换色，整版可编辑，多种配色方案。包含3图44页、4图48页、5图37页、6图50页、7图36页、8图35页、多图39页，6种配色任选（橙红蓝绿青蓝）。电子资料，发出不退换，建议下单前仔细考虑。【付款后自动秒发货】</t>
        </is>
      </c>
      <c r="F38" s="2" t="str">
        <f>=HYPERLINK("http://img.alicdn.com/bao/uploaded/i3/O1CN01lqEuk31IFlGuxBV1b_!!4611686018427383856-53-fleamarket.heic_790x10000Q90.jpg_.webp", "img.alicdn.com/bao/uploaded/i3/O1CN01lqEuk31IFlGuxBV1b_!!4611686018427383856-53-fleamarket.heic_790x10000Q90.jpg_.webp")</f>
        <v>img.alicdn.com/bao/uploaded/i3/O1CN01lqEuk31IFlGuxBV1b_!!4611686018427383856-53-fleamarket.heic_790x10000Q90.jpg_.webp</v>
      </c>
      <c r="G38"/>
      <c r="H38" s="2" t="str">
        <f>=HYPERLINK("https://www.goofish.com/item?spm=a21ybx.personal.feeds.15.69b752f39oihHY&amp;id=947881023894&amp;categoryId=50023914", "https://www.goofish.com/item?spm=a21ybx.personal.feeds.15.69b752f39oihHY&amp;id=947881023894&amp;categoryId=50023914")</f>
        <v>https://www.goofish.com/item?spm=a21ybx.personal.feeds.15.69b752f39oihHY&amp;id=947881023894&amp;categoryId=50023914</v>
      </c>
      <c r="I38"/>
      <c r="J38"/>
      <c r="K38"/>
    </row>
    <row r="39" ht="25.5" customHeight="1">
      <c r="A39" t="inlineStr">
        <is>
          <t>⚠️科研学术答辩PP</t>
        </is>
      </c>
      <c r="B39">
        <v>60</v>
      </c>
      <c r="C39"/>
      <c r="D39"/>
      <c r="E39" t="inlineStr">
        <is>
          <t>⚠️科研学术答辩PPT、毕业答辩PPT（四种配色全发，支持一|||
键换色）
[闪亮]ppt模版适用范围：国自然基金答辩、重点项目申报答辩、青年科学基金答辩、科研学术项目申报答辩、职称晋升答辩、学术论坛会议汇报、组会文献汇报答辩、开题答辩、中期答辩、毕业答辩等，工作汇报、路演汇报等。。
[蓝圆]国自然基金答辩模版ppt，精美版专业汇报
[绿圆]组会文献汇报模版ppt，秒胜同门师兄妹
[红圆]本科、硕士、博士全领域专属答辩ppt模版
[黄圆]科研、学术论坛汇报ppt模版，尽显专业
[火]职称晋升、重点实验室申报答辩ppt模版
[1]支持一键换色
[2]蓝色、绿色、红色、紫色四种配色全发
[3]ppt内所有元素均可自由编辑
～ 所见即所得 ～
需要可以直接拍下，看到马上发货哦
❤️❤️❤️自动发货，标价就是卖价，需要直接拍，24小时秒发网盘链接
[钉子]任何情况，不要申请退款，私信沟通给你处理，小店经营不易。
[钉子]所有文件均获取自网络公开渠道，仅供学习和交流使用，所有版权归版权人所有，如版权方认为侵犯了您的版权，请及时联系小店删除。</t>
        </is>
      </c>
      <c r="F39" s="2" t="str">
        <f>=HYPERLINK("http://img.alicdn.com/bao/uploaded/i2/O1CN01dmg1R21IFlIK5Cisb_!!4611686018427383856-53-fleamarket.heic_790x10000Q90.jpg_.webp", "img.alicdn.com/bao/uploaded/i2/O1CN01dmg1R21IFlIK5Cisb_!!4611686018427383856-53-fleamarket.heic_790x10000Q90.jpg_.webp")</f>
        <v>img.alicdn.com/bao/uploaded/i2/O1CN01dmg1R21IFlIK5Cisb_!!4611686018427383856-53-fleamarket.heic_790x10000Q90.jpg_.webp</v>
      </c>
      <c r="G39"/>
      <c r="H39" s="2" t="str">
        <f>=HYPERLINK("https://www.goofish.com/item?spm=a21ybx.personal.feeds.203.69b752f39oihHY&amp;id=981387590436&amp;categoryId=50023914", "https://www.goofish.com/item?spm=a21ybx.personal.feeds.203.69b752f39oihHY&amp;id=981387590436&amp;categoryId=50023914")</f>
        <v>https://www.goofish.com/item?spm=a21ybx.personal.feeds.203.69b752f39oihHY&amp;id=981387590436&amp;categoryId=50023914</v>
      </c>
      <c r="I39"/>
      <c r="J39"/>
      <c r="K39"/>
    </row>
    <row r="40" ht="25.5" customHeight="1">
      <c r="A40" t="inlineStr">
        <is>
          <t>序言PPT模板自动秒</t>
        </is>
      </c>
      <c r="B40">
        <v>61</v>
      </c>
      <c r="C40"/>
      <c r="D40"/>
      <c r="E40" t="inlineStr">
        <is>
          <t>序言PPT模板自动秒发【自动秒发】序言 PPT 同款领导都爱用的 ppt 模板 工|||
【自动秒发】序言 PPT 同款领导都爱用的 ppt 模板 工作汇报 转正述职 年终述职PPT模板 有逻辑图 240 页 持续更新～
标价就是卖价
数据图甘特图等各种展示模板
下单需知：
1.PPT 模版共计 240 页</t>
        </is>
      </c>
      <c r="F40" s="2" t="str">
        <f>=HYPERLINK("http://img.alicdn.com/bao/uploaded/i3/O1CN01uq4nPD1IFlGQ3DK7n_!!4611686018427383856-53-fleamarket.heic_790x10000Q90.jpg_.webp", "img.alicdn.com/bao/uploaded/i3/O1CN01uq4nPD1IFlGQ3DK7n_!!4611686018427383856-53-fleamarket.heic_790x10000Q90.jpg_.webp")</f>
        <v>img.alicdn.com/bao/uploaded/i3/O1CN01uq4nPD1IFlGQ3DK7n_!!4611686018427383856-53-fleamarket.heic_790x10000Q90.jpg_.webp</v>
      </c>
      <c r="G40"/>
      <c r="H40" s="2" t="str">
        <f>=HYPERLINK("https://www.goofish.com/item?spm=a21ybx.personal.feeds.49.69b752f39oihHY&amp;id=936353234821&amp;categoryId=50023914", "https://www.goofish.com/item?spm=a21ybx.personal.feeds.49.69b752f39oihHY&amp;id=936353234821&amp;categoryId=50023914")</f>
        <v>https://www.goofish.com/item?spm=a21ybx.personal.feeds.49.69b752f39oihHY&amp;id=936353234821&amp;categoryId=50023914</v>
      </c>
      <c r="I40"/>
      <c r="J40"/>
      <c r="K40"/>
    </row>
  </sheetData>
  <dataValidations count="1">
    <dataValidation allowBlank="false" sqref="C2:C39" type="list">
      <formula1>"是,否"</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