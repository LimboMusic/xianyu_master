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filterPrivacy="1"/>
  <xr:revisionPtr revIDLastSave="0" documentId="13_ncr:1_{84839521-9078-4713-8E81-3DAF1816A9AE}" xr6:coauthVersionLast="47" xr6:coauthVersionMax="47" xr10:uidLastSave="{00000000-0000-0000-0000-000000000000}"/>
  <bookViews>
    <workbookView xWindow="-108" yWindow="-108" windowWidth="23256" windowHeight="12576" xr2:uid="{00000000-000D-0000-FFFF-FFFF00000000}"/>
  </bookViews>
  <sheets>
    <sheet name="资源" sheetId="2" r:id="rId1"/>
  </sheets>
  <calcPr calcId="191029"/>
</workbook>
</file>

<file path=xl/calcChain.xml><?xml version="1.0" encoding="utf-8"?>
<calcChain xmlns="http://schemas.openxmlformats.org/spreadsheetml/2006/main">
  <c r="H122" i="2" l="1"/>
  <c r="F122" i="2"/>
  <c r="H121" i="2"/>
  <c r="F121" i="2"/>
  <c r="H120" i="2"/>
  <c r="F120" i="2"/>
  <c r="H119" i="2"/>
  <c r="F119" i="2"/>
  <c r="H118" i="2"/>
  <c r="F118" i="2"/>
  <c r="H117" i="2"/>
  <c r="F117" i="2"/>
  <c r="H116" i="2"/>
  <c r="F116" i="2"/>
  <c r="H115" i="2"/>
  <c r="F115" i="2"/>
  <c r="H114" i="2"/>
  <c r="F114" i="2"/>
  <c r="H113" i="2"/>
  <c r="F113" i="2"/>
  <c r="H112" i="2"/>
  <c r="F112" i="2"/>
  <c r="H111" i="2"/>
  <c r="F111" i="2"/>
  <c r="H110" i="2"/>
  <c r="F110" i="2"/>
  <c r="H109" i="2"/>
  <c r="F109" i="2"/>
  <c r="H108" i="2"/>
  <c r="F108" i="2"/>
  <c r="H107" i="2"/>
  <c r="F107" i="2"/>
  <c r="H106" i="2"/>
  <c r="F106" i="2"/>
  <c r="H105" i="2"/>
  <c r="F105" i="2"/>
  <c r="H104" i="2"/>
  <c r="F104" i="2"/>
  <c r="H103" i="2"/>
  <c r="F103" i="2"/>
  <c r="H102" i="2"/>
  <c r="F102" i="2"/>
  <c r="H101" i="2"/>
  <c r="F101" i="2"/>
  <c r="H100" i="2"/>
  <c r="F100" i="2"/>
  <c r="H99" i="2"/>
  <c r="F99" i="2"/>
  <c r="H98" i="2"/>
  <c r="F98" i="2"/>
  <c r="H97" i="2"/>
  <c r="F97" i="2"/>
  <c r="H96" i="2"/>
  <c r="F96" i="2"/>
  <c r="H95" i="2"/>
  <c r="F95" i="2"/>
  <c r="H94" i="2"/>
  <c r="F94" i="2"/>
  <c r="H93" i="2"/>
  <c r="F93" i="2"/>
  <c r="H92" i="2"/>
  <c r="F92" i="2"/>
  <c r="H91" i="2"/>
  <c r="F91" i="2"/>
  <c r="H90" i="2"/>
  <c r="F90" i="2"/>
  <c r="H89" i="2"/>
  <c r="F89" i="2"/>
  <c r="H88" i="2"/>
  <c r="F88" i="2"/>
  <c r="H87" i="2"/>
  <c r="F87" i="2"/>
  <c r="H86" i="2"/>
  <c r="F86" i="2"/>
  <c r="H85" i="2"/>
  <c r="F85" i="2"/>
  <c r="H84" i="2"/>
  <c r="F84" i="2"/>
  <c r="H83" i="2"/>
  <c r="F83" i="2"/>
  <c r="H82" i="2"/>
  <c r="F82" i="2"/>
  <c r="H81" i="2"/>
  <c r="F81" i="2"/>
  <c r="H80" i="2"/>
  <c r="F80" i="2"/>
  <c r="H79" i="2"/>
  <c r="F79" i="2"/>
  <c r="H78" i="2"/>
  <c r="F78" i="2"/>
  <c r="H77" i="2"/>
  <c r="F77" i="2"/>
  <c r="H76" i="2"/>
  <c r="F76" i="2"/>
  <c r="H75" i="2"/>
  <c r="F75" i="2"/>
  <c r="H74" i="2"/>
  <c r="F74" i="2"/>
  <c r="H73" i="2"/>
  <c r="F73" i="2"/>
  <c r="H72" i="2"/>
  <c r="F72" i="2"/>
  <c r="H71" i="2"/>
  <c r="F71" i="2"/>
  <c r="H70" i="2"/>
  <c r="F70" i="2"/>
  <c r="H69" i="2"/>
  <c r="F69" i="2"/>
  <c r="H68" i="2"/>
  <c r="F68" i="2"/>
  <c r="H67" i="2"/>
  <c r="F67" i="2"/>
  <c r="H66" i="2"/>
  <c r="F66" i="2"/>
  <c r="H65" i="2"/>
  <c r="F65" i="2"/>
  <c r="H64" i="2"/>
  <c r="F64" i="2"/>
  <c r="H63" i="2"/>
  <c r="F63" i="2"/>
  <c r="H62" i="2"/>
  <c r="F62" i="2"/>
  <c r="H61" i="2"/>
  <c r="F61" i="2"/>
  <c r="H60" i="2"/>
  <c r="F60" i="2"/>
  <c r="H59" i="2"/>
  <c r="F59" i="2"/>
  <c r="H58" i="2"/>
  <c r="F58" i="2"/>
  <c r="H57" i="2"/>
  <c r="F57" i="2"/>
  <c r="H56" i="2"/>
  <c r="F56" i="2"/>
  <c r="H55" i="2"/>
  <c r="F55" i="2"/>
  <c r="H54" i="2"/>
  <c r="F54" i="2"/>
  <c r="H53" i="2"/>
  <c r="F53" i="2"/>
  <c r="H52" i="2"/>
  <c r="F52" i="2"/>
  <c r="H51" i="2"/>
  <c r="F51" i="2"/>
  <c r="H50" i="2"/>
  <c r="F50" i="2"/>
  <c r="H49" i="2"/>
  <c r="F49" i="2"/>
  <c r="H48" i="2"/>
  <c r="F48" i="2"/>
  <c r="H47" i="2"/>
  <c r="F47" i="2"/>
  <c r="H46" i="2"/>
  <c r="F46" i="2"/>
  <c r="H45" i="2"/>
  <c r="F45" i="2"/>
  <c r="H44" i="2"/>
  <c r="F44" i="2"/>
  <c r="H43" i="2"/>
  <c r="F43" i="2"/>
  <c r="H42" i="2"/>
  <c r="F42" i="2"/>
  <c r="H41" i="2"/>
  <c r="F41" i="2"/>
  <c r="H40" i="2"/>
  <c r="F40" i="2"/>
  <c r="H39" i="2"/>
  <c r="F39" i="2"/>
  <c r="H38" i="2"/>
  <c r="F38" i="2"/>
  <c r="H37" i="2"/>
  <c r="F37" i="2"/>
  <c r="H36" i="2"/>
  <c r="F36" i="2"/>
  <c r="H35" i="2"/>
  <c r="F35" i="2"/>
  <c r="H34" i="2"/>
  <c r="F34" i="2"/>
  <c r="H33" i="2"/>
  <c r="F33" i="2"/>
  <c r="H32" i="2"/>
  <c r="F32" i="2"/>
  <c r="H31" i="2"/>
  <c r="F31" i="2"/>
  <c r="H30" i="2"/>
  <c r="F30" i="2"/>
  <c r="H29" i="2"/>
  <c r="F29" i="2"/>
  <c r="H28" i="2"/>
  <c r="F28" i="2"/>
  <c r="H27" i="2"/>
  <c r="F27" i="2"/>
  <c r="H26" i="2"/>
  <c r="F26" i="2"/>
  <c r="F25" i="2"/>
  <c r="F24" i="2"/>
  <c r="F23" i="2"/>
  <c r="F22" i="2"/>
  <c r="F21" i="2"/>
  <c r="F17" i="2"/>
  <c r="F16" i="2"/>
  <c r="F15" i="2"/>
  <c r="F14" i="2"/>
  <c r="F13" i="2"/>
</calcChain>
</file>

<file path=xl/sharedStrings.xml><?xml version="1.0" encoding="utf-8"?>
<sst xmlns="http://schemas.openxmlformats.org/spreadsheetml/2006/main" count="505" uniqueCount="283">
  <si>
    <t>名称</t>
  </si>
  <si>
    <t>编码</t>
  </si>
  <si>
    <t>发货内容</t>
  </si>
  <si>
    <t>已经定时发布</t>
  </si>
  <si>
    <t>标题</t>
  </si>
  <si>
    <t>图片</t>
  </si>
  <si>
    <t>图片路径（影刀）</t>
  </si>
  <si>
    <t>链接网址</t>
  </si>
  <si>
    <t>是否出单</t>
  </si>
  <si>
    <t>完成转存</t>
  </si>
  <si>
    <t>豆瓣搜索</t>
  </si>
  <si>
    <t>【赠品】</t>
  </si>
  <si>
    <t>赠送：
1、【上千部优秀电影资源】
打开最新版「夸克APP」即可获取，畅享原画，免费5倍速播放，支持AI字幕和投屏。夸克网盘链接：https://pan.quark.cn/s/824507145116
2、【各种职场技能全都有】
打开最新版「夸克APP」即可获取，夸克网盘链接：https://pan.quark.cn/s/6631055fd82d
3、生活、职场、饭局等【人情世故】实用指南
通过百度网盘分享的文件：
链接:https://pan.baidu.com/s/13pAGMn4CwzN3b6rHEBdTdw?pwd=1b38 
复制这段内容打开「百度网盘APP 即可获取」
4、网易云破J版
夸克：https://pan.quark.cn/s/111813b950ea</t>
  </si>
  <si>
    <t>是</t>
  </si>
  <si>
    <t>葬送的芙莉莲</t>
  </si>
  <si>
    <t>百度：
https://pan.baidu.com/s/1Bswdx7COeEy-l2JDdX_tAw?pwd=13s2
夸克：
https://pan.quark.cn/s/9a9f99a3630b</t>
  </si>
  <si>
    <t>葬送的芙莉莲(28集全) 蓝光4K+超清1080P/官方正式版/原声中字/超高清动漫电视剧/完整版全集/原版未删减/适合收藏
同时发4K和1080P两版资源</t>
  </si>
  <si>
    <t>甄嬛传</t>
  </si>
  <si>
    <t>百度网盘链接: https://pan.baidu.com/s/1eFgu7FMLf_P0JwsDuuymGA?pwd=68z3
我用夸克网盘链接：https://pan.quark.cn/s/6ae800ba1241</t>
  </si>
  <si>
    <t>《甄嬛传》全76集 蓝光4K+1080➕国粤中字幕➕可投屏
━━━━━━24小时自动发货━━━━━━
[超便宜]夸克网盘包含:
甄嬛传国语:4K  单集2.8G版本〔共198G〕
            4KHDR  单集6G版本〔490G〕收藏版
[超便宜]百度网盘包含:
甄嬛传国语:4K  单集2.8G版本〔共198G〕
            超清1080P  单集400M〔32G〕小体积
[钉子]附带赠送:超清1080+[国粤双音轨]+[内封外挂字幕][可剪辑版][共123G][mkv]
[hot]百度网盘下载后才可以切换粤语
[钉子]需知：在线观看高级别画质需开通会员，无会员可下载后观看视频原画质。
=========夸克+百度双盘===========
[超便宜]注意:拍“2人小刀”时，可点击右上方〔还差一人刀成，直接刀成〕，这样无需等待，秒发货
[超便宜]本资源是免费分享，价格为整理材料人工费用。如有侵权，联系我主动下架删除。最终版权归作者所有，本人不承担任何法律责任。#电视剧</t>
  </si>
  <si>
    <t>僵尸先生1-7</t>
  </si>
  <si>
    <t>夸克链接：https://pan.quark.cn/s/00a476a000df
百度链接: https://pan.baidu.com/s/1WTaL2bTeohOtoIzUMz0Jqg?pwd=czcf</t>
  </si>
  <si>
    <t>《僵尸先生1-7部》超清修复4K+1080➕夸度双盘秒发➕7部全➕国粤中字幕
━━━━━━24小时自动发货━━━━━━
1.《僵尸先生》（1985年）4K+1080双版
2.《僵尸家族》（1986年）4K+1080双版
3.《灵幻先生》（1987年）4K+1080双版
4.《僵尸叔叔》（1988年）4K+1080双版
5.《一眉道人》（1989年）1080p
6.《驱魔警察》（1990年）1080p
7.《新僵尸先生》（1992年）4K+1080双版
[钉子]需知：在线观看高级别画质需开通会员，无会员可下载后观看视频原画质。
[钉子]介绍:国语+粤语（百度网盘默认国语）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[火]本资源是免费分享，价格为整理材料人工费用。如有侵权，联系我主动下架删除。最终版权归作者所有，本人不承担任何法律责任。#电影#高清修复#老电影</t>
  </si>
  <si>
    <t>新僵尸先生</t>
  </si>
  <si>
    <t>战狼1-2</t>
  </si>
  <si>
    <t>我用夸克网盘链接：https://pan.quark.cn/s/3b5351291539
通过百度网盘链接: https://pan.baidu.com/s/1uQ2IaRHkf2Jp1nBudHswag?pwd=ut2s</t>
  </si>
  <si>
    <t>《战狼1+2》原盘高清！支持投屏！双盘秒发货！可投屏！
━━━━━━◈◈◈━━━━━━
▫️资源规格：原盘高清（单部30G/共2部）
▫️字幕类型：国语中英字幕（右下角自由选择）
▫️发货方试：百度+夸克网盘双盘秒发！
[超便宜]需知：在线观看高级别画质需开通会员，无会员可下载后观看视频原画质。
=========夸克+百度双盘===========
[钉子]注意:拍“2人小刀”时，可点击右上方〔还差一人刀成，直接刀成〕，这样无需等待，秒发货
[钉子]本资源是免费分享，价格为整理材料人工费用。如有侵权，联系我主动下架删除。最终版权归作者所有，本人不承担任何法律责任。#电影</t>
  </si>
  <si>
    <t>战狼1</t>
  </si>
  <si>
    <t>狂飙</t>
  </si>
  <si>
    <t>夸克网盘链接：https://pan.quark.cn/s/46eab5132dc0
百度网盘链接: https://pan.baidu.com/s/13NXU58cTFkK7WpUvh0F34g?pwd=5d6s</t>
  </si>
  <si>
    <t>《狂飙》蓝光4K➕夸度双盘秒发➕39集全➕国语中字幕
━━━━━━24小时自动发货━━━━━━
▫️资源规格:  4K蓝光（共73G）
▫️字幕类型:  原声中字
▫️文件类型:  mp4
▫️发货方试:  百度+夸克网盘双盘秒发！
[钉子]需知：在线观看高级别画质需开通会员，无会员可下载后观看视频原画质。
[钉子]介绍:京海市一线刑警安欣（张译 饰），在与黑恶势力的斗争中，不断遭到保护伞的打击，始终无法将犯罪分子绳之以法。全国政法队伍教育整顿工作开展后，临江省派出指导组入驻京海，联合公检法司各部门，清除了政法队伍内部的腐败分子，粉碎了黑恶势力的保护伞，一举铲除了盘踞京海多年的强盛集团。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</si>
  <si>
    <t xml:space="preserve">人民的名义 </t>
  </si>
  <si>
    <t>我用夸克网盘链接：https://pan.quark.cn/s/fcba4912e87f
通过百度网盘链接: https://pan.baidu.com/s/18Hi32xc0NQunM3VK13p8xQ?pwd=896r</t>
  </si>
  <si>
    <t>《人民的名义》4k蓝光全集珍藏版！未删减！夸度双盘秒发！
━━━━━━◈◈◈━━━━━━
▫️资源规格：超清4K（单集2.8G/共55集）
▫️字幕类型：国语中字幕
▫️发货方试：百度云+夸克网盘双盘秒发！
[钉子]需知：在线观看高级别画质需开通会员，无会员可下载后观看视频原画质。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</si>
  <si>
    <t>圣斗士星矢 12部</t>
  </si>
  <si>
    <t>我用夸克链接：https://pan.quark.cn/s/16fe692d244f
百度链接: https://pan.baidu.com/s/1BPbS7l_7S9EBqav4eKRA7g?pwd=c226</t>
  </si>
  <si>
    <t>【圣斗士星矢】 蓝光压缩1080P 12部珍藏版 每集900M 多语顶配动画片(广配国语+台配国语+粤语+日语+法语配音+中文字幕) + 圣斗士星矢全系列漫画 共500G 超大容量 童年回忆 珍藏版
[cool]动画片可以直接在网盘上播放(无需下载)
[火][火][火]动画片(460G)  蓝光压缩1080P 高码HDR 极清画质 国粤法日多语配音 中文字幕： 
   01.TV版(银河战争篇+教皇刺客篇+黄道十二宫篇+北欧篇+海皇篇)114话全   
   02.冥王十二宫篇 13话全
   03.冥界篇前后章 12话全 
   04.极乐净土篇 6话全
   05.冥王神话篇 26话全 
   06.欧米伽 97话全
   07.黄金魂 13话全
   08.剧场版 6部
   09.圣斗少女翔 10话全
   10.十二宫骑士 12话全
   11.圣斗士星矢 真人版电影
   12.圣斗士星矢3D动画电影 
[火][火][火]圣斗士全系列漫画(36G) (多格式):
   圣斗士星矢完全版【港版】
   圣斗士星矢完全版【台版】
   圣斗士星矢（简体版）
   圣斗士星矢冥王神话
   圣斗士星矢冥王神话外传
   圣斗少女翔
   圣斗士星矢EPIS斗士星矢Ω
发货方试：百度+夸克网盘双盘秒发
━━━━━━◈◈◈━━━━━━
1️⃣ 选择【立即购买】自动秒发货
2️⃣ 2人小刀用户请注意！请选择【直接刀成】不然可能需要等待！第一位免拼！
3️⃣【声明】本资源是免费分享，价格为整理材料人工费用。如有侵权，联系我主动下架删除。最终版权归作者所有，本人不承担任何法律责任。
━━━━━━━━━━━━━━━#圣斗士</t>
  </si>
  <si>
    <t>启示</t>
  </si>
  <si>
    <t>【秒发】启示/4K蓝光/国语版+玛雅版正式139分钟完整版+
百度网盘链接: https://pan.baidu.com/s/18TJmWRdUQ7OYBNt6QmTPjw?pwd=44zd
夸克链接：https://pan.quark.cn/s/047362f4ce0a</t>
  </si>
  <si>
    <t>【秒发】启示/4K蓝光/国语版+玛雅版正式139分钟完整版+
中英文字幕/可投屏
极致画质58G珍藏完整版 包括：
《启示》2006年 4K蓝光HDR超高清[国语版]
正式完整139分钟，国语+内嵌中文字幕
《启示》2006年 4K蓝光HDR超高清[玛雅版]
正式完整139分钟，玛雅语+内嵌中英文字幕
[国语版+玛雅原版]一起发！支持投屏！秒发货
百度网盘➕夸克网盘 双盘秒发
【24小时自动发货】
点击【直接刀成】不用等发货
点击【直接刀成】不用等发货
点击【直接刀成】不用等发货</t>
  </si>
  <si>
    <t>个人简历ppt模板</t>
  </si>
  <si>
    <t>链接【请复制链接到百度网盘打开，然后即可保存和下载。不要直接点！不要直接点！不要直接点！】：https://pan.baidu.com/s/1Tdg_gxJDnCUyqn6sM09tsA?pwd=5678
提取码:5678
  永久链接  持续更新中
收货好平 再送一款哦，祝您生活愉快~</t>
  </si>
  <si>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</si>
  <si>
    <t>科研PPT模板</t>
  </si>
  <si>
    <t>通过网盘分享的文件：A047-科研学术汇报文献汇报PPT 链接: https://pan.baidu.com/s/1i3YBzMmKEwO_-PRuBsgmEQ?pwd=i6cy 提取码: i6cy 手机使用：复制整段话到百度网盘自动提取 电脑使用：复制上面发您的链接在浏览器地址栏 好-平，可任选店里一个宝贝免费送哦！</t>
  </si>
  <si>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</si>
  <si>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【秒发】英语课堂游戏ppt</t>
  </si>
  <si>
    <t>这是您要的资料：
【超级会员V3】通过百度网盘分享的文件：英语课堂游戏PP…
链接:https://pan.baidu.com/s/1cp-X8sDmFl6Q4DajLCa81w?pwd=jh35 
提取码:jh35
复制这段内容打开「百度网盘APP 即可获取」</t>
  </si>
  <si>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</si>
  <si>
    <t>ppt模板高级感简约商务</t>
  </si>
  <si>
    <t>通过网盘分享的文件：SS100-9999PPT
链接: https://pan.baidu.com/s/1Q5wU5DtRlub8SWKujZmtVA?pwd=frqh 提取码: frqh 
手机使用：复制整段话到百度网盘自动提取
电脑使用：复制上面发您的链接在浏览器地址栏</t>
  </si>
  <si>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</si>
  <si>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500页创意图文PPT模板，一键换图超实用</t>
  </si>
  <si>
    <t>通过网盘分享的文件：B107-最新500页全动画PPT模板
链接: https://pan.baidu.com/s/1JFXEgeQoQwF29nujKz-h1Q 提取码: 9999 
--来自百度网盘超级会员v3的分享</t>
  </si>
  <si>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</si>
  <si>
    <t>【速发】999+套经典正红主题PPT模板</t>
  </si>
  <si>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</si>
  <si>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</si>
  <si>
    <t>少儿创意美术PPT课件600个＋</t>
  </si>
  <si>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</si>
  <si>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</si>
  <si>
    <t>ai指令</t>
  </si>
  <si>
    <t>【超级会员V1】通过百度网盘分享的文件：92-ai指令价…
链接:https://pan.baidu.com/s/1703Y2tXOzVFCXlWrSJDs0w 
提取码:6d92
复制这段内容打开「百度网盘APP 即可获取」</t>
  </si>
  <si>
    <t>adobe软件</t>
  </si>
  <si>
    <t>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
安装教程以及问题解决：https://www.yuque.com/xiaogaifenxiang/eerhzc/wfs9flxo0dgkgy1w?singleDoc#
（网盘复制链接即可，不要全部复制）</t>
  </si>
  <si>
    <t>即梦会员</t>
  </si>
  <si>
    <t>【既梦】最新版资源
----------------------------------------
夸克网盘链接：https://pan.quark.cn/s/957aaeb9c4f7
【先保存到网盘，再下载查看，终身包更新！！】
----------------------------------------
使用教程：复制以上链接打开跨克或浏览器即可查看
注意：虚拟商品发货后不支持退款！！！</t>
  </si>
  <si>
    <t>【秒发】个人简历PPT模板简</t>
  </si>
  <si>
    <t>G 个人简历PPT模板简约大学生自我介绍工作求职面试岗位竞聘晋升ppt
链接: https://pan.baidu.com/s/1zov9tXPjLlk1Rm1eHpIXOQ?pwd=5555 提取码: 5555</t>
  </si>
  <si>
    <t>【秒发】个人简历PPT模板简约大学生自我介绍工作求职面试岗位竞聘晋升ppt
自动发货，基本24小时都可以秒发，需要直接拍，发白度网盘链接</t>
  </si>
  <si>
    <t>ai模板科研绘图素材</t>
  </si>
  <si>
    <t>~~~~~
您好！感谢光临本店，这是您的订单以下为订单内容，请注意查收：
素材提取链接：
链接: https://pan.baidu.com/s/10Mvts9BU6FAUVOxNqPCmIw?pwd=8888 提取码: 8888</t>
  </si>
  <si>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</si>
  <si>
    <t>家装室内设计软装</t>
  </si>
  <si>
    <t>链接：https://pan.baidu.com/s/1KKcjynRfSBqeZaYHegDZCA?pwd=xvxr 提取码：xvxr
复制这段内容后打开百度网盘手机App，操作更方便哦
免解压版：
链接：https://pan.baidu.com/s/12jvCN0F06vBA6swwme8ZBQ?pwd=1kym 
提取码：1kym</t>
  </si>
  <si>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</si>
  <si>
    <t>科研学术答辩PPT</t>
  </si>
  <si>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</si>
  <si>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</si>
  <si>
    <t>课题平面逻辑</t>
  </si>
  <si>
    <t>请先转存网盘，保存数据，防止链接失效
通过网盘分享的文件：技术线路图内部资料.pptx
链接: https://pan.baidu.com/s/11EJsh2ykjfF7cU43vbFUiw?pwd=8888 提取码: 8888 
--来自百度网盘超级会员v1的分享</t>
  </si>
  <si>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</si>
  <si>
    <t>900多套ppt模板</t>
  </si>
  <si>
    <t>----
您好，你购买的订单号：3133813623640075187 以下是给您发货的内容：
链接：https://pan.baidu.com/s/17JEAHcOsMcZHMChovcvHrQ?pwd=6666 
提取码：6666 
----</t>
  </si>
  <si>
    <t>900多套ppt模板打包价2.8元，拍后再送店内其他素材1份（全店任选）俩也行~
店内所有2.8元的ppt都与这套一样滴，展示的都在这个链接里。
拍后发b.d网 盘 链 接，发后不退。
只能用电脑或者平板编辑</t>
  </si>
  <si>
    <t>动态PPT模板</t>
  </si>
  <si>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</si>
  <si>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</si>
  <si>
    <t>屎盆子镶金边PPT模板</t>
  </si>
  <si>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</si>
  <si>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</si>
  <si>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大学生职业生涯规划大赛</t>
  </si>
  <si>
    <t>通过网盘分享的文件：大学生职业生涯规划大赛PPT模板
链接: https://pan.baidu.com/s/1cA1ff0IdAkSlChvNj_XQIg?pwd=3t2x 提取码: 3t2x 
手机使用：复制整段话到百度网盘自动提取
电脑使用：复制上面发您的链接在浏览器地址栏</t>
  </si>
  <si>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</si>
  <si>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13色1950页高级感工作汇</t>
  </si>
  <si>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</si>
  <si>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</si>
  <si>
    <t>国自然PPT模板国家自然科学基金科研</t>
  </si>
  <si>
    <t>通过网盘分享的文件：B40-国家自然科学
链接: https://pan.baidu.com/s/1MA8WUBt2eroHC3awi0NeeA?pwd=9999 提取码: 9999 
--来自百度网盘超级会员v3的分享</t>
  </si>
  <si>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</si>
  <si>
    <t>105套国赛金奖ppt模板大学生创新创业</t>
  </si>
  <si>
    <t>您好，您此次购物的订单编号是：3134153461078075187。
以下是给您发货的内容。
通过网盘分享的文件：105套国赛金奖ppt模板
链接: https://pan.baidu.com/s/1ft-TL7tLTcYY2nR1rqUTcw?pwd=xurc 提取码: xurc 
--来自百度网盘超级会员v6的分享:
复制上面这段话到佰度网盘即可打开，记得及时保存，避免失效！
要是宝贝合您心意，还请不吝好评。我们准备了惊喜赠品，赶紧好评解锁吧！</t>
  </si>
  <si>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</si>
  <si>
    <t>高品质400+简历模</t>
  </si>
  <si>
    <t>宝子稍等片刻，资源正在路上</t>
  </si>
  <si>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</si>
  <si>
    <t>科研PPT模板学术汇</t>
  </si>
  <si>
    <t>课题申报框架构图教学</t>
  </si>
  <si>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</si>
  <si>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大学生国家奖学金励志</t>
  </si>
  <si>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</si>
  <si>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电商详情页psd模板</t>
  </si>
  <si>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</si>
  <si>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大学生职业生涯规划大</t>
  </si>
  <si>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</si>
  <si>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100页高级感商务大</t>
  </si>
  <si>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</si>
  <si>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企业宣传册模板wor</t>
  </si>
  <si>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t>
  </si>
  <si>
    <t>2025新款CAD图</t>
  </si>
  <si>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</si>
  <si>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电商美工店铺装修电商</t>
  </si>
  <si>
    <t>电商美工店铺装修电商美妆详情页专题页面排版PSD模板PS设计素材 5000款电商详情可编辑psd源文件店铺装修素材
-----★24小时自动发货，直接拍秒发★--
⭐️每套模版都是我精挑细选出来的
⭐️每款模板都是质量高，适用于任何场合
⭐️每个模板都可以帮你节省大量时间</t>
  </si>
  <si>
    <t>100款高端整套文创</t>
  </si>
  <si>
    <t>100款高端整套文创品牌VI提案效果展示贴图样机PSD设计素材 精选100款文创样机psd可编辑源文件素材
-----★24小时自动发货，直接拍秒发★-----
⭐️每套模版都是我精挑细选出来的
⭐️每款模板都是质量高，适用于任何场合
⭐️每个模板都可以帮你节省大量时间</t>
  </si>
  <si>
    <t>企业公司介绍宣传商务</t>
  </si>
  <si>
    <t>企业公司介绍宣传商务x展架活动易拉宝广告海报模板PSD设计素材PS 精选239款企业易拉宝招聘宣传展架 可编辑素材源文件
-----★24小时自动发货，直接拍秒发★----
⭐️每套模版都是我精挑细选出来的
⭐️每款模板都是质量高，适用于任何场合
⭐️每个模板都可以帮你节省大量时间</t>
  </si>
  <si>
    <t>记账系统Excel表</t>
  </si>
  <si>
    <t>记账系统Excel表格模板 excel记账表格 家庭账本年度分析表 个人月度费用支出记账管理系统52套
✨✨
-----★24小时自动发货，直接拍秒发★-----
⭐️每套模版都是我精挑细选出来的
⭐️每款模板都是质量高，适用于任何场合
⭐️每个模板都可以帮你节省大量时间</t>
  </si>
  <si>
    <t>6000张动漫线稿</t>
  </si>
  <si>
    <t>6000张动漫线稿，超多！可以平时用来练习。
想要直接拍
【线稿】上万张人体结构建筑线稿临摹参考五官表情光影表现身体动作肌肉骨骼透视漫画练习日式场景cg 建筑风景速写等绘画设计参考素材绘画速写古风线稿PS手绘图Q版人体造型多角度线稿草稿动态姿势合集
★页(张)数：13153张【精选高质量】
★文件大小：4.8G【解压后】（方便保存）
★文件格式：JPG，JPEG
★图片类型：日韩人物、日系插画、人体动态欧美角色、建筑设定、概念设计、建筑物件、科幻设定、现代场景、日系场景、表情结构、肌肉透视、漫画分镜等
------★24小时自动发货，直接拍秒发★-----
⭐️每套风格的模版都是我精心挑选出来的。
⭐️每款都是 质量高，适用于任何场合～
⭐️每个风格都有单独归类文档编号跟预览物</t>
  </si>
  <si>
    <t>茶叶奶茶手册VI品牌</t>
  </si>
  <si>
    <t>茶叶奶茶手册VI品牌形象企业产品宣传册VIS全套模板矢量设计素材 精选24款茶叶奶茶品牌手册ai可编辑模板素材
-----★24小时自动发货，直接拍秒发★-----
⭐️每套模版都是我精挑细选出来的
⭐️每款模板都是质量高，适用于任何场合
⭐️每个模板都可以帮你节省大量时间</t>
  </si>
  <si>
    <t>【PPT模板】350</t>
  </si>
  <si>
    <t>【超级会员V1】通过百度网盘分享的文件：Z005-炫酷科…
链接:https://pan.baidu.com/s/1xSAjEXz_MzPcGXqZ5sh6Gg 
提取码:9mcs
复制这段内容打开「百度网盘APP 即可获取」</t>
  </si>
  <si>
    <t>【PPT模板】350套炫酷科技感ppt模板类动态高端工作汇报商务互联网多媒体ppt模板
-----★24小时自动发货，直接拍秒发★-----
⭐️每套模版都是我精挑细选出来的
⭐️每款模板都是质量高，适用于任何场合
⭐️每个模板都可以帮你节省大量时间</t>
  </si>
  <si>
    <t>PS海报模板素材图库</t>
  </si>
  <si>
    <t>【超级会员V1】通过百度网盘分享的文件：S108-PS海…
链接:https://pan.baidu.com/s/14CNwuguGTteib53KmxPAHw 
提取码:389k
复制这段内容打开「百度网盘APP 即可获取」</t>
  </si>
  <si>
    <t>PS海报模板素材图库，精选4000套海报设计模板
涉及广告/平面/设计/促销/宣传/食品/招聘/招生/婚纱/电影/音乐/金融/旅游/科技/美容/母婴/教育/地产/电器/等众多领域，psd格式！
-----★24小时自动发货，直接拍秒发★-----
⭐️每套风格的模版都是我精心挑选出来的。
⭐️每款都是 质量高，适用于任何场合～
⭐️每个风格都有单独归类文档编号跟预览物之情</t>
  </si>
  <si>
    <t>80套高端PPT模</t>
  </si>
  <si>
    <t>80套高端PPT模板，逻辑PPT，高端大气PPT，工作汇报PPT模板
适用于各种行业，设计精美，多种风格款式可选，可编辑修改，使用方便
-----★24小时自动发货，直接拍秒发★-----
⭐️每套模版都是我精挑细选出来的
⭐️每款模板都是质量高，适用于任何场合
⭐️每个模板都可以帮你节省大量时间</t>
  </si>
  <si>
    <t>2026马年中小学生</t>
  </si>
  <si>
    <t>2026马年中小学生幼儿园喜迎元旦ppt班会元旦联欢晚会ppt素材企业
——★24小时自动秒发百度网盘 ★——
——★24小时自动秒发百度网盘 ★——
——★24小时自动秒发百度网盘 ★——
200款马年元旦PPT
2026元旦 2026新年 元旦晚会 新年晚会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</si>
  <si>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邀请函电子版模板企业</t>
  </si>
  <si>
    <t>邀请函电子版模板企业商务晚宴请柬word公司会议年会庆典请帖素材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</si>
  <si>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高级感年终工作总结转</t>
  </si>
  <si>
    <t>高级感年终工作总结转正述职汇报甘特图逻辑架构数据图表ppt模板
——★24小时自动秒发百度网盘 ★——
——★24小时自动秒发百度网盘 ★——
——★24小时自动秒发百度网盘 ★——
一款218页，不是218款哦亲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</si>
  <si>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屎盆子镶金边PPT模</t>
  </si>
  <si>
    <t>屎盆子镶金边PPT模板素材高级感动态快闪创意平滑轮播极简约商务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</si>
  <si>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研究生组会文献汇报P</t>
  </si>
  <si>
    <t>研究生组会文献汇报PPT模板解读研究现状英文综述博士后阅读报告
——★24小时自动秒发百度网盘 ★——
——★24小时自动秒发百度网盘 ★——
——★24小时自动秒发百度网盘 ★——
33套PPT组会文献汇报 硕士博士 中文英文 学术汇报 框架完整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</si>
  <si>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世界全国职业院校技能</t>
  </si>
  <si>
    <t>世界全国职业院校技能大赛PPT模板资料逐字稿全赛道高级感可编辑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</si>
  <si>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excel高级可视化</t>
  </si>
  <si>
    <t>excel高级可视化大屏数据分析图表模版PPT动态销售财务看板柱状图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</si>
  <si>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创赛PPT模板创新创</t>
  </si>
  <si>
    <t>创赛PPT模板创新创业大赛三创赛互联网加挑战杯绿色蓝色非遗科技
——★24小时自动秒发百度网盘 ★——
拍下全发带内容！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t>
  </si>
  <si>
    <t>读书分享ppt成品模</t>
  </si>
  <si>
    <t>读书分享ppt成品模板名著诗词带讲稿教师学生读后感课外好书推荐
——★24小时自动秒发百度网盘 ★——
——★24小时自动秒发百度网盘 ★——
——★24小时自动秒发百度网盘 ★——
4800套读书分享PPT 教师读书 世界读书日 诗词名著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</si>
  <si>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ppt科研绘图素材材</t>
  </si>
  <si>
    <t>ppt科研绘图素材材料实验仪器设备化学生物流程图片SCI器官细胞AI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</si>
  <si>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全国赛教学能力大赛实</t>
  </si>
  <si>
    <t>全国赛教学能力大赛实施报告PPT模板十二图汇报配图职业院校技能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</si>
  <si>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非遗文化PPT模板成</t>
  </si>
  <si>
    <t>非遗文化PPT模板成品课件保护项目知识宣传中国传统元素带内容ppt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</si>
  <si>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旅游宣传PPT模板出</t>
  </si>
  <si>
    <t>旅游宣传PPT模板出行攻略旅行画册城市介绍景点文旅推广简约风格
——★24小时自动秒发百度网盘 ★——
——★24小时自动秒发百度网盘 ★——
——★24小时自动秒发百度网盘 ★——
精选118套旅游宣传PPT 城市介绍 规划攻略 景点宣传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</si>
  <si>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爱国主题诗歌朗诵演讲</t>
  </si>
  <si>
    <t>爱国主题诗歌朗诵演讲比赛晚会舞台演出红歌led高清背景视频素材
——★24小时自动秒发百度网盘 ★——
——★24小时自动秒发百度网盘 ★——
——★24小时自动秒发百度网盘 ★——
演讲/朗诵视频合集
部分是:示范版(有人声)+配乐版(纯音乐)+MP3音乐+词稿
我们是高清像素!1920X1080!
像素很高!几米宽的显示屏也可使用!
全为MP4格式，均带伴奏视频，时长1-15分钟不等
218个背景视频全发您，很全!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</si>
  <si>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2026年带农历丙午</t>
  </si>
  <si>
    <t>2026年带农历丙午年【马年】日历电子版文件素材高清可编辑excel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</si>
  <si>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疯狂动物城PPT模板</t>
  </si>
  <si>
    <t>疯狂动物城PPT模板影视介绍赏析推荐创意角色素材班会课件中英文
——★24小时自动秒发百度网盘 ★——
——★24小时自动秒发百度网盘 ★——
——★24小时自动秒发百度网盘 ★——
10套PPT疯狂动物城
影视介绍 电影赏析 主题班会 图片素材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</si>
  <si>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儿童绘本故事PPT电</t>
  </si>
  <si>
    <t>【超级会员V1】通过百度网盘分享的文件：故事绘本
链接:https://pan.baidu.com/s/1YZDBBU0V2kNIiDzpLSDv8w 
提取码:2nao
复制这段内容打开「百度网盘APP 即可获取」</t>
  </si>
  <si>
    <t>儿童绘本故事PPT电子版幼儿园小学早教大中小班英语阅读课件教案
——★24小时自动秒发百度网盘 ★——
——★24小时自动秒发百度网盘 ★——
——★24小时自动秒发百度网盘 ★——
8900套儿童故事绘本 PPT+教案+绘本+动画
小班/中班/大班/小学绘本 今年新款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</si>
  <si>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大学生个人职业生涯规</t>
  </si>
  <si>
    <t>大学生个人职业生涯规划书简约就业指导求职工作计划通用ppt模板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</si>
  <si>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创赛PPT模板专用字</t>
  </si>
  <si>
    <t>创赛PPT模板专用字体包封面高级三创赛新创业大赛互联网加挑战杯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</si>
  <si>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教学能力大赛PPT比</t>
  </si>
  <si>
    <t>教学能力大赛PPT比赛说课实施报告创新教学设计架构全国职业院校
——★24小时自动秒发百度网盘 ★——
——★24小时自动秒发百度网盘 ★——
——★24小时自动秒发百度网盘 ★——
16套PPT教学能力大赛 老师和评委都喜欢看的汇报PPT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</si>
  <si>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幼儿园讲故事PPT成</t>
  </si>
  <si>
    <t>幼儿园讲故事PPT成品含内容幼儿园老师家长进课堂故事资料素材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</si>
  <si>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教师课堂放松神器抽奖</t>
  </si>
  <si>
    <t>教师课堂放松神器抽奖红包PPT模板砸金蛋转盘趣味互动游戏课件wps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</si>
  <si>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红色大气简约励志商务</t>
  </si>
  <si>
    <t>红色大气简约励志商务个人年终年中工作总结述职汇报动态ppt模板
——★24小时自动秒发百度网盘 ★——
——★24小时自动秒发百度网盘 ★——
——★24小时自动秒发百度网盘 ★——
包含45款 大小:670MB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</si>
  <si>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电商设计详情页模板淘</t>
  </si>
  <si>
    <t>【超级会员V1】通过百度网盘分享的文件：电商全套素材
链接:https://pan.baidu.com/s/15TH6O3uHLq-9ftRSL7-JGw 
提取码:152e
复制这段内容打开「百度网盘APP 即可获取」</t>
  </si>
  <si>
    <t>电商设计详情页模板淘宝商品主图店铺装修首页psd美工ps素材网店
——★24小时自动秒发百度网盘 ★——
——★24小时自动秒发百度网盘 ★——
——★24小时自动秒发百度网盘 ★——
4000套电商详情页 分层PSD+预览图 35类产品介绍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</si>
  <si>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医学品管圈医疗医护理</t>
  </si>
  <si>
    <t>医学品管圈医疗医护理查房ppt模板医生护士病例工作汇报培训课件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</si>
  <si>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活跃气氛课前热身小游</t>
  </si>
  <si>
    <t>活跃气氛课前热身小游戏PPT破冰线上网课小游戏互动创意课堂游戏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</si>
  <si>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大学生国家奖学金竞选</t>
  </si>
  <si>
    <t>大学生国家奖学金竞选红色简约学术风励志导航栏国奖答辩ppt模板
——★24小时自动秒发百度网盘 ★——
——★24小时自动秒发百度网盘 ★——
——★24小时自动秒发百度网盘 ★——
高端精选250款国奖答辩PPT
大小:5GB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</si>
  <si>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职业规划大赛精选PP</t>
  </si>
  <si>
    <t>职业规划大赛精选PPT模版含计划书成长就业赛道获奖作品高级感
——★24小时自动秒发百度网盘 ★——
——★24小时自动秒发百度网盘 ★——
——★24小时自动秒发百度网盘 ★——
精选PPT模板399套 成长赛道+就业赛道+带导航栏
大学生职业规划大赛 PPT+WORD计划书 PPT含内容可编辑 24小时发网盘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</si>
  <si>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科研学术文献汇报项目</t>
  </si>
  <si>
    <t>科研学术文献汇报项目组研究生人才职称申报开题报告答辩ppt模板
——★24小时自动秒发百度网盘 ★——
——★24小时自动秒发百度网盘 ★——
——★24小时自动秒发百度网盘 ★——
99款科研学术汇报PPT 大小:2.6GB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</si>
  <si>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齐了！国内AI提示词</t>
  </si>
  <si>
    <t>齐了！国内AI提示词【指令】合集，工欲善其事必先利其器，模仿永远是高效的学习，高效内容创作的秘籍【指令+教程】，你值得拥有！
国内AI模型：豆包 Kimi 文心一言 混元 千问 多平台通用指令，同样的指令，根据不同账号定位会生成不同的内容！
有别于网上搜集那些比较水的指令提示词，有指令 有教程，​为内容创作
本集合提供了四十余套不同的指令，涵盖短视频几乎所有垂直细分赛道
虚拟商品，一经出售不退不换！
网盘发货，标价就是售价，需要直接拍 秒发货！</t>
  </si>
  <si>
    <t>AI绘画提示词大全S</t>
  </si>
  <si>
    <t>AI绘画提示词大全SD提示词StableDiffusion提示词关键词咒语绘画案例
标价就是售价，拍下秒发货百度网盘
此商品因特殊性，售出后不支持退款，请大家看清楚后下单</t>
  </si>
  <si>
    <t xml:space="preserve">【提示词】TRAE </t>
  </si>
  <si>
    <t>【提示词】TRAE 通用6A规则提示词+敏捷开发5S规则提示词
功能说明:
✅让 AI 按照专业流程工作
✅确保需求理解准确无误
✅保证代码质量和可维护性
✅建立完善的文档体系
✅实现高效的团队协作
内容包含:
6A+5S 规则提示词
【温馨说明】
课程目录已详细附在宝贝描述中，关于内容的疑问建议先查看描述，减少重复咨询，效率更高哦~
【重要提醒】
本店仅售卖教学资料，不提供一对一指导服务，购买后需自行学习操作，介意慎拍~
【发货说明】
资料为电子版，拍下后24小时内通过度盘自动发送链接，请务必及时保存；虚拟商品一经拍下不支持退货，拍前请确认自身需求~</t>
  </si>
  <si>
    <t>Midjourney</t>
  </si>
  <si>
    <t>Midjourney咒语AI提示词ai生图咒语描述词MJ提示词热门词AI绘图</t>
  </si>
  <si>
    <t>【秒发】2025年即</t>
  </si>
  <si>
    <t>【秒发】2025年即梦AI生成视频指南系统教程讲解教程提示词大全
电子资料 售出不退 介意勿拍 感谢理解</t>
  </si>
  <si>
    <t>【自动发货】2100</t>
  </si>
  <si>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t>
  </si>
  <si>
    <t>【自动发货】ai提示</t>
  </si>
  <si>
    <t>【自动发货】ai提示词prompt指令大全/提示工程/AI对话指令/写作
【自动发货】ai提示词prompt指令大全/提示工程/AI对话指令/写作
①资料详情看下图(展示部分），都是精心整理的，分类清晰，内容丰富，拿来即用；
②你买的不只是一份资料，更是一种省时省力的快速做事方法，帮你节省时间和精力！
③需要的朋友点下方的“我想要”，不用问在不在，直接下单就行，拍下发度网盘链接。</t>
  </si>
  <si>
    <t>Deepseek 即</t>
  </si>
  <si>
    <t>Deepseek 即梦 可灵ai提示词 ai关键词 多种提示词文生视频图生视频
2025版本，国产大模型工具 内有几十多种生成提示词，多种形式的提示词，详图片介绍，还在艮薪中
简单易懂，打破信息差
不用高价，做原创其实很简单
各种类型关键词都有，少数没自己组合搭配，后续还会免费更新 ai提示词万能模板已更新，只需根据模板填写自己的想法便能生成喜欢的作品 里面还包括教程
【售后说明】因资料性质特殊易复制，一旦售出不退不换，请理解。
有兴趣的朋友请点“我想要”直接下单吧～</t>
  </si>
  <si>
    <t>CLAUDE｜CUR</t>
  </si>
  <si>
    <t>CLAUDE｜CURSOR｜TRAE通用智能体项目开发提示词合集
介绍
文件包含61个智能体提示词，基本涵盖了开发过程中的各个环节和开发语言，这一套规则可以让Claude/Cursor/Trae变身为某一领域的专家，指导项目开发，减少幻觉并提高编程效率和代码质量。
这套智能体涵盖了：开发与架构专家、各种编程语言专家、运维专家、质量与安全专家、数据与人工智能开发专家、商业与市场专家等
智能体类别
开发与架构
后端架构师：设计RESTful API、微服务边界和数据库模式
前端开发者：构建React组件，实现响应式布局，处理客户端状态管理
UI/UX设计师：创建界面设计、线框图和设计系统
移动开发者：开发具有原生集成的React Native或Flutter应用
GraphQL架构师：设计GraphQL模式、解析器和联邦架构
架构评审员：审查代码变更，确保架构一致性和模式规范
语言专家
Python专家：编写具有高级特性和优化的地道Python代码
Ruby专家：编写地道Ruby代码，具备元编程、Rails模式、gem开发及测试框架能力
Golang专家：编写地道Go代码，熟练使用goroutine、channel和接口
Rust专家：编写地道Rust，掌握所有权模式、生命周期与trait实现
C语言专家：编写高效C代码，注重内存管理和系统调用
C++专家：编写地道C++代码，采用现代特性、RAII、智能指针与STL算法
JavaScript专家：精通现代JavaScript，掌握ES6+、异步模式和Node.js API
TypeScript专家：精通TypeScript，具备高级类型、泛型和严格类型安全
PHP专家：编写地道PHP代码，采用现代特性和性能优化
Java专家：精通现代Java，掌握流、并发和JVM优化
Elixir专家：编写地道Elixir代码，具备OTP模式、函数式编程和Phoenix框架经验
C#专家：编写现代C#代码，具备高级特性和.NET优化
Scala专家：精通企业级Scala开发，擅长函数式编程、分布式系统和大数据处理
Flutter专家：精通Flutter开发，掌握Dart、组件和平台集成
Unity开发者：构建Unity游戏，优化脚本和性能调优
Minecraft Bukkit专家：精通Minecraft服务器插件开发，熟悉Bukkit、Spigot和Paper API
IOS开发者：使用Swift/SwiftUI开发原生iOS应用
SQL专家：编写复杂SQL查询，优化执行计划，设计规范化模式
基础设施与运维
DevOps故障排查员：调试生产问题，分析日志，修复部署故障
部署工程师：配置CI/CD流水线、Docker容器和云端部署
云架构师：设计AWS/Azure/GCP基础设施并优化云成本
数据库优化师：优化SQL查询，设计高效索引，处理数据库迁移
数据库管理员：管理数据库运维、备份、复制和监控
Terraform专家：编写高级Terraform模块，管理状态文件，实现IaC实践
应急响应员：紧急且精准地处理生产事故
网络工程师：调试网络连接，配置负载均衡，分析流量模式
开发者体验优化师：提升开发者体验，优化工具、环境配置与工作流
质量与安全
code-reviewer：专家级代码审查，深度关注配置安全与生产可靠性
security-auditor：检查代码漏洞并确保符合OWASP标准
test-automator：创建全面的测试套件，包括单元、集成和端到端测试
performance-engineer：分析应用性能，优化瓶颈并实施缓存策略
debugger：错误、测试失败与异常行为的调试专家
error-detective：在日志与代码库中查找错误模式、堆栈跟踪及异常
search-specialist：使用高级搜索技术和综合分析的网络检索专家
数据与人工智能
data-scientist：SQL查询、BigQuery操作和数据洞察分析专家
data-engineer：构建ETL流程、数据仓库与流式架构
ai-engineer：构建LLM应用、RAG系统与提示管道
ml-engineer：实现机器学习流程、模型服务与特征工程
mlops-engineer：构建ML流程、实验跟踪与模型注册
prompt-engineer：优化LLM与AI系统的提示词
专业领域
api-documenter：创建OpenAPI/Swagger规范并编写开发者文档
payment-integration：集成Stripe、PayPal及支付处理器
quant-analyst：构建金融模型、回测交易策略并分析市场数据
risk-manager：监控投资组合风险、R-倍数及持仓限额
legacy-modernizer：重构遗留代码库并逐步实现现代化
context-manager：管理多代理与长时间任务的上下文
文档
docs-architect：基于现有代码库创建全面技术文档
mermaid-expert：创建流程图、时序图、ERD和架构的Mermaid图表
reference-builder：创建详尽的技术参考与API文档
tutorial-engineer：根据代码生成分步教程和教育内容
商业与市场
business-analyst：分析指标、制作报告并跟踪关键绩效指标
content-marketer：撰写博客文章、社交媒体内容与电子邮件简报
sales-automator：起草冷邮件、跟进邮件及提案模板
customer-support：处理支持工单、常见问题及客户邮件
legal-advisor：草拟隐私政策、服务条款、免责声明及法律声明
版权与授权声明：本文件夹中包含的61个专用Agent（以下简称"Agent集合"）仅为技术研究与学习交流目的整理，其中可能涉及的第三方代码、模型、文档或其他内容，其知识产权归原作者或合法权利人所有。使用者应自行核实相关内容的版权状态，确保已获得合法授权（如开源协议许可、原作者书面授权等），严禁未经许可将Agent集合用于商业用途或侵犯第三方知识产权的行为。若因版权问题产生纠纷，由使用者自行承担全部责任，与整理方无关。
【温馨说明】
所有提示词已经打包好，关于内容的疑问建议先查看描述，减少重复咨询，效率更高哦~
【重要提醒】
看清楚商品描述再下单，卖的是提示词，新手小白如果不懂或者不会设置建议不要下单，本店仅售卖教学资料，不提供一对一指导服务，购买后需自行学习操作，介意慎拍~
【发货说明】
资料为电子版，拍下后24小时内通过度盘自动发送链接，请务必及时保存；虚拟商品一经拍下不支持退货，拍前请确认自身需求~</t>
  </si>
  <si>
    <t>【自动发货】300个</t>
  </si>
  <si>
    <t>【自动发货】300个去AI味提示词，让你写出高质量小说！
AI写的小说总感觉怪怪的？用这套提示词就能写出流畅自然的故事！
包含：
1.确保内容连贯，主题递进
2.确保情节连贯，故事递进
3.提升信息传达效率
4.强化逻辑与过渡的流畅性
5.调整语气适应不同场景
6.增强表达的精确性
7.注入生动的具体实例
8.保持句式变化与节奏感
9.确保情节连贯，故事递进
10.调整语言以适应不同角色
11.提升叙述节奏与张力
12.强化情节转折与过渡的流畅性
虚拟资料，售出不退不换，介意勿拍！</t>
  </si>
  <si>
    <t>秒发！Midjour</t>
  </si>
  <si>
    <t>秒发！Midjourney咒语AI提示词ai生图咒语MJ热门词AI绘画
问：这个是作图工具吗？
答：亲，这个只是绘图关键词和zhi令，并不是工具哦
问：这个是什么链接?
答：亲，这个链接是Midjourney案例型完整出图咒语包哦~里面有3000+张图片、530+套案例型完整出图咒语、以及免费分享的Tag关键词表格哦~
问：文件包中的图片可以商用吗?
答：亲，由于国内关于Al生成图片尚未有明确条文和法律定义，Al生成图片其背后使用的素材版权归属尚不明确，暂时不支持商业使用，建议同学们以学习交流的目的使用哦~
问：文件包如何使用?
答：亲，文件包中的图片您可以自行下载使用，关键词/咒语使用方法可以看下文件包中的教程哦~有其他问题欢迎来撩~
问：是完整咒语吗?
答：是的哦亲~都是完整的案例型出图咒语哈，同时包含中文和英文以及图片设定，修改性强，主体可以直接修改后使用哦~
问：发货问题?
答：亲，我们使用自动发货功能，在您付款后系统会自动发送网盘链接，您直接点开取货即可哦~发货后不支持以任何理由、任何形式的发起仅退款申请哦!请考虑清楚以后再下单~谢谢亲的理解~
关注或2人小刀拍下获取完整电子版资料，24小时网盘自动发货，注意，电子资料不退不换。
学姐资源均源自公开合法渠道，仅供阅读交流，无商业用途；版权归原作者或出版方所有；费用仅为搜集整理及存储成本，不承担版权责任；若版权方认为侵权，请即告知，将迅速删除，不涉赔偿，尊重版权。</t>
  </si>
  <si>
    <t>可灵1.6跳舞提示词</t>
  </si>
  <si>
    <t>可灵1.6跳舞提示词35套
都是进行实际操作过的，百分百真实。
AI火爆视频创作必备！精品跳舞提示词，赶紧入手，让你的创作用词更精准！
感兴趣的话直接拍24小时自动发货。</t>
  </si>
  <si>
    <t>只给你一个模板，其他</t>
  </si>
  <si>
    <t>只给你一个模板，其他都用自己的灵感来搭配提示词创作！
服务内容：
帮助您从0-精通使用suno制作自己专属的ai音乐
服务内容：
🎵 音乐人的秘密武器，终于公开了！
《Suno 提示词综合指南》正式发布｜网上那些自称一键生成提示词的智能体只是程序员的预先设定，并不能代表您的想法。只有用自己的灵感去搭配创作才会获得更好的生成体验。
打开 Suno，输入一句“lofi jazz with rain”，结果出来的旋律像电梯音乐？
不是你不会写提示词，是你没掌握真正的语法。
我们花了一年半，拆解了 5000+ 首 Suno 热榜神曲，逆向工程它们的提示词结构，同时创作和对比了上万首ai歌曲，
最终整理出这份——
📁 《Suno 提示词综合指南 v1.0》
这不是“提示词合集”，这是 Suno 的“作曲语法书”
✅ 各大音乐风格（Lo-fi、City Pop、Neo Soul、Dark Trap、Epic Orchestral…）
✅ 情绪+乐器+结构+音色等多维提示词列表
✅ 高级技巧：如何用“负向提示”避免雷区，如何用“风格融合”制造爆款
✅ 隐藏参数：Suno 官方没文档的“暗语”，我们帮你试出来了
🎧 音乐制作人：快速出demo，不再为“写提示词”卡壳
📀 内容创作者：BGM不再撞车，视频节奏精准卡点
🎮 游戏/播客/广告从业者：低成本定制爆款音乐，优化直播间听觉感受。
🧪 AI 音乐爱好者：快捷制作心仪的歌曲
写在最后: 这是一份为音乐爱好者和音乐人定制的提示词大全，几乎接近零成本。如果您喜欢，可以直接拍下宝贝并给卖家留言，卖家会直接发给您文档的下载链接。</t>
  </si>
  <si>
    <t>【爆款文案选题神器】</t>
  </si>
  <si>
    <t>【爆款文案选题神器】薛辉8大智能体提示词×飞书多维表格｜输入
行业3秒生成爆款选题
啥是它？
就像请了个24小时在线的文案大神！把薛辉8大智能体塞进飞书表格，你只需要：
选一下你的行业（比如穿搭/美食/育儿）
点一下选题类型
哗啦啦出来10个选题文案！
8大选题方向，招招有用：
☑头牌选题——蹭热点一蹭一个准
☑最差选题——反向操作也能火
☑怀旧选题——让70后80后狂点赞
☑猎奇选题——刷到的人都会看完
☑荷尔蒙选题——自带流量密码
☑成本选题——“300块搞定XXX”实用党最爱
☑圈人群选题——精准拿捏宝妈/学生党
☑最差选题避雷版——帮你省下试错时间
适合谁用？
✓小红书/抖音运营人
✓自媒体博主
✓想搞副业的上班族
✓总是写不出文案的“困难户”
拍下就发货：
飞书模板及8大智能体提示词！之前拍过爆款选题的用户可以找我补差价升级成爆款文案ai智能体！！！
❗郑重说明：
虚拟产品，发货后不退哦，介意的话千万别拍，拍下视为同意此条款作为后续纠纷证据
#薛辉文案智能体 #自媒体必备 #文案神器 #8大智能体选题
网盘自动发货，有需要可以直接拍，虚拟产品不支持退款！
990379337637</t>
  </si>
  <si>
    <t>Al提示词大全Al提</t>
  </si>
  <si>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t>
  </si>
  <si>
    <t>成语故事ppt模板成</t>
  </si>
  <si>
    <t>成语故事ppt模板成品课件幼儿园小学生儿童讲解素材寓言教师说课
——★24小时自动秒发百度网盘 ★——
——★24小时自动秒发百度网盘 ★——
——★24小时自动秒发百度网盘 ★——
1600套成语故事PPT 成品课件 内容完整 直接可用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</si>
  <si>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公司企业活动宣传产品</t>
  </si>
  <si>
    <t>公司企业活动宣传产品手册AI设计DM传单海报CDR三折页模板PSD素材
——★24小时自动秒发百度网盘 ★——
15秒发送云盘链接下载 包含9999款 大小:54GB PSD/CDR/AI格式 分层图案素材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t>
  </si>
  <si>
    <t>时间轴ppt模板公司</t>
  </si>
  <si>
    <t>时间轴ppt模板公司发展历程大事件历史时间线工作汇报告项目进程
——★24小时自动秒发百度网盘 ★——
——★24小时自动秒发百度网盘 ★——
——★24小时自动秒发百度网盘 ★——
310套时间轴PPT 多风格 可编辑
发展历程 项目进度 历史演变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</si>
  <si>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全国高校教师教学创新</t>
  </si>
  <si>
    <t>全国高校教师教学创新大赛ppt课堂实录视频设计汇报告获奖申报书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</si>
  <si>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年级小学生数学手抄报</t>
  </si>
  <si>
    <t>年级小学生数学手抄报模板电子版趣味数学与生活数学乐园小报A3A4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</si>
  <si>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大学老师副教授正高级</t>
  </si>
  <si>
    <t>大学老师副教授正高级科研究员职称申报学术汇报答辩PPT模板评审
——★24小时自动秒发百度网盘 ★——
——★24小时自动秒发百度网盘 ★——
——★24小时自动秒发百度网盘 ★——
4套职称申报PPT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</si>
  <si>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PPT模板简约高级商</t>
  </si>
  <si>
    <t>PPT模板简约高级商务精英展示专家讲师团队名人简介排版人物介绍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</si>
  <si>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国庆节爱国红色主题儿</t>
  </si>
  <si>
    <t>国庆节爱国红色主题儿童画绘画小学生线稿电子版手抄报模板爱祖国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</si>
  <si>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听音乐猜歌名游戏PP</t>
  </si>
  <si>
    <t>听音乐猜歌名游戏PPT学校企业早会晨会年会团建主持演讲互动游戏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</si>
  <si>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企业公司产品宣传品牌</t>
  </si>
  <si>
    <t>企业公司产品宣传品牌vi手册模板AI全套作品CDR设计PSD样机ID素材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</si>
  <si>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企业岗位竞聘ppt模</t>
  </si>
  <si>
    <t>企业岗位竞聘ppt模板简约商务大气个人述职简历自我介绍演讲动态
——★24小时自动秒发百度网盘 ★——
47款岗位竞聘PPT，拍下全发！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t>
  </si>
  <si>
    <t>PPT模板校园大学辩</t>
  </si>
  <si>
    <t>PPT模板校园大学辩论赛职场巅峰对决主题比赛辩手倒计时成品课件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</si>
  <si>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全国教学PPT能力大</t>
  </si>
  <si>
    <t>全国教学PPT能力大赛实施报告模板十二图教师国金技能讲课课件
——★24小时自动秒发百度网盘 ★——
——★24小时自动秒发百度网盘 ★——
——★24小时自动秒发百度网盘 ★——
完整12图+精选实施PPT+讲课
40套实施报告+327套讲课PPT模板
大赛配图案例库 国赛精选案例模板
40套 国赛获奖PPT模板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</si>
  <si>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ppt模板工作汇报高</t>
  </si>
  <si>
    <t>ppt模板工作汇报高级红色商务个人项目述职报告季度年终总结复盘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</si>
  <si>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卡通可爱小学生幼儿园</t>
  </si>
  <si>
    <t>卡通可爱小学生幼儿园情绪管理心理健康教育主题班会动态ppt模板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</si>
  <si>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中小学期中期末考试表</t>
  </si>
  <si>
    <t>中小学期中期末考试表彰大会学校班级颁奖PPT模板课件素材可修改
——★24小时自动秒发百度网盘 ★——
——★24小时自动秒发百度网盘 ★——
——★24小时自动秒发百度网盘 ★——
55套期中期末表彰
PPT模板+赠发言稿 新款已更新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</si>
  <si>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高校教育教学成果奖项</t>
  </si>
  <si>
    <t>高校教育教学成果奖项改革教改课题申报书思政课程案例立项申请书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</si>
  <si>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预防拒绝校园暴力欺凌</t>
  </si>
  <si>
    <t>预防拒绝校园暴力欺凌ppt模板课件成品中小学安全教育主题班会平
——★24小时自动秒发百度网盘 ★——
——★24小时自动秒发百度网盘 ★——
——★24小时自动秒发百度网盘 ★——
拒绝校园暴力PPT模板
成品PPT模板，每套模板均含文字内容
成品PPT，无需您修改，可上课直接使用!
含:什么是校园暴力，如何防范校园暴力等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</si>
  <si>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思维导图ppt模板可</t>
  </si>
  <si>
    <t>思维导图ppt模板可编辑word流程逻辑数据图表鱼骨树状逻辑时间轴
——★24小时自动秒发百度网盘 ★——
——★24小时自动秒发百度网盘 ★——
——★24小时自动秒发百度网盘 ★——
4000款思维导图模板 PPT+Word+Xmind 可编辑 源文件
结构图 流程图 气泡图 鱼骨图 逻辑图 组织图 时间轴 树形图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</si>
  <si>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中国风典雅大气简约古</t>
  </si>
  <si>
    <t>中国风典雅大气简约古风国潮水墨教学教育说课件通用动态ppt模板
——★24小时自动秒发百度网盘 ★——
——★24小时自动秒发百度网盘 ★——
——★24小时自动秒发百度网盘 ★——
10款中国古风PPt
大小:798MB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</si>
  <si>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草图大师模型SU园林</t>
  </si>
  <si>
    <t>草图大师模型SU园林景观植物花草树木灌木Sketchup凉亭2D组件单体
——★24小时自动秒发百度网盘 ★——
——★24小时自动秒发百度网盘 ★——
——★24小时自动秒发百度网盘 ★——
2025新款模型2D/3D植物/景观墙/喷泉/盆栽/石头/凉亭/灯具/人物等
SU园林 8000套 园林景观40大分类 草图景观单体模型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</si>
  <si>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中国民间神话故事pp</t>
  </si>
  <si>
    <t>中国民间神话故事ppt模板绘本古代神话传说女娲补天后羿课件演讲
——★24小时自动秒发百度网盘 ★——
——★24小时自动秒发百度网盘 ★——
——★24小时自动秒发百度网盘 ★——
神话故事/民间故事/演讲等
成品PPT模板，故事均含文字和插画
成品PPT，您可直接演讲使用!PPT文字可修改
我们家是高清版!电视/大屏幕/投影仪均可使用!
放心拍!今年新整理!很全很全很全!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</si>
  <si>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我爱你中国 红歌祖国</t>
  </si>
  <si>
    <t>我爱你中国 红歌祖国朗诵歌曲爱国庆伴奏演出led舞台背景视频素材
——★24小时自动秒发百度网盘 ★——
——★24小时自动秒发百度网盘 ★——
——★24小时自动秒发百度网盘 ★——
视频尺寸:1920X1080
时长有:3分钟 4分钟 5分钟等
原唱+伴奏+无声+歌词+MP3
有字幕+无字幕
这个视频品质非常高!现场大屏播放效果高清!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</si>
  <si>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2026马年红色简约</t>
  </si>
  <si>
    <t>2026马年红色简约商务高级感年终工作总结汇报暨新年计划ppt模板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</si>
  <si>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全国大学生职业生涯规</t>
  </si>
  <si>
    <t>全国大学生职业生涯规划大赛职规赛就业计划书高级感红色ppt模板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</si>
  <si>
    <t>26年AI归来考研英语一英二全套电子版资料PDF来啦！英一英二通用，大作文+小作文模板+历年主题词汇+答题卡全都有，备考冲刺必备！
内容包括：2026考研英语作文模板PDF（英一英二通用）、大作文模板、小作文模板、历年主题词汇、答题卡等，数字资源，拍下自动发网盘链接，秒下不用等！
需要具体资料内容可以私聊，欢迎咨询，喜欢直接拍，有问题随时问我～
免责声明：资料只限学习用途，不得用于商业，标价为收集整理资料的辛苦费，虚拟商品售出不退不换，介意勿拍！
学习资料定制，喜欢就拍，细节私聊！</t>
    <phoneticPr fontId="4" type="noConversion"/>
  </si>
  <si>
    <t>https://s.coze.cn/t/hRY1fcnw1ng/</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</si>
</sst>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DengXian"/>
      <family val="2"/>
    </font>
    <font>
      <sz val="10"/>
      <name val="Calibri"/>
      <family val="2"/>
    </font>
    <font>
      <u/>
      <sz val="11"/>
      <color rgb="FF0000FF"/>
      <name val="DengXian"/>
      <family val="2"/>
    </font>
    <font>
      <u/>
      <sz val="11"/>
      <color theme="10"/>
      <name val="DengXian"/>
      <family val="2"/>
    </font>
    <font>
      <sz val="9"/>
      <name val="宋体"/>
      <family val="3"/>
      <charset val="134"/>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applyAlignment="1">
      <alignment vertical="center"/>
    </xf>
    <xf numFmtId="0" fontId="2" fillId="0" borderId="0" xfId="0" applyFont="1"/>
    <xf numFmtId="0" fontId="0" fillId="0" borderId="0" xfId="0" applyAlignment="1">
      <alignment wrapText="1"/>
    </xf>
    <xf numFmtId="0" fontId="3" fillId="0" borderId="0" xfId="1"/>
  </cellXfs>
  <cellStyles count="2">
    <cellStyle name="常规" xfId="0" builtinId="0" customBuiltin="1"/>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s.coze.cn/t/hRY1fcnw1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3"/>
  <sheetViews>
    <sheetView tabSelected="1" topLeftCell="A123" workbookViewId="0">
      <selection activeCell="A123" sqref="A123"/>
    </sheetView>
  </sheetViews>
  <sheetFormatPr defaultRowHeight="13.8"/>
  <cols>
    <col min="1" max="6" width="19" customWidth="1"/>
    <col min="7" max="7" width="0" hidden="1" customWidth="1"/>
    <col min="8" max="10" width="19" customWidth="1"/>
    <col min="11" max="11" width="0" hidden="1" customWidth="1"/>
  </cols>
  <sheetData>
    <row r="1" spans="1:11" ht="13.05" customHeight="1">
      <c r="A1" s="1" t="s">
        <v>0</v>
      </c>
      <c r="B1" s="1" t="s">
        <v>1</v>
      </c>
      <c r="C1" s="1" t="s">
        <v>2</v>
      </c>
      <c r="D1" s="1" t="s">
        <v>3</v>
      </c>
      <c r="E1" s="1" t="s">
        <v>4</v>
      </c>
      <c r="F1" s="1" t="s">
        <v>5</v>
      </c>
      <c r="G1" s="1" t="s">
        <v>6</v>
      </c>
      <c r="H1" s="1" t="s">
        <v>7</v>
      </c>
      <c r="I1" s="1" t="s">
        <v>8</v>
      </c>
      <c r="J1" s="1" t="s">
        <v>9</v>
      </c>
      <c r="K1" s="1" t="s">
        <v>10</v>
      </c>
    </row>
    <row r="2" spans="1:11" ht="25.5" customHeight="1">
      <c r="A2" t="s">
        <v>11</v>
      </c>
      <c r="B2">
        <v>1</v>
      </c>
      <c r="C2" t="s">
        <v>12</v>
      </c>
      <c r="D2" t="s">
        <v>13</v>
      </c>
      <c r="F2" s="2"/>
      <c r="H2" s="2"/>
      <c r="K2" t="s">
        <v>11</v>
      </c>
    </row>
    <row r="3" spans="1:11" ht="25.5" customHeight="1">
      <c r="A3" t="s">
        <v>14</v>
      </c>
      <c r="B3">
        <v>2</v>
      </c>
      <c r="C3" t="s">
        <v>15</v>
      </c>
      <c r="D3" t="s">
        <v>13</v>
      </c>
      <c r="E3" t="s">
        <v>16</v>
      </c>
      <c r="F3" s="2"/>
      <c r="H3" s="2"/>
      <c r="K3" t="s">
        <v>14</v>
      </c>
    </row>
    <row r="4" spans="1:11" ht="25.5" customHeight="1">
      <c r="A4" t="s">
        <v>17</v>
      </c>
      <c r="B4">
        <v>3</v>
      </c>
      <c r="C4" t="s">
        <v>18</v>
      </c>
      <c r="D4" t="s">
        <v>13</v>
      </c>
      <c r="E4" t="s">
        <v>19</v>
      </c>
      <c r="F4" s="2"/>
      <c r="H4" s="2"/>
      <c r="K4" t="s">
        <v>17</v>
      </c>
    </row>
    <row r="5" spans="1:11" ht="25.5" customHeight="1">
      <c r="A5" t="s">
        <v>20</v>
      </c>
      <c r="B5">
        <v>4</v>
      </c>
      <c r="C5" t="s">
        <v>21</v>
      </c>
      <c r="D5" t="s">
        <v>13</v>
      </c>
      <c r="E5" t="s">
        <v>22</v>
      </c>
      <c r="F5" s="2"/>
      <c r="H5" s="2"/>
      <c r="K5" t="s">
        <v>23</v>
      </c>
    </row>
    <row r="6" spans="1:11" ht="25.5" customHeight="1">
      <c r="A6" t="s">
        <v>24</v>
      </c>
      <c r="B6">
        <v>5</v>
      </c>
      <c r="C6" t="s">
        <v>25</v>
      </c>
      <c r="D6" t="s">
        <v>13</v>
      </c>
      <c r="E6" t="s">
        <v>26</v>
      </c>
      <c r="F6" s="2"/>
      <c r="H6" s="2"/>
      <c r="K6" t="s">
        <v>27</v>
      </c>
    </row>
    <row r="7" spans="1:11" ht="25.5" customHeight="1">
      <c r="A7" t="s">
        <v>28</v>
      </c>
      <c r="B7">
        <v>6</v>
      </c>
      <c r="C7" t="s">
        <v>29</v>
      </c>
      <c r="D7" t="s">
        <v>13</v>
      </c>
      <c r="E7" t="s">
        <v>30</v>
      </c>
      <c r="F7" s="2"/>
      <c r="H7" s="2"/>
      <c r="K7" t="s">
        <v>28</v>
      </c>
    </row>
    <row r="8" spans="1:11" ht="25.5" customHeight="1">
      <c r="A8" t="s">
        <v>31</v>
      </c>
      <c r="B8">
        <v>7</v>
      </c>
      <c r="C8" t="s">
        <v>32</v>
      </c>
      <c r="D8" t="s">
        <v>13</v>
      </c>
      <c r="E8" t="s">
        <v>33</v>
      </c>
      <c r="F8" s="2"/>
      <c r="H8" s="2"/>
      <c r="K8" t="s">
        <v>31</v>
      </c>
    </row>
    <row r="9" spans="1:11" ht="25.5" customHeight="1">
      <c r="A9" t="s">
        <v>34</v>
      </c>
      <c r="B9">
        <v>8</v>
      </c>
      <c r="C9" t="s">
        <v>35</v>
      </c>
      <c r="D9" t="s">
        <v>13</v>
      </c>
      <c r="E9" t="s">
        <v>36</v>
      </c>
      <c r="F9" s="2"/>
      <c r="H9" s="2"/>
      <c r="K9" t="s">
        <v>34</v>
      </c>
    </row>
    <row r="10" spans="1:11" ht="25.5" customHeight="1">
      <c r="A10" t="s">
        <v>37</v>
      </c>
      <c r="B10">
        <v>9</v>
      </c>
      <c r="C10" t="s">
        <v>38</v>
      </c>
      <c r="D10" t="s">
        <v>13</v>
      </c>
      <c r="E10" t="s">
        <v>39</v>
      </c>
      <c r="F10" s="2"/>
      <c r="H10" s="2"/>
      <c r="K10" t="s">
        <v>37</v>
      </c>
    </row>
    <row r="11" spans="1:11" ht="25.5" customHeight="1">
      <c r="A11" t="s">
        <v>40</v>
      </c>
      <c r="B11">
        <v>10</v>
      </c>
      <c r="C11" t="s">
        <v>41</v>
      </c>
      <c r="D11" t="s">
        <v>13</v>
      </c>
      <c r="E11" t="s">
        <v>42</v>
      </c>
      <c r="F11" s="2"/>
      <c r="H11" s="2"/>
    </row>
    <row r="12" spans="1:11" ht="25.5" customHeight="1">
      <c r="A12" t="s">
        <v>43</v>
      </c>
      <c r="B12">
        <v>11</v>
      </c>
      <c r="C12" t="s">
        <v>44</v>
      </c>
      <c r="D12" t="s">
        <v>13</v>
      </c>
      <c r="E12" t="s">
        <v>45</v>
      </c>
      <c r="F12" s="2"/>
      <c r="H12" s="2"/>
    </row>
    <row r="13" spans="1:11" ht="25.5" customHeight="1">
      <c r="A13" t="s">
        <v>46</v>
      </c>
      <c r="B13">
        <v>12</v>
      </c>
      <c r="C13" t="s">
        <v>47</v>
      </c>
      <c r="D13" t="s">
        <v>13</v>
      </c>
      <c r="E13" t="s">
        <v>48</v>
      </c>
      <c r="F13"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H13" s="2"/>
    </row>
    <row r="14" spans="1:11" ht="25.5" customHeight="1">
      <c r="A14" t="s">
        <v>49</v>
      </c>
      <c r="B14">
        <v>13</v>
      </c>
      <c r="C14" t="s">
        <v>50</v>
      </c>
      <c r="D14" t="s">
        <v>13</v>
      </c>
      <c r="E14" t="s">
        <v>51</v>
      </c>
      <c r="F14"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H14" s="2"/>
    </row>
    <row r="15" spans="1:11" ht="25.5" customHeight="1">
      <c r="A15" t="s">
        <v>52</v>
      </c>
      <c r="B15">
        <v>14</v>
      </c>
      <c r="C15" t="s">
        <v>53</v>
      </c>
      <c r="D15" t="s">
        <v>13</v>
      </c>
      <c r="E15" t="s">
        <v>54</v>
      </c>
      <c r="F15"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H15" s="2"/>
    </row>
    <row r="16" spans="1:11" ht="25.5" customHeight="1">
      <c r="A16" t="s">
        <v>55</v>
      </c>
      <c r="B16">
        <v>15</v>
      </c>
      <c r="C16" t="s">
        <v>56</v>
      </c>
      <c r="D16" t="s">
        <v>13</v>
      </c>
      <c r="E16" t="s">
        <v>57</v>
      </c>
      <c r="F16"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H16" s="2"/>
    </row>
    <row r="17" spans="1:8" ht="25.5" customHeight="1">
      <c r="A17" t="s">
        <v>58</v>
      </c>
      <c r="B17">
        <v>16</v>
      </c>
      <c r="C17" t="s">
        <v>59</v>
      </c>
      <c r="D17" t="s">
        <v>13</v>
      </c>
      <c r="E17" t="s">
        <v>60</v>
      </c>
      <c r="F17"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H17" s="2"/>
    </row>
    <row r="18" spans="1:8" ht="25.5" customHeight="1">
      <c r="A18" t="s">
        <v>61</v>
      </c>
      <c r="B18">
        <v>18</v>
      </c>
      <c r="C18" t="s">
        <v>62</v>
      </c>
      <c r="D18" t="s">
        <v>13</v>
      </c>
      <c r="E18" t="s">
        <v>61</v>
      </c>
      <c r="F18" s="2"/>
      <c r="H18" s="2"/>
    </row>
    <row r="19" spans="1:8" ht="25.5" customHeight="1">
      <c r="A19" t="s">
        <v>63</v>
      </c>
      <c r="B19">
        <v>19</v>
      </c>
      <c r="C19" t="s">
        <v>64</v>
      </c>
      <c r="D19" t="s">
        <v>13</v>
      </c>
      <c r="E19" t="s">
        <v>63</v>
      </c>
      <c r="F19" s="2"/>
      <c r="H19" s="2"/>
    </row>
    <row r="20" spans="1:8" ht="25.5" customHeight="1">
      <c r="A20" t="s">
        <v>65</v>
      </c>
      <c r="B20">
        <v>20</v>
      </c>
      <c r="C20" t="s">
        <v>66</v>
      </c>
      <c r="D20" t="s">
        <v>13</v>
      </c>
      <c r="E20" t="s">
        <v>65</v>
      </c>
      <c r="F20" s="2"/>
      <c r="H20" s="2"/>
    </row>
    <row r="21" spans="1:8" ht="25.5" customHeight="1">
      <c r="A21" t="s">
        <v>67</v>
      </c>
      <c r="B21">
        <v>21</v>
      </c>
      <c r="C21" t="s">
        <v>68</v>
      </c>
      <c r="D21" t="s">
        <v>13</v>
      </c>
      <c r="E21" t="s">
        <v>69</v>
      </c>
      <c r="F21"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H21" s="2"/>
    </row>
    <row r="22" spans="1:8" ht="25.5" customHeight="1">
      <c r="A22" t="s">
        <v>70</v>
      </c>
      <c r="B22">
        <v>30</v>
      </c>
      <c r="C22" t="s">
        <v>71</v>
      </c>
      <c r="D22" t="s">
        <v>13</v>
      </c>
      <c r="E22" t="s">
        <v>72</v>
      </c>
      <c r="F22"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H22" s="2"/>
    </row>
    <row r="23" spans="1:8" ht="25.5" customHeight="1">
      <c r="A23" t="s">
        <v>73</v>
      </c>
      <c r="B23">
        <v>31</v>
      </c>
      <c r="C23" t="s">
        <v>74</v>
      </c>
      <c r="D23" t="s">
        <v>13</v>
      </c>
      <c r="E23" t="s">
        <v>75</v>
      </c>
      <c r="F23"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H23" s="2"/>
    </row>
    <row r="24" spans="1:8" ht="25.5" customHeight="1">
      <c r="A24" t="s">
        <v>76</v>
      </c>
      <c r="B24">
        <v>32</v>
      </c>
      <c r="C24" t="s">
        <v>77</v>
      </c>
      <c r="D24" t="s">
        <v>13</v>
      </c>
      <c r="E24" t="s">
        <v>78</v>
      </c>
      <c r="F24"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H24" s="2"/>
    </row>
    <row r="25" spans="1:8" ht="25.5" customHeight="1">
      <c r="A25" t="s">
        <v>79</v>
      </c>
      <c r="B25">
        <v>33</v>
      </c>
      <c r="C25" t="s">
        <v>80</v>
      </c>
      <c r="D25" t="s">
        <v>13</v>
      </c>
      <c r="E25" t="s">
        <v>81</v>
      </c>
      <c r="F25"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H25" s="2"/>
    </row>
    <row r="26" spans="1:8" ht="25.5" customHeight="1">
      <c r="A26" t="s">
        <v>82</v>
      </c>
      <c r="B26">
        <v>34</v>
      </c>
      <c r="C26" t="s">
        <v>83</v>
      </c>
      <c r="D26" t="s">
        <v>13</v>
      </c>
      <c r="E26" t="s">
        <v>84</v>
      </c>
      <c r="F26"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H26"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row>
    <row r="27" spans="1:8" ht="25.5" customHeight="1">
      <c r="A27" t="s">
        <v>85</v>
      </c>
      <c r="B27">
        <v>35</v>
      </c>
      <c r="C27" t="s">
        <v>86</v>
      </c>
      <c r="D27" t="s">
        <v>13</v>
      </c>
      <c r="E27" t="s">
        <v>87</v>
      </c>
      <c r="F27"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H27"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row>
    <row r="28" spans="1:8" ht="25.5" customHeight="1">
      <c r="A28" t="s">
        <v>88</v>
      </c>
      <c r="B28">
        <v>36</v>
      </c>
      <c r="C28" t="s">
        <v>89</v>
      </c>
      <c r="D28" t="s">
        <v>13</v>
      </c>
      <c r="E28" t="s">
        <v>90</v>
      </c>
      <c r="F28"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H28"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row>
    <row r="29" spans="1:8" ht="25.5" customHeight="1">
      <c r="A29" t="s">
        <v>91</v>
      </c>
      <c r="B29">
        <v>37</v>
      </c>
      <c r="C29" t="s">
        <v>92</v>
      </c>
      <c r="D29" t="s">
        <v>13</v>
      </c>
      <c r="E29" t="s">
        <v>93</v>
      </c>
      <c r="F29"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H29"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row>
    <row r="30" spans="1:8" ht="25.5" customHeight="1">
      <c r="A30" t="s">
        <v>94</v>
      </c>
      <c r="B30">
        <v>38</v>
      </c>
      <c r="C30" t="s">
        <v>95</v>
      </c>
      <c r="D30" t="s">
        <v>13</v>
      </c>
      <c r="E30" t="s">
        <v>96</v>
      </c>
      <c r="F30"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H30"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row>
    <row r="31" spans="1:8" ht="25.5" customHeight="1">
      <c r="A31" t="s">
        <v>97</v>
      </c>
      <c r="B31">
        <v>40</v>
      </c>
      <c r="C31" t="s">
        <v>98</v>
      </c>
      <c r="D31" t="s">
        <v>13</v>
      </c>
      <c r="E31" t="s">
        <v>99</v>
      </c>
      <c r="F31"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H31"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row>
    <row r="32" spans="1:8" ht="25.5" customHeight="1">
      <c r="A32" t="s">
        <v>100</v>
      </c>
      <c r="B32">
        <v>41</v>
      </c>
      <c r="C32" t="s">
        <v>101</v>
      </c>
      <c r="D32" t="s">
        <v>13</v>
      </c>
      <c r="E32" t="s">
        <v>102</v>
      </c>
      <c r="F32"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H32"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row>
    <row r="33" spans="1:8" ht="25.5" customHeight="1">
      <c r="A33" t="s">
        <v>103</v>
      </c>
      <c r="B33">
        <v>62</v>
      </c>
      <c r="C33" t="s">
        <v>104</v>
      </c>
      <c r="D33" t="s">
        <v>13</v>
      </c>
      <c r="E33" t="s">
        <v>105</v>
      </c>
      <c r="F33"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H33"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row>
    <row r="34" spans="1:8" ht="25.5" customHeight="1">
      <c r="A34" t="s">
        <v>106</v>
      </c>
      <c r="B34">
        <v>63</v>
      </c>
      <c r="C34" t="s">
        <v>104</v>
      </c>
      <c r="D34" t="s">
        <v>13</v>
      </c>
      <c r="E34" t="s">
        <v>45</v>
      </c>
      <c r="F34"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H34"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row>
    <row r="35" spans="1:8" ht="25.5" customHeight="1">
      <c r="A35" t="s">
        <v>107</v>
      </c>
      <c r="B35">
        <v>64</v>
      </c>
      <c r="C35" t="s">
        <v>104</v>
      </c>
      <c r="D35" t="s">
        <v>13</v>
      </c>
      <c r="E35" t="s">
        <v>108</v>
      </c>
      <c r="F35"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H35"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row>
    <row r="36" spans="1:8" ht="25.5" customHeight="1">
      <c r="A36" t="s">
        <v>109</v>
      </c>
      <c r="B36">
        <v>65</v>
      </c>
      <c r="C36" t="s">
        <v>104</v>
      </c>
      <c r="D36" t="s">
        <v>13</v>
      </c>
      <c r="E36" t="s">
        <v>110</v>
      </c>
      <c r="F36"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H36"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row>
    <row r="37" spans="1:8" ht="25.5" customHeight="1">
      <c r="A37" t="s">
        <v>111</v>
      </c>
      <c r="B37">
        <v>66</v>
      </c>
      <c r="C37" t="s">
        <v>104</v>
      </c>
      <c r="D37" t="s">
        <v>13</v>
      </c>
      <c r="E37" t="s">
        <v>112</v>
      </c>
      <c r="F37"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H37"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row>
    <row r="38" spans="1:8" ht="25.5" customHeight="1">
      <c r="A38" t="s">
        <v>113</v>
      </c>
      <c r="B38">
        <v>67</v>
      </c>
      <c r="C38" t="s">
        <v>104</v>
      </c>
      <c r="D38" t="s">
        <v>13</v>
      </c>
      <c r="E38" t="s">
        <v>114</v>
      </c>
      <c r="F38"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H38"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row>
    <row r="39" spans="1:8" ht="25.5" customHeight="1">
      <c r="A39" t="s">
        <v>115</v>
      </c>
      <c r="B39">
        <v>68</v>
      </c>
      <c r="C39" t="s">
        <v>104</v>
      </c>
      <c r="D39" t="s">
        <v>13</v>
      </c>
      <c r="E39" t="s">
        <v>116</v>
      </c>
      <c r="F39"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H39"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row>
    <row r="40" spans="1:8" ht="25.5" customHeight="1">
      <c r="A40" t="s">
        <v>117</v>
      </c>
      <c r="B40">
        <v>69</v>
      </c>
      <c r="C40" t="s">
        <v>104</v>
      </c>
      <c r="D40" t="s">
        <v>13</v>
      </c>
      <c r="E40" t="s">
        <v>118</v>
      </c>
      <c r="F40"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H40"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row>
    <row r="41" spans="1:8" ht="25.5" customHeight="1">
      <c r="A41" t="s">
        <v>119</v>
      </c>
      <c r="B41">
        <v>70</v>
      </c>
      <c r="C41" t="s">
        <v>104</v>
      </c>
      <c r="D41" t="s">
        <v>13</v>
      </c>
      <c r="E41" t="s">
        <v>120</v>
      </c>
      <c r="F41"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H41"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row>
    <row r="42" spans="1:8" ht="25.5" customHeight="1">
      <c r="A42" t="s">
        <v>121</v>
      </c>
      <c r="B42">
        <v>71</v>
      </c>
      <c r="C42" t="s">
        <v>104</v>
      </c>
      <c r="D42" t="s">
        <v>13</v>
      </c>
      <c r="E42" t="s">
        <v>122</v>
      </c>
      <c r="F42" s="2" t="str">
        <f>HYPERLINK("http://img.alicdn.com/bao/uploaded/i2/O1CN010gFUNh2CLMYSlu5lb_!!4611686018427382025-53-fleamarket.heic_790x10000Q90.jpg_.webp", "img.alicdn.com/bao/uploaded/i2/O1CN010gFUNh2CLMYSlu5lb_!!4611686018427382025-53-fleamarket.heic_790x10000Q90.jpg_.webp")</f>
        <v>img.alicdn.com/bao/uploaded/i2/O1CN010gFUNh2CLMYSlu5lb_!!4611686018427382025-53-fleamarket.heic_790x10000Q90.jpg_.webp</v>
      </c>
      <c r="H42" s="2" t="str">
        <f>HYPERLINK("https://www.goofish.com/item?spm=a21ybx.personal.feeds.17.77e76ac22jN7kj&amp;id=838970575462&amp;categoryId=50023914", "https://www.goofish.com/item?spm=a21ybx.personal.feeds.17.77e76ac22jN7kj&amp;id=838970575462&amp;categoryId=50023914")</f>
        <v>https://www.goofish.com/item?spm=a21ybx.personal.feeds.17.77e76ac22jN7kj&amp;id=838970575462&amp;categoryId=50023914</v>
      </c>
    </row>
    <row r="43" spans="1:8" ht="25.5" customHeight="1">
      <c r="A43" t="s">
        <v>123</v>
      </c>
      <c r="B43">
        <v>72</v>
      </c>
      <c r="C43" t="s">
        <v>104</v>
      </c>
      <c r="D43" t="s">
        <v>13</v>
      </c>
      <c r="E43" t="s">
        <v>124</v>
      </c>
      <c r="F43" s="2" t="str">
        <f>HYPERLINK("http://img.alicdn.com/bao/uploaded/i3/O1CN01zDGmul2CLMWUS0as9_!!53-fleamarket.heic_790x10000Q90.jpg_.webp", "img.alicdn.com/bao/uploaded/i3/O1CN01zDGmul2CLMWUS0as9_!!53-fleamarket.heic_790x10000Q90.jpg_.webp")</f>
        <v>img.alicdn.com/bao/uploaded/i3/O1CN01zDGmul2CLMWUS0as9_!!53-fleamarket.heic_790x10000Q90.jpg_.webp</v>
      </c>
      <c r="H43" s="2" t="str">
        <f>HYPERLINK("https://www.goofish.com/item?spm=a21ybx.personal.feeds.66.77e76ac22jN7kj&amp;id=839406600249&amp;categoryId=50023914", "https://www.goofish.com/item?spm=a21ybx.personal.feeds.66.77e76ac22jN7kj&amp;id=839406600249&amp;categoryId=50023914")</f>
        <v>https://www.goofish.com/item?spm=a21ybx.personal.feeds.66.77e76ac22jN7kj&amp;id=839406600249&amp;categoryId=50023914</v>
      </c>
    </row>
    <row r="44" spans="1:8" ht="25.5" customHeight="1">
      <c r="A44" t="s">
        <v>125</v>
      </c>
      <c r="B44">
        <v>73</v>
      </c>
      <c r="C44" t="s">
        <v>104</v>
      </c>
      <c r="D44" t="s">
        <v>13</v>
      </c>
      <c r="E44" t="s">
        <v>126</v>
      </c>
      <c r="F44" s="2" t="str">
        <f>HYPERLINK("http://img.alicdn.com/bao/uploaded/i2/O1CN01J0jqjZ2CLMWU6wTOA_!!53-fleamarket.heic_790x10000Q90.jpg_.webp", "img.alicdn.com/bao/uploaded/i2/O1CN01J0jqjZ2CLMWU6wTOA_!!53-fleamarket.heic_790x10000Q90.jpg_.webp")</f>
        <v>img.alicdn.com/bao/uploaded/i2/O1CN01J0jqjZ2CLMWU6wTOA_!!53-fleamarket.heic_790x10000Q90.jpg_.webp</v>
      </c>
      <c r="H44" s="2" t="str">
        <f>HYPERLINK("https://www.goofish.com/item?spm=a21ybx.personal.feeds.142.77e76ac22jN7kj&amp;id=838965135188&amp;categoryId=50023914", "https://www.goofish.com/item?spm=a21ybx.personal.feeds.142.77e76ac22jN7kj&amp;id=838965135188&amp;categoryId=50023914")</f>
        <v>https://www.goofish.com/item?spm=a21ybx.personal.feeds.142.77e76ac22jN7kj&amp;id=838965135188&amp;categoryId=50023914</v>
      </c>
    </row>
    <row r="45" spans="1:8" ht="25.5" customHeight="1">
      <c r="A45" t="s">
        <v>127</v>
      </c>
      <c r="B45">
        <v>74</v>
      </c>
      <c r="C45" t="s">
        <v>104</v>
      </c>
      <c r="D45" t="s">
        <v>13</v>
      </c>
      <c r="E45" t="s">
        <v>128</v>
      </c>
      <c r="F45" s="2" t="str">
        <f>HYPERLINK("http://img.alicdn.com/bao/uploaded/i4/O1CN01T4AYaW2CLMWROUuB5_!!53-fleamarket.heic_790x10000Q90.jpg_.webp", "img.alicdn.com/bao/uploaded/i4/O1CN01T4AYaW2CLMWROUuB5_!!53-fleamarket.heic_790x10000Q90.jpg_.webp")</f>
        <v>img.alicdn.com/bao/uploaded/i4/O1CN01T4AYaW2CLMWROUuB5_!!53-fleamarket.heic_790x10000Q90.jpg_.webp</v>
      </c>
      <c r="H45" s="2" t="str">
        <f>HYPERLINK("https://www.goofish.com/item?spm=a21ybx.personal.feeds.53.77e76ac22jN7kj&amp;id=839341433731&amp;categoryId=50023914", "https://www.goofish.com/item?spm=a21ybx.personal.feeds.53.77e76ac22jN7kj&amp;id=839341433731&amp;categoryId=50023914")</f>
        <v>https://www.goofish.com/item?spm=a21ybx.personal.feeds.53.77e76ac22jN7kj&amp;id=839341433731&amp;categoryId=50023914</v>
      </c>
    </row>
    <row r="46" spans="1:8" ht="25.5" customHeight="1">
      <c r="A46" t="s">
        <v>129</v>
      </c>
      <c r="B46">
        <v>75</v>
      </c>
      <c r="C46" t="s">
        <v>104</v>
      </c>
      <c r="D46" t="s">
        <v>13</v>
      </c>
      <c r="E46" t="s">
        <v>130</v>
      </c>
      <c r="F46" s="2" t="str">
        <f>HYPERLINK("http://img.alicdn.com/bao/uploaded/i3/O1CN01wy0YmG2CLMWRgZaLC_!!53-fleamarket.heic_790x10000Q90.jpg_.webp", "img.alicdn.com/bao/uploaded/i3/O1CN01wy0YmG2CLMWRgZaLC_!!53-fleamarket.heic_790x10000Q90.jpg_.webp")</f>
        <v>img.alicdn.com/bao/uploaded/i3/O1CN01wy0YmG2CLMWRgZaLC_!!53-fleamarket.heic_790x10000Q90.jpg_.webp</v>
      </c>
      <c r="H46" s="2" t="str">
        <f>HYPERLINK("https://www.goofish.com/item?spm=a21ybx.personal.feeds.63.77e76ac22jN7kj&amp;id=838899803609&amp;categoryId=50023914", "https://www.goofish.com/item?spm=a21ybx.personal.feeds.63.77e76ac22jN7kj&amp;id=838899803609&amp;categoryId=50023914")</f>
        <v>https://www.goofish.com/item?spm=a21ybx.personal.feeds.63.77e76ac22jN7kj&amp;id=838899803609&amp;categoryId=50023914</v>
      </c>
    </row>
    <row r="47" spans="1:8" ht="25.5" customHeight="1">
      <c r="A47" t="s">
        <v>131</v>
      </c>
      <c r="B47">
        <v>76</v>
      </c>
      <c r="C47" t="s">
        <v>104</v>
      </c>
      <c r="D47" t="s">
        <v>13</v>
      </c>
      <c r="E47" t="s">
        <v>132</v>
      </c>
      <c r="F47" s="2" t="str">
        <f>HYPERLINK("http://img.alicdn.com/bao/uploaded/i1/O1CN017GYIxI2CLMWMV6rEa_!!53-fleamarket.heic_790x10000Q90.jpg_.webp", "img.alicdn.com/bao/uploaded/i1/O1CN017GYIxI2CLMWMV6rEa_!!53-fleamarket.heic_790x10000Q90.jpg_.webp")</f>
        <v>img.alicdn.com/bao/uploaded/i1/O1CN017GYIxI2CLMWMV6rEa_!!53-fleamarket.heic_790x10000Q90.jpg_.webp</v>
      </c>
      <c r="H47" s="2" t="str">
        <f>HYPERLINK("https://www.goofish.com/item?spm=a21ybx.personal.feeds.156.77e76ac22jN7kj&amp;id=839233401492&amp;categoryId=50023914", "https://www.goofish.com/item?spm=a21ybx.personal.feeds.156.77e76ac22jN7kj&amp;id=839233401492&amp;categoryId=50023914")</f>
        <v>https://www.goofish.com/item?spm=a21ybx.personal.feeds.156.77e76ac22jN7kj&amp;id=839233401492&amp;categoryId=50023914</v>
      </c>
    </row>
    <row r="48" spans="1:8" ht="25.5" customHeight="1">
      <c r="A48" t="s">
        <v>133</v>
      </c>
      <c r="B48">
        <v>77</v>
      </c>
      <c r="C48" t="s">
        <v>134</v>
      </c>
      <c r="D48" t="s">
        <v>13</v>
      </c>
      <c r="E48" t="s">
        <v>135</v>
      </c>
      <c r="F48" s="2" t="str">
        <f>HYPERLINK("http://img.alicdn.com/bao/uploaded/i1/O1CN01LltOwv2CLMVoQWQrs_!!53-fleamarket.heic_790x10000Q90.jpg_.webp", "img.alicdn.com/bao/uploaded/i1/O1CN01LltOwv2CLMVoQWQrs_!!53-fleamarket.heic_790x10000Q90.jpg_.webp")</f>
        <v>img.alicdn.com/bao/uploaded/i1/O1CN01LltOwv2CLMVoQWQrs_!!53-fleamarket.heic_790x10000Q90.jpg_.webp</v>
      </c>
      <c r="H48" s="2" t="str">
        <f>HYPERLINK("https://www.goofish.com/item?spm=a21ybx.personal.feeds.173.77e76ac22jN7kj&amp;id=827741364305&amp;categoryId=50023914", "https://www.goofish.com/item?spm=a21ybx.personal.feeds.173.77e76ac22jN7kj&amp;id=827741364305&amp;categoryId=50023914")</f>
        <v>https://www.goofish.com/item?spm=a21ybx.personal.feeds.173.77e76ac22jN7kj&amp;id=827741364305&amp;categoryId=50023914</v>
      </c>
    </row>
    <row r="49" spans="1:8" ht="25.5" customHeight="1">
      <c r="A49" t="s">
        <v>136</v>
      </c>
      <c r="B49">
        <v>78</v>
      </c>
      <c r="C49" t="s">
        <v>137</v>
      </c>
      <c r="D49" t="s">
        <v>13</v>
      </c>
      <c r="E49" t="s">
        <v>138</v>
      </c>
      <c r="F49" s="2" t="str">
        <f>HYPERLINK("http://img.alicdn.com/bao/uploaded/i1/O1CN01p1PijE2CLMWS8ZH7O_!!53-fleamarket.heic_790x10000Q90.jpg_.webp", "img.alicdn.com/bao/uploaded/i1/O1CN01p1PijE2CLMWS8ZH7O_!!53-fleamarket.heic_790x10000Q90.jpg_.webp")</f>
        <v>img.alicdn.com/bao/uploaded/i1/O1CN01p1PijE2CLMWS8ZH7O_!!53-fleamarket.heic_790x10000Q90.jpg_.webp</v>
      </c>
      <c r="H49" s="2" t="str">
        <f>HYPERLINK("https://www.goofish.com/item?spm=a21ybx.personal.feeds.46.77e76ac22jN7kj&amp;id=838995255145&amp;categoryId=50023914", "https://www.goofish.com/item?spm=a21ybx.personal.feeds.46.77e76ac22jN7kj&amp;id=838995255145&amp;categoryId=50023914")</f>
        <v>https://www.goofish.com/item?spm=a21ybx.personal.feeds.46.77e76ac22jN7kj&amp;id=838995255145&amp;categoryId=50023914</v>
      </c>
    </row>
    <row r="50" spans="1:8" ht="25.5" customHeight="1">
      <c r="A50" t="s">
        <v>139</v>
      </c>
      <c r="B50">
        <v>79</v>
      </c>
      <c r="C50" t="s">
        <v>104</v>
      </c>
      <c r="D50" t="s">
        <v>13</v>
      </c>
      <c r="E50" t="s">
        <v>140</v>
      </c>
      <c r="F50" s="2" t="str">
        <f>HYPERLINK("http://img.alicdn.com/bao/uploaded/i3/O1CN01RQPkEd2CLMW7HQ5cn_!!53-fleamarket.heic_790x10000Q90.jpg_.webp", "img.alicdn.com/bao/uploaded/i3/O1CN01RQPkEd2CLMW7HQ5cn_!!53-fleamarket.heic_790x10000Q90.jpg_.webp")</f>
        <v>img.alicdn.com/bao/uploaded/i3/O1CN01RQPkEd2CLMW7HQ5cn_!!53-fleamarket.heic_790x10000Q90.jpg_.webp</v>
      </c>
      <c r="H50" s="2" t="str">
        <f>HYPERLINK("https://www.goofish.com/item?spm=a21ybx.personal.feeds.96.77e76ac22jN7kj&amp;id=830266147835&amp;categoryId=50023914", "https://www.goofish.com/item?spm=a21ybx.personal.feeds.96.77e76ac22jN7kj&amp;id=830266147835&amp;categoryId=50023914")</f>
        <v>https://www.goofish.com/item?spm=a21ybx.personal.feeds.96.77e76ac22jN7kj&amp;id=830266147835&amp;categoryId=50023914</v>
      </c>
    </row>
    <row r="51" spans="1:8" ht="25.5" customHeight="1">
      <c r="A51" t="s">
        <v>141</v>
      </c>
      <c r="B51">
        <v>80</v>
      </c>
      <c r="C51" t="s">
        <v>104</v>
      </c>
      <c r="D51" t="s">
        <v>13</v>
      </c>
      <c r="E51" t="s">
        <v>142</v>
      </c>
      <c r="F51" s="2" t="str">
        <f>HYPERLINK("http://img.alicdn.com/bao/uploaded/i2/O1CN01HAdhZX1dZ5xQsq9cA_!!4611686018427387605-2-fleamarket.png_790x10000.jpg_.webp", "img.alicdn.com/bao/uploaded/i2/O1CN01HAdhZX1dZ5xQsq9cA_!!4611686018427387605-2-fleamarket.png_790x10000.jpg_.webp")</f>
        <v>img.alicdn.com/bao/uploaded/i2/O1CN01HAdhZX1dZ5xQsq9cA_!!4611686018427387605-2-fleamarket.png_790x10000.jpg_.webp</v>
      </c>
      <c r="H51" s="2" t="str">
        <f>HYPERLINK("https://www.goofish.com/item?spm=a21ybx.personal.feeds.57.12e16ac2PYxLX9&amp;id=998398580438&amp;categoryId=50023914", "https://www.goofish.com/item?spm=a21ybx.personal.feeds.57.12e16ac2PYxLX9&amp;id=998398580438&amp;categoryId=50023914")</f>
        <v>https://www.goofish.com/item?spm=a21ybx.personal.feeds.57.12e16ac2PYxLX9&amp;id=998398580438&amp;categoryId=50023914</v>
      </c>
    </row>
    <row r="52" spans="1:8" ht="25.5" customHeight="1">
      <c r="A52" t="s">
        <v>143</v>
      </c>
      <c r="B52">
        <v>81</v>
      </c>
      <c r="C52" t="s">
        <v>104</v>
      </c>
      <c r="D52" t="s">
        <v>13</v>
      </c>
      <c r="E52" t="s">
        <v>144</v>
      </c>
      <c r="F52" s="2" t="str">
        <f>HYPERLINK("http://img.alicdn.com/bao/uploaded/i3/O1CN01GHbUGR1dZ5wr9Y8Z9_!!4611686018427387605-0-fleamarket.jpg_790x10000Q90.jpg_.webp", "img.alicdn.com/bao/uploaded/i3/O1CN01GHbUGR1dZ5wr9Y8Z9_!!4611686018427387605-0-fleamarket.jpg_790x10000Q90.jpg_.webp")</f>
        <v>img.alicdn.com/bao/uploaded/i3/O1CN01GHbUGR1dZ5wr9Y8Z9_!!4611686018427387605-0-fleamarket.jpg_790x10000Q90.jpg_.webp</v>
      </c>
      <c r="H52" s="2" t="str">
        <f>HYPERLINK("https://www.goofish.com/item?spm=a21ybx.personal.feeds.475.12e16ac2PYxLX9&amp;id=985666559871&amp;categoryId=50023914", "https://www.goofish.com/item?spm=a21ybx.personal.feeds.475.12e16ac2PYxLX9&amp;id=985666559871&amp;categoryId=50023914")</f>
        <v>https://www.goofish.com/item?spm=a21ybx.personal.feeds.475.12e16ac2PYxLX9&amp;id=985666559871&amp;categoryId=50023914</v>
      </c>
    </row>
    <row r="53" spans="1:8" ht="25.5" customHeight="1">
      <c r="A53" t="s">
        <v>145</v>
      </c>
      <c r="B53">
        <v>82</v>
      </c>
      <c r="C53" t="s">
        <v>104</v>
      </c>
      <c r="D53" t="s">
        <v>13</v>
      </c>
      <c r="E53" t="s">
        <v>146</v>
      </c>
      <c r="F53" s="2" t="str">
        <f>HYPERLINK("http://img.alicdn.com/bao/uploaded/i2/O1CN01fzjgv91dZ5wxmRYjG_!!4611686018427387605-0-fleamarket.jpg_790x10000Q90.jpg_.webp", "img.alicdn.com/bao/uploaded/i2/O1CN01fzjgv91dZ5wxmRYjG_!!4611686018427387605-0-fleamarket.jpg_790x10000Q90.jpg_.webp")</f>
        <v>img.alicdn.com/bao/uploaded/i2/O1CN01fzjgv91dZ5wxmRYjG_!!4611686018427387605-0-fleamarket.jpg_790x10000Q90.jpg_.webp</v>
      </c>
      <c r="H53" s="2" t="str">
        <f>HYPERLINK("https://www.goofish.com/item?spm=a21ybx.personal.feeds.421.12e16ac2PYxLX9&amp;id=989300669579&amp;categoryId=50023914", "https://www.goofish.com/item?spm=a21ybx.personal.feeds.421.12e16ac2PYxLX9&amp;id=989300669579&amp;categoryId=50023914")</f>
        <v>https://www.goofish.com/item?spm=a21ybx.personal.feeds.421.12e16ac2PYxLX9&amp;id=989300669579&amp;categoryId=50023914</v>
      </c>
    </row>
    <row r="54" spans="1:8" ht="25.5" customHeight="1">
      <c r="A54" t="s">
        <v>147</v>
      </c>
      <c r="B54">
        <v>83</v>
      </c>
      <c r="C54" t="s">
        <v>104</v>
      </c>
      <c r="D54" t="s">
        <v>13</v>
      </c>
      <c r="E54" t="s">
        <v>148</v>
      </c>
      <c r="F54" s="2" t="str">
        <f>HYPERLINK("http://img.alicdn.com/bao/uploaded/i1/O1CN01mNw1wM1dZ5wxmO5rL_!!4611686018427387605-0-fleamarket.jpg_790x10000Q90.jpg_.webp", "img.alicdn.com/bao/uploaded/i1/O1CN01mNw1wM1dZ5wxmO5rL_!!4611686018427387605-0-fleamarket.jpg_790x10000Q90.jpg_.webp")</f>
        <v>img.alicdn.com/bao/uploaded/i1/O1CN01mNw1wM1dZ5wxmO5rL_!!4611686018427387605-0-fleamarket.jpg_790x10000Q90.jpg_.webp</v>
      </c>
      <c r="H54" s="2" t="str">
        <f>HYPERLINK("https://www.goofish.com/item?spm=a21ybx.personal.feeds.427.12e16ac2PYxLX9&amp;id=987781123378&amp;categoryId=50023914", "https://www.goofish.com/item?spm=a21ybx.personal.feeds.427.12e16ac2PYxLX9&amp;id=987781123378&amp;categoryId=50023914")</f>
        <v>https://www.goofish.com/item?spm=a21ybx.personal.feeds.427.12e16ac2PYxLX9&amp;id=987781123378&amp;categoryId=50023914</v>
      </c>
    </row>
    <row r="55" spans="1:8" ht="25.5" customHeight="1">
      <c r="A55" t="s">
        <v>149</v>
      </c>
      <c r="B55">
        <v>84</v>
      </c>
      <c r="C55" t="s">
        <v>104</v>
      </c>
      <c r="D55" t="s">
        <v>13</v>
      </c>
      <c r="E55" t="s">
        <v>150</v>
      </c>
      <c r="F55" s="2" t="str">
        <f>HYPERLINK("http://img.alicdn.com/bao/uploaded/i2/O1CN01aDqa5E1dZ5x0uC6nh_!!4611686018427387605-0-fleamarket.jpg_790x10000Q90.jpg_.webp", "img.alicdn.com/bao/uploaded/i2/O1CN01aDqa5E1dZ5x0uC6nh_!!4611686018427387605-0-fleamarket.jpg_790x10000Q90.jpg_.webp")</f>
        <v>img.alicdn.com/bao/uploaded/i2/O1CN01aDqa5E1dZ5x0uC6nh_!!4611686018427387605-0-fleamarket.jpg_790x10000Q90.jpg_.webp</v>
      </c>
      <c r="H55" s="2" t="str">
        <f>HYPERLINK("https://www.goofish.com/item?spm=a21ybx.personal.feeds.392.12e16ac2PYxLX9&amp;id=989296162241&amp;categoryId=50023914", "https://www.goofish.com/item?spm=a21ybx.personal.feeds.392.12e16ac2PYxLX9&amp;id=989296162241&amp;categoryId=50023914")</f>
        <v>https://www.goofish.com/item?spm=a21ybx.personal.feeds.392.12e16ac2PYxLX9&amp;id=989296162241&amp;categoryId=50023914</v>
      </c>
    </row>
    <row r="56" spans="1:8" ht="25.5" customHeight="1">
      <c r="A56" t="s">
        <v>151</v>
      </c>
      <c r="B56">
        <v>85</v>
      </c>
      <c r="C56" t="s">
        <v>104</v>
      </c>
      <c r="D56" t="s">
        <v>13</v>
      </c>
      <c r="E56" t="s">
        <v>152</v>
      </c>
      <c r="F56" s="2" t="str">
        <f>HYPERLINK("http://img.alicdn.com/bao/uploaded/i1/O1CN01TUaGZb1dZ5wq1dPl4_!!4611686018427387605-0-fleamarket.jpg_790x10000Q90.jpg_.webp", "img.alicdn.com/bao/uploaded/i1/O1CN01TUaGZb1dZ5wq1dPl4_!!4611686018427387605-0-fleamarket.jpg_790x10000Q90.jpg_.webp")</f>
        <v>img.alicdn.com/bao/uploaded/i1/O1CN01TUaGZb1dZ5wq1dPl4_!!4611686018427387605-0-fleamarket.jpg_790x10000Q90.jpg_.webp</v>
      </c>
      <c r="H56" s="2" t="str">
        <f>HYPERLINK("https://www.goofish.com/item?spm=a21ybx.personal.feeds.477.12e16ac2PYxLX9&amp;id=987649944333&amp;categoryId=50023914", "https://www.goofish.com/item?spm=a21ybx.personal.feeds.477.12e16ac2PYxLX9&amp;id=987649944333&amp;categoryId=50023914")</f>
        <v>https://www.goofish.com/item?spm=a21ybx.personal.feeds.477.12e16ac2PYxLX9&amp;id=987649944333&amp;categoryId=50023914</v>
      </c>
    </row>
    <row r="57" spans="1:8" ht="25.5" customHeight="1">
      <c r="A57" t="s">
        <v>153</v>
      </c>
      <c r="B57">
        <v>86</v>
      </c>
      <c r="C57" t="s">
        <v>104</v>
      </c>
      <c r="D57" t="s">
        <v>13</v>
      </c>
      <c r="E57" t="s">
        <v>154</v>
      </c>
      <c r="F57" s="2" t="str">
        <f>HYPERLINK("http://img.alicdn.com/bao/uploaded/i2/O1CN01JO1zmS1dZ5wxos4Yf_!!4611686018427387605-0-fleamarket.jpg_790x10000Q90.jpg_.webp", "img.alicdn.com/bao/uploaded/i2/O1CN01JO1zmS1dZ5wxos4Yf_!!4611686018427387605-0-fleamarket.jpg_790x10000Q90.jpg_.webp")</f>
        <v>img.alicdn.com/bao/uploaded/i2/O1CN01JO1zmS1dZ5wxos4Yf_!!4611686018427387605-0-fleamarket.jpg_790x10000Q90.jpg_.webp</v>
      </c>
      <c r="H57" s="2" t="str">
        <f>HYPERLINK("https://www.goofish.com/item?spm=a21ybx.personal.feeds.409.12e16ac2PYxLX9&amp;id=989312953171&amp;categoryId=50023914", "https://www.goofish.com/item?spm=a21ybx.personal.feeds.409.12e16ac2PYxLX9&amp;id=989312953171&amp;categoryId=50023914")</f>
        <v>https://www.goofish.com/item?spm=a21ybx.personal.feeds.409.12e16ac2PYxLX9&amp;id=989312953171&amp;categoryId=50023914</v>
      </c>
    </row>
    <row r="58" spans="1:8" ht="25.5" customHeight="1">
      <c r="A58" t="s">
        <v>155</v>
      </c>
      <c r="B58">
        <v>87</v>
      </c>
      <c r="C58" t="s">
        <v>104</v>
      </c>
      <c r="D58" t="s">
        <v>13</v>
      </c>
      <c r="E58" t="s">
        <v>156</v>
      </c>
      <c r="F58" s="2" t="str">
        <f>HYPERLINK("http://img.alicdn.com/bao/uploaded/i4/O1CN01Q63Ezx1dZ5wFvlkgn_!!4611686018427387605-0-fleamarket.jpg_790x10000Q90.jpg_.webp", "img.alicdn.com/bao/uploaded/i4/O1CN01Q63Ezx1dZ5wFvlkgn_!!4611686018427387605-0-fleamarket.jpg_790x10000Q90.jpg_.webp")</f>
        <v>img.alicdn.com/bao/uploaded/i4/O1CN01Q63Ezx1dZ5wFvlkgn_!!4611686018427387605-0-fleamarket.jpg_790x10000Q90.jpg_.webp</v>
      </c>
      <c r="H58" s="2" t="str">
        <f>HYPERLINK("https://www.goofish.com/item?spm=a21ybx.personal.feeds.275.12e16ac2PYxLX9&amp;id=973239537314&amp;categoryId=201664707", "https://www.goofish.com/item?spm=a21ybx.personal.feeds.275.12e16ac2PYxLX9&amp;id=973239537314&amp;categoryId=201664707")</f>
        <v>https://www.goofish.com/item?spm=a21ybx.personal.feeds.275.12e16ac2PYxLX9&amp;id=973239537314&amp;categoryId=201664707</v>
      </c>
    </row>
    <row r="59" spans="1:8" ht="25.5" customHeight="1">
      <c r="A59" t="s">
        <v>157</v>
      </c>
      <c r="B59">
        <v>88</v>
      </c>
      <c r="C59" t="s">
        <v>104</v>
      </c>
      <c r="D59" t="s">
        <v>13</v>
      </c>
      <c r="E59" t="s">
        <v>158</v>
      </c>
      <c r="F59" s="2" t="str">
        <f>HYPERLINK("http://img.alicdn.com/bao/uploaded/i2/O1CN01lAIKG01dZ5x1etfQr_!!4611686018427387605-0-fleamarket.jpg_790x10000Q90.jpg_.webp", "img.alicdn.com/bao/uploaded/i2/O1CN01lAIKG01dZ5x1etfQr_!!4611686018427387605-0-fleamarket.jpg_790x10000Q90.jpg_.webp")</f>
        <v>img.alicdn.com/bao/uploaded/i2/O1CN01lAIKG01dZ5x1etfQr_!!4611686018427387605-0-fleamarket.jpg_790x10000Q90.jpg_.webp</v>
      </c>
      <c r="H59" s="2" t="str">
        <f>HYPERLINK("https://www.goofish.com/item?spm=a21ybx.personal.feeds.379.12e16ac2PYxLX9&amp;id=991214376436&amp;categoryId=50023914", "https://www.goofish.com/item?spm=a21ybx.personal.feeds.379.12e16ac2PYxLX9&amp;id=991214376436&amp;categoryId=50023914")</f>
        <v>https://www.goofish.com/item?spm=a21ybx.personal.feeds.379.12e16ac2PYxLX9&amp;id=991214376436&amp;categoryId=50023914</v>
      </c>
    </row>
    <row r="60" spans="1:8" ht="25.5" customHeight="1">
      <c r="A60" t="s">
        <v>159</v>
      </c>
      <c r="B60">
        <v>89</v>
      </c>
      <c r="C60" t="s">
        <v>104</v>
      </c>
      <c r="D60" t="s">
        <v>13</v>
      </c>
      <c r="E60" t="s">
        <v>160</v>
      </c>
      <c r="F60" s="2" t="str">
        <f>HYPERLINK("http://img.alicdn.com/bao/uploaded/i1/O1CN01bVhU2t1dZ5woY9rgd_!!4611686018427387605-0-fleamarket.jpg_790x10000Q90.jpg_.webp", "img.alicdn.com/bao/uploaded/i1/O1CN01bVhU2t1dZ5woY9rgd_!!4611686018427387605-0-fleamarket.jpg_790x10000Q90.jpg_.webp")</f>
        <v>img.alicdn.com/bao/uploaded/i1/O1CN01bVhU2t1dZ5woY9rgd_!!4611686018427387605-0-fleamarket.jpg_790x10000Q90.jpg_.webp</v>
      </c>
      <c r="H60" s="2" t="str">
        <f>HYPERLINK("https://www.goofish.com/item?spm=a21ybx.personal.feeds.487.12e16ac2PYxLX9&amp;id=986229413477&amp;categoryId=50023914", "https://www.goofish.com/item?spm=a21ybx.personal.feeds.487.12e16ac2PYxLX9&amp;id=986229413477&amp;categoryId=50023914")</f>
        <v>https://www.goofish.com/item?spm=a21ybx.personal.feeds.487.12e16ac2PYxLX9&amp;id=986229413477&amp;categoryId=50023914</v>
      </c>
    </row>
    <row r="61" spans="1:8" ht="25.5" customHeight="1">
      <c r="A61" t="s">
        <v>161</v>
      </c>
      <c r="B61">
        <v>90</v>
      </c>
      <c r="C61" t="s">
        <v>104</v>
      </c>
      <c r="D61" t="s">
        <v>13</v>
      </c>
      <c r="E61" t="s">
        <v>162</v>
      </c>
      <c r="F61" s="2" t="str">
        <f>HYPERLINK("http://img.alicdn.com/bao/uploaded/i3/O1CN01CQpTko1dZ5wuPT7GU_!!4611686018427387605-0-fleamarket.jpg_790x10000Q90.jpg_.webp", "img.alicdn.com/bao/uploaded/i3/O1CN01CQpTko1dZ5wuPT7GU_!!4611686018427387605-0-fleamarket.jpg_790x10000Q90.jpg_.webp")</f>
        <v>img.alicdn.com/bao/uploaded/i3/O1CN01CQpTko1dZ5wuPT7GU_!!4611686018427387605-0-fleamarket.jpg_790x10000Q90.jpg_.webp</v>
      </c>
      <c r="H61" s="2" t="str">
        <f>HYPERLINK("https://www.goofish.com/item?spm=a21ybx.personal.feeds.443.12e16ac2PYxLX9&amp;id=987346986432&amp;categoryId=50023914", "https://www.goofish.com/item?spm=a21ybx.personal.feeds.443.12e16ac2PYxLX9&amp;id=987346986432&amp;categoryId=50023914")</f>
        <v>https://www.goofish.com/item?spm=a21ybx.personal.feeds.443.12e16ac2PYxLX9&amp;id=987346986432&amp;categoryId=50023914</v>
      </c>
    </row>
    <row r="62" spans="1:8" ht="25.5" customHeight="1">
      <c r="A62" t="s">
        <v>163</v>
      </c>
      <c r="B62">
        <v>91</v>
      </c>
      <c r="C62" t="s">
        <v>104</v>
      </c>
      <c r="D62" t="s">
        <v>13</v>
      </c>
      <c r="E62" t="s">
        <v>164</v>
      </c>
      <c r="F62" s="2" t="str">
        <f>HYPERLINK("http://img.alicdn.com/bao/uploaded/i3/O1CN011Na5nO1dZ5xEIJogw_!!4611686018427387605-0-fleamarket.jpg_790x10000Q90.jpg_.webp", "img.alicdn.com/bao/uploaded/i3/O1CN011Na5nO1dZ5xEIJogw_!!4611686018427387605-0-fleamarket.jpg_790x10000Q90.jpg_.webp")</f>
        <v>img.alicdn.com/bao/uploaded/i3/O1CN011Na5nO1dZ5xEIJogw_!!4611686018427387605-0-fleamarket.jpg_790x10000Q90.jpg_.webp</v>
      </c>
      <c r="H62" s="2" t="str">
        <f>HYPERLINK("https://www.goofish.com/item?spm=a21ybx.personal.feeds.205.12e16ac2PYxLX9&amp;id=992755850412&amp;categoryId=50023914", "https://www.goofish.com/item?spm=a21ybx.personal.feeds.205.12e16ac2PYxLX9&amp;id=992755850412&amp;categoryId=50023914")</f>
        <v>https://www.goofish.com/item?spm=a21ybx.personal.feeds.205.12e16ac2PYxLX9&amp;id=992755850412&amp;categoryId=50023914</v>
      </c>
    </row>
    <row r="63" spans="1:8" ht="25.5" customHeight="1">
      <c r="A63" t="s">
        <v>165</v>
      </c>
      <c r="B63">
        <v>92</v>
      </c>
      <c r="C63" t="s">
        <v>104</v>
      </c>
      <c r="D63" t="s">
        <v>13</v>
      </c>
      <c r="E63" t="s">
        <v>166</v>
      </c>
      <c r="F63" s="2" t="str">
        <f>HYPERLINK("http://img.alicdn.com/bao/uploaded/i3/O1CN011BoLn11dZ5x7866PT_!!4611686018427387605-0-fleamarket.jpg_790x10000Q90.jpg_.webp", "img.alicdn.com/bao/uploaded/i3/O1CN011BoLn11dZ5x7866PT_!!4611686018427387605-0-fleamarket.jpg_790x10000Q90.jpg_.webp")</f>
        <v>img.alicdn.com/bao/uploaded/i3/O1CN011BoLn11dZ5x7866PT_!!4611686018427387605-0-fleamarket.jpg_790x10000Q90.jpg_.webp</v>
      </c>
      <c r="H63" s="2" t="str">
        <f>HYPERLINK("https://www.goofish.com/item?spm=a21ybx.personal.feeds.336.12e16ac2PYxLX9&amp;id=992134284696&amp;categoryId=50023914", "https://www.goofish.com/item?spm=a21ybx.personal.feeds.336.12e16ac2PYxLX9&amp;id=992134284696&amp;categoryId=50023914")</f>
        <v>https://www.goofish.com/item?spm=a21ybx.personal.feeds.336.12e16ac2PYxLX9&amp;id=992134284696&amp;categoryId=50023914</v>
      </c>
    </row>
    <row r="64" spans="1:8" ht="25.5" customHeight="1">
      <c r="A64" t="s">
        <v>167</v>
      </c>
      <c r="B64">
        <v>93</v>
      </c>
      <c r="C64" t="s">
        <v>104</v>
      </c>
      <c r="D64" t="s">
        <v>13</v>
      </c>
      <c r="E64" t="s">
        <v>168</v>
      </c>
      <c r="F64" s="2" t="str">
        <f>HYPERLINK("http://img.alicdn.com/bao/uploaded/i1/O1CN01JZPG4i1dZ5wkU7eRp_!!4611686018427387605-0-fleamarket.jpg_790x10000Q90.jpg_.webp", "img.alicdn.com/bao/uploaded/i1/O1CN01JZPG4i1dZ5wkU7eRp_!!4611686018427387605-0-fleamarket.jpg_790x10000Q90.jpg_.webp")</f>
        <v>img.alicdn.com/bao/uploaded/i1/O1CN01JZPG4i1dZ5wkU7eRp_!!4611686018427387605-0-fleamarket.jpg_790x10000Q90.jpg_.webp</v>
      </c>
      <c r="H64" s="2" t="str">
        <f>HYPERLINK("https://www.goofish.com/item?spm=a21ybx.personal.feeds.498.12e16ac2PYxLX9&amp;id=985529520678&amp;categoryId=50023914", "https://www.goofish.com/item?spm=a21ybx.personal.feeds.498.12e16ac2PYxLX9&amp;id=985529520678&amp;categoryId=50023914")</f>
        <v>https://www.goofish.com/item?spm=a21ybx.personal.feeds.498.12e16ac2PYxLX9&amp;id=985529520678&amp;categoryId=50023914</v>
      </c>
    </row>
    <row r="65" spans="1:8" ht="25.5" customHeight="1">
      <c r="A65" t="s">
        <v>169</v>
      </c>
      <c r="B65">
        <v>94</v>
      </c>
      <c r="C65" t="s">
        <v>104</v>
      </c>
      <c r="D65" t="s">
        <v>13</v>
      </c>
      <c r="E65" t="s">
        <v>170</v>
      </c>
      <c r="F65" s="2" t="str">
        <f>HYPERLINK("http://img.alicdn.com/bao/uploaded/i2/O1CN01Mz388x1dZ5x3GgWrX_!!4611686018427387605-0-fleamarket.jpg_790x10000Q90.jpg_.webp", "img.alicdn.com/bao/uploaded/i2/O1CN01Mz388x1dZ5x3GgWrX_!!4611686018427387605-0-fleamarket.jpg_790x10000Q90.jpg_.webp")</f>
        <v>img.alicdn.com/bao/uploaded/i2/O1CN01Mz388x1dZ5x3GgWrX_!!4611686018427387605-0-fleamarket.jpg_790x10000Q90.jpg_.webp</v>
      </c>
      <c r="H65" s="2" t="str">
        <f>HYPERLINK("https://www.goofish.com/item?spm=a21ybx.personal.feeds.358.12e16ac2PYxLX9&amp;id=991552412013&amp;categoryId=50023914", "https://www.goofish.com/item?spm=a21ybx.personal.feeds.358.12e16ac2PYxLX9&amp;id=991552412013&amp;categoryId=50023914")</f>
        <v>https://www.goofish.com/item?spm=a21ybx.personal.feeds.358.12e16ac2PYxLX9&amp;id=991552412013&amp;categoryId=50023914</v>
      </c>
    </row>
    <row r="66" spans="1:8" ht="25.5" customHeight="1">
      <c r="A66" t="s">
        <v>171</v>
      </c>
      <c r="B66">
        <v>95</v>
      </c>
      <c r="C66" t="s">
        <v>104</v>
      </c>
      <c r="D66" t="s">
        <v>13</v>
      </c>
      <c r="E66" t="s">
        <v>172</v>
      </c>
      <c r="F66" s="2" t="str">
        <f>HYPERLINK("http://img.alicdn.com/bao/uploaded/i2/O1CN01E6FcQF1dZ5xX0xSC0_!!4611686018427387605-0-fleamarket.jpg_790x10000Q90.jpg_.webp", "img.alicdn.com/bao/uploaded/i2/O1CN01E6FcQF1dZ5xX0xSC0_!!4611686018427387605-0-fleamarket.jpg_790x10000Q90.jpg_.webp")</f>
        <v>img.alicdn.com/bao/uploaded/i2/O1CN01E6FcQF1dZ5xX0xSC0_!!4611686018427387605-0-fleamarket.jpg_790x10000Q90.jpg_.webp</v>
      </c>
      <c r="H66" s="2" t="str">
        <f>HYPERLINK("https://www.goofish.com/item?spm=a21ybx.personal.feeds.32.12e16ac2PYxLX9&amp;id=999137226968&amp;categoryId=50023914", "https://www.goofish.com/item?spm=a21ybx.personal.feeds.32.12e16ac2PYxLX9&amp;id=999137226968&amp;categoryId=50023914")</f>
        <v>https://www.goofish.com/item?spm=a21ybx.personal.feeds.32.12e16ac2PYxLX9&amp;id=999137226968&amp;categoryId=50023914</v>
      </c>
    </row>
    <row r="67" spans="1:8" ht="25.5" customHeight="1">
      <c r="A67" t="s">
        <v>173</v>
      </c>
      <c r="B67">
        <v>96</v>
      </c>
      <c r="C67" t="s">
        <v>174</v>
      </c>
      <c r="D67" t="s">
        <v>13</v>
      </c>
      <c r="E67" t="s">
        <v>175</v>
      </c>
      <c r="F67" s="2" t="str">
        <f>HYPERLINK("http://img.alicdn.com/bao/uploaded/i3/O1CN01IO6yEj1dZ5wyD6qmm_!!4611686018427387605-0-fleamarket.jpg_790x10000Q90.jpg_.webp", "img.alicdn.com/bao/uploaded/i3/O1CN01IO6yEj1dZ5wyD6qmm_!!4611686018427387605-0-fleamarket.jpg_790x10000Q90.jpg_.webp")</f>
        <v>img.alicdn.com/bao/uploaded/i3/O1CN01IO6yEj1dZ5wyD6qmm_!!4611686018427387605-0-fleamarket.jpg_790x10000Q90.jpg_.webp</v>
      </c>
      <c r="H67" s="2" t="str">
        <f>HYPERLINK("https://www.goofish.com/item?spm=a21ybx.personal.feeds.346.12e16ac2PYxLX9&amp;id=990876161430&amp;categoryId=50023914", "https://www.goofish.com/item?spm=a21ybx.personal.feeds.346.12e16ac2PYxLX9&amp;id=990876161430&amp;categoryId=50023914")</f>
        <v>https://www.goofish.com/item?spm=a21ybx.personal.feeds.346.12e16ac2PYxLX9&amp;id=990876161430&amp;categoryId=50023914</v>
      </c>
    </row>
    <row r="68" spans="1:8" ht="25.5" customHeight="1">
      <c r="A68" t="s">
        <v>176</v>
      </c>
      <c r="B68">
        <v>97</v>
      </c>
      <c r="C68" t="s">
        <v>104</v>
      </c>
      <c r="D68" t="s">
        <v>13</v>
      </c>
      <c r="E68" t="s">
        <v>177</v>
      </c>
      <c r="F68" s="2" t="str">
        <f>HYPERLINK("http://img.alicdn.com/bao/uploaded/i3/O1CN01xkkmvq1dZ5x8bNJ3Q_!!4611686018427387605-0-fleamarket.jpg_790x10000Q90.jpg_.webp", "img.alicdn.com/bao/uploaded/i3/O1CN01xkkmvq1dZ5x8bNJ3Q_!!4611686018427387605-0-fleamarket.jpg_790x10000Q90.jpg_.webp")</f>
        <v>img.alicdn.com/bao/uploaded/i3/O1CN01xkkmvq1dZ5x8bNJ3Q_!!4611686018427387605-0-fleamarket.jpg_790x10000Q90.jpg_.webp</v>
      </c>
      <c r="H68" s="2" t="str">
        <f>HYPERLINK("https://www.goofish.com/item?spm=a21ybx.personal.feeds.319.12e16ac2PYxLX9&amp;id=991146598294&amp;categoryId=50023914", "https://www.goofish.com/item?spm=a21ybx.personal.feeds.319.12e16ac2PYxLX9&amp;id=991146598294&amp;categoryId=50023914")</f>
        <v>https://www.goofish.com/item?spm=a21ybx.personal.feeds.319.12e16ac2PYxLX9&amp;id=991146598294&amp;categoryId=50023914</v>
      </c>
    </row>
    <row r="69" spans="1:8" ht="25.5" customHeight="1">
      <c r="A69" t="s">
        <v>178</v>
      </c>
      <c r="B69">
        <v>98</v>
      </c>
      <c r="C69" t="s">
        <v>104</v>
      </c>
      <c r="D69" t="s">
        <v>13</v>
      </c>
      <c r="E69" t="s">
        <v>179</v>
      </c>
      <c r="F69" s="2" t="str">
        <f>HYPERLINK("http://img.alicdn.com/bao/uploaded/i1/O1CN01Md3B5Q1dZ5x3NSLRI_!!4611686018427387605-0-fleamarket.jpg_790x10000Q90.jpg_.webp", "img.alicdn.com/bao/uploaded/i1/O1CN01Md3B5Q1dZ5x3NSLRI_!!4611686018427387605-0-fleamarket.jpg_790x10000Q90.jpg_.webp")</f>
        <v>img.alicdn.com/bao/uploaded/i1/O1CN01Md3B5Q1dZ5x3NSLRI_!!4611686018427387605-0-fleamarket.jpg_790x10000Q90.jpg_.webp</v>
      </c>
      <c r="H69" s="2" t="str">
        <f>HYPERLINK("https://www.goofish.com/item?spm=a21ybx.personal.feeds.364.12e16ac2PYxLX9&amp;id=990592765264&amp;categoryId=50023914", "https://www.goofish.com/item?spm=a21ybx.personal.feeds.364.12e16ac2PYxLX9&amp;id=990592765264&amp;categoryId=50023914")</f>
        <v>https://www.goofish.com/item?spm=a21ybx.personal.feeds.364.12e16ac2PYxLX9&amp;id=990592765264&amp;categoryId=50023914</v>
      </c>
    </row>
    <row r="70" spans="1:8" ht="25.5" customHeight="1">
      <c r="A70" t="s">
        <v>180</v>
      </c>
      <c r="B70">
        <v>99</v>
      </c>
      <c r="C70" t="s">
        <v>104</v>
      </c>
      <c r="D70" t="s">
        <v>13</v>
      </c>
      <c r="E70" t="s">
        <v>181</v>
      </c>
      <c r="F70" s="2" t="str">
        <f>HYPERLINK("http://img.alicdn.com/bao/uploaded/i1/O1CN011zfU051dZ5x0mz91t_!!4611686018427387605-0-fleamarket.jpg_790x10000Q90.jpg_.webp", "img.alicdn.com/bao/uploaded/i1/O1CN011zfU051dZ5x0mz91t_!!4611686018427387605-0-fleamarket.jpg_790x10000Q90.jpg_.webp")</f>
        <v>img.alicdn.com/bao/uploaded/i1/O1CN011zfU051dZ5x0mz91t_!!4611686018427387605-0-fleamarket.jpg_790x10000Q90.jpg_.webp</v>
      </c>
      <c r="H70" s="2" t="str">
        <f>HYPERLINK("https://www.goofish.com/item?spm=a21ybx.personal.feeds.391.12e16ac2PYxLX9&amp;id=990051145288&amp;categoryId=50023914", "https://www.goofish.com/item?spm=a21ybx.personal.feeds.391.12e16ac2PYxLX9&amp;id=990051145288&amp;categoryId=50023914")</f>
        <v>https://www.goofish.com/item?spm=a21ybx.personal.feeds.391.12e16ac2PYxLX9&amp;id=990051145288&amp;categoryId=50023914</v>
      </c>
    </row>
    <row r="71" spans="1:8" ht="25.5" customHeight="1">
      <c r="A71" t="s">
        <v>182</v>
      </c>
      <c r="B71">
        <v>100</v>
      </c>
      <c r="C71" t="s">
        <v>104</v>
      </c>
      <c r="D71" t="s">
        <v>13</v>
      </c>
      <c r="E71" t="s">
        <v>183</v>
      </c>
      <c r="F71" s="2" t="str">
        <f>HYPERLINK("http://img.alicdn.com/bao/uploaded/i4/O1CN01rguB5z1dZ5wuqVvzZ_!!4611686018427387605-0-fleamarket.jpg_790x10000Q90.jpg_.webp", "img.alicdn.com/bao/uploaded/i4/O1CN01rguB5z1dZ5wuqVvzZ_!!4611686018427387605-0-fleamarket.jpg_790x10000Q90.jpg_.webp")</f>
        <v>img.alicdn.com/bao/uploaded/i4/O1CN01rguB5z1dZ5wuqVvzZ_!!4611686018427387605-0-fleamarket.jpg_790x10000Q90.jpg_.webp</v>
      </c>
      <c r="H71" s="2" t="str">
        <f>HYPERLINK("https://www.goofish.com/item?spm=a21ybx.personal.feeds.451.12e16ac2PYxLX9&amp;id=986798451751&amp;categoryId=50023914", "https://www.goofish.com/item?spm=a21ybx.personal.feeds.451.12e16ac2PYxLX9&amp;id=986798451751&amp;categoryId=50023914")</f>
        <v>https://www.goofish.com/item?spm=a21ybx.personal.feeds.451.12e16ac2PYxLX9&amp;id=986798451751&amp;categoryId=50023914</v>
      </c>
    </row>
    <row r="72" spans="1:8" ht="25.5" customHeight="1">
      <c r="A72" t="s">
        <v>184</v>
      </c>
      <c r="B72">
        <v>101</v>
      </c>
      <c r="C72" t="s">
        <v>104</v>
      </c>
      <c r="D72" t="s">
        <v>13</v>
      </c>
      <c r="E72" t="s">
        <v>185</v>
      </c>
      <c r="F72" s="2" t="str">
        <f>HYPERLINK("http://img.alicdn.com/bao/uploaded/i1/O1CN01z80CQn1dZ5wup0fwo_!!4611686018427387605-2-fleamarket.png_790x10000.jpg_.webp", "img.alicdn.com/bao/uploaded/i1/O1CN01z80CQn1dZ5wup0fwo_!!4611686018427387605-2-fleamarket.png_790x10000.jpg_.webp")</f>
        <v>img.alicdn.com/bao/uploaded/i1/O1CN01z80CQn1dZ5wup0fwo_!!4611686018427387605-2-fleamarket.png_790x10000.jpg_.webp</v>
      </c>
      <c r="H72" s="2" t="str">
        <f>HYPERLINK("https://www.goofish.com/item?spm=a21ybx.personal.feeds.448.12e16ac2PYxLX9&amp;id=988784320838&amp;categoryId=50023914", "https://www.goofish.com/item?spm=a21ybx.personal.feeds.448.12e16ac2PYxLX9&amp;id=988784320838&amp;categoryId=50023914")</f>
        <v>https://www.goofish.com/item?spm=a21ybx.personal.feeds.448.12e16ac2PYxLX9&amp;id=988784320838&amp;categoryId=50023914</v>
      </c>
    </row>
    <row r="73" spans="1:8" ht="25.5" customHeight="1">
      <c r="A73" t="s">
        <v>186</v>
      </c>
      <c r="B73">
        <v>102</v>
      </c>
      <c r="C73" t="s">
        <v>104</v>
      </c>
      <c r="D73" t="s">
        <v>13</v>
      </c>
      <c r="E73" t="s">
        <v>187</v>
      </c>
      <c r="F73" s="2" t="str">
        <f>HYPERLINK("http://img.alicdn.com/bao/uploaded/i1/O1CN01zmpyI81dZ5wsJEhCX_!!4611686018427387605-0-fleamarket.jpg_790x10000Q90.jpg_.webp", "img.alicdn.com/bao/uploaded/i1/O1CN01zmpyI81dZ5wsJEhCX_!!4611686018427387605-0-fleamarket.jpg_790x10000Q90.jpg_.webp")</f>
        <v>img.alicdn.com/bao/uploaded/i1/O1CN01zmpyI81dZ5wsJEhCX_!!4611686018427387605-0-fleamarket.jpg_790x10000Q90.jpg_.webp</v>
      </c>
      <c r="H73" s="2" t="str">
        <f>HYPERLINK("https://www.goofish.com/item?spm=a21ybx.personal.feeds.468.12e16ac2PYxLX9&amp;id=987779177319&amp;categoryId=50023914", "https://www.goofish.com/item?spm=a21ybx.personal.feeds.468.12e16ac2PYxLX9&amp;id=987779177319&amp;categoryId=50023914")</f>
        <v>https://www.goofish.com/item?spm=a21ybx.personal.feeds.468.12e16ac2PYxLX9&amp;id=987779177319&amp;categoryId=50023914</v>
      </c>
    </row>
    <row r="74" spans="1:8" ht="25.5" customHeight="1">
      <c r="A74" t="s">
        <v>188</v>
      </c>
      <c r="B74">
        <v>103</v>
      </c>
      <c r="C74" t="s">
        <v>189</v>
      </c>
      <c r="D74" t="s">
        <v>13</v>
      </c>
      <c r="E74" t="s">
        <v>190</v>
      </c>
      <c r="F74" s="2" t="str">
        <f>HYPERLINK("http://img.alicdn.com/bao/uploaded/i2/O1CN01XyFF9V1dZ5x6i5JFC_!!4611686018427387605-0-fleamarket.jpg_790x10000Q90.jpg_.webp", "img.alicdn.com/bao/uploaded/i2/O1CN01XyFF9V1dZ5x6i5JFC_!!4611686018427387605-0-fleamarket.jpg_790x10000Q90.jpg_.webp")</f>
        <v>img.alicdn.com/bao/uploaded/i2/O1CN01XyFF9V1dZ5x6i5JFC_!!4611686018427387605-0-fleamarket.jpg_790x10000Q90.jpg_.webp</v>
      </c>
      <c r="H74" s="2" t="str">
        <f>HYPERLINK("https://www.goofish.com/item?spm=a21ybx.personal.feeds.335.12e16ac2PYxLX9&amp;id=991443629845&amp;categoryId=50023914", "https://www.goofish.com/item?spm=a21ybx.personal.feeds.335.12e16ac2PYxLX9&amp;id=991443629845&amp;categoryId=50023914")</f>
        <v>https://www.goofish.com/item?spm=a21ybx.personal.feeds.335.12e16ac2PYxLX9&amp;id=991443629845&amp;categoryId=50023914</v>
      </c>
    </row>
    <row r="75" spans="1:8" ht="25.5" customHeight="1">
      <c r="A75" t="s">
        <v>191</v>
      </c>
      <c r="B75">
        <v>104</v>
      </c>
      <c r="C75" t="s">
        <v>104</v>
      </c>
      <c r="D75" t="s">
        <v>13</v>
      </c>
      <c r="E75" t="s">
        <v>192</v>
      </c>
      <c r="F75" s="2" t="str">
        <f>HYPERLINK("http://img.alicdn.com/bao/uploaded/i1/O1CN01M6z5491dZ5wyX6Gmj_!!4611686018427387605-0-fleamarket.jpg_790x10000Q90.jpg_.webp", "img.alicdn.com/bao/uploaded/i1/O1CN01M6z5491dZ5wyX6Gmj_!!4611686018427387605-0-fleamarket.jpg_790x10000Q90.jpg_.webp")</f>
        <v>img.alicdn.com/bao/uploaded/i1/O1CN01M6z5491dZ5wyX6Gmj_!!4611686018427387605-0-fleamarket.jpg_790x10000Q90.jpg_.webp</v>
      </c>
      <c r="H75" s="2" t="str">
        <f>HYPERLINK("https://www.goofish.com/item?spm=a21ybx.personal.feeds.411.12e16ac2PYxLX9&amp;id=988549746797&amp;categoryId=50023914", "https://www.goofish.com/item?spm=a21ybx.personal.feeds.411.12e16ac2PYxLX9&amp;id=988549746797&amp;categoryId=50023914")</f>
        <v>https://www.goofish.com/item?spm=a21ybx.personal.feeds.411.12e16ac2PYxLX9&amp;id=988549746797&amp;categoryId=50023914</v>
      </c>
    </row>
    <row r="76" spans="1:8" ht="25.5" customHeight="1">
      <c r="A76" t="s">
        <v>193</v>
      </c>
      <c r="B76">
        <v>105</v>
      </c>
      <c r="C76" t="s">
        <v>104</v>
      </c>
      <c r="D76" t="s">
        <v>13</v>
      </c>
      <c r="E76" t="s">
        <v>194</v>
      </c>
      <c r="F76" s="2" t="str">
        <f>HYPERLINK("http://img.alicdn.com/bao/uploaded/i3/O1CN01I1mFzw1dZ5wogAJUc_!!4611686018427387605-0-fleamarket.jpg_790x10000Q90.jpg_.webp", "img.alicdn.com/bao/uploaded/i3/O1CN01I1mFzw1dZ5wogAJUc_!!4611686018427387605-0-fleamarket.jpg_790x10000Q90.jpg_.webp")</f>
        <v>img.alicdn.com/bao/uploaded/i3/O1CN01I1mFzw1dZ5wogAJUc_!!4611686018427387605-0-fleamarket.jpg_790x10000Q90.jpg_.webp</v>
      </c>
      <c r="H76" s="2" t="str">
        <f>HYPERLINK("https://www.goofish.com/item?spm=a21ybx.personal.feeds.481.12e16ac2PYxLX9&amp;id=984952487130&amp;categoryId=50023914", "https://www.goofish.com/item?spm=a21ybx.personal.feeds.481.12e16ac2PYxLX9&amp;id=984952487130&amp;categoryId=50023914")</f>
        <v>https://www.goofish.com/item?spm=a21ybx.personal.feeds.481.12e16ac2PYxLX9&amp;id=984952487130&amp;categoryId=50023914</v>
      </c>
    </row>
    <row r="77" spans="1:8" ht="25.5" customHeight="1">
      <c r="A77" t="s">
        <v>195</v>
      </c>
      <c r="B77">
        <v>106</v>
      </c>
      <c r="C77" t="s">
        <v>104</v>
      </c>
      <c r="D77" t="s">
        <v>13</v>
      </c>
      <c r="E77" t="s">
        <v>196</v>
      </c>
      <c r="F77" s="2" t="str">
        <f>HYPERLINK("http://img.alicdn.com/bao/uploaded/i2/O1CN01qhwjve1dZ5wta1pkJ_!!4611686018427387605-0-fleamarket.jpg_790x10000Q90.jpg_.webp", "img.alicdn.com/bao/uploaded/i2/O1CN01qhwjve1dZ5wta1pkJ_!!4611686018427387605-0-fleamarket.jpg_790x10000Q90.jpg_.webp")</f>
        <v>img.alicdn.com/bao/uploaded/i2/O1CN01qhwjve1dZ5wta1pkJ_!!4611686018427387605-0-fleamarket.jpg_790x10000Q90.jpg_.webp</v>
      </c>
      <c r="H77" s="2" t="str">
        <f>HYPERLINK("https://www.goofish.com/item?spm=a21ybx.personal.feeds.460.12e16ac2PYxLX9&amp;id=987016574924&amp;categoryId=50023914", "https://www.goofish.com/item?spm=a21ybx.personal.feeds.460.12e16ac2PYxLX9&amp;id=987016574924&amp;categoryId=50023914")</f>
        <v>https://www.goofish.com/item?spm=a21ybx.personal.feeds.460.12e16ac2PYxLX9&amp;id=987016574924&amp;categoryId=50023914</v>
      </c>
    </row>
    <row r="78" spans="1:8" ht="25.5" customHeight="1">
      <c r="A78" t="s">
        <v>197</v>
      </c>
      <c r="B78">
        <v>107</v>
      </c>
      <c r="C78" t="s">
        <v>104</v>
      </c>
      <c r="D78" t="s">
        <v>13</v>
      </c>
      <c r="E78" t="s">
        <v>198</v>
      </c>
      <c r="F78" s="2" t="str">
        <f>HYPERLINK("http://img.alicdn.com/bao/uploaded/i3/O1CN01tn5sfE1dZ5xN6s2lb_!!4611686018427387605-0-fleamarket.jpg_790x10000Q90.jpg_.webp", "img.alicdn.com/bao/uploaded/i3/O1CN01tn5sfE1dZ5xN6s2lb_!!4611686018427387605-0-fleamarket.jpg_790x10000Q90.jpg_.webp")</f>
        <v>img.alicdn.com/bao/uploaded/i3/O1CN01tn5sfE1dZ5xN6s2lb_!!4611686018427387605-0-fleamarket.jpg_790x10000Q90.jpg_.webp</v>
      </c>
      <c r="H78" s="2" t="str">
        <f>HYPERLINK("https://www.goofish.com/item?spm=a21ybx.personal.feeds.106.12e16ac2PYxLX9&amp;id=995226486484&amp;categoryId=50023914", "https://www.goofish.com/item?spm=a21ybx.personal.feeds.106.12e16ac2PYxLX9&amp;id=995226486484&amp;categoryId=50023914")</f>
        <v>https://www.goofish.com/item?spm=a21ybx.personal.feeds.106.12e16ac2PYxLX9&amp;id=995226486484&amp;categoryId=50023914</v>
      </c>
    </row>
    <row r="79" spans="1:8" ht="25.5" customHeight="1">
      <c r="A79" t="s">
        <v>199</v>
      </c>
      <c r="B79">
        <v>108</v>
      </c>
      <c r="C79" t="s">
        <v>104</v>
      </c>
      <c r="D79" t="s">
        <v>13</v>
      </c>
      <c r="E79" t="s">
        <v>200</v>
      </c>
      <c r="F79" s="2" t="str">
        <f>HYPERLINK("http://img.alicdn.com/bao/uploaded/i4/O1CN01bF9m4w1dZ5wtGchu5_!!4611686018427387605-0-fleamarket.jpg_790x10000Q90.jpg_.webp", "img.alicdn.com/bao/uploaded/i4/O1CN01bF9m4w1dZ5wtGchu5_!!4611686018427387605-0-fleamarket.jpg_790x10000Q90.jpg_.webp")</f>
        <v>img.alicdn.com/bao/uploaded/i4/O1CN01bF9m4w1dZ5wtGchu5_!!4611686018427387605-0-fleamarket.jpg_790x10000Q90.jpg_.webp</v>
      </c>
      <c r="H79" s="2" t="str">
        <f>HYPERLINK("https://www.goofish.com/item?spm=a21ybx.personal.feeds.453.12e16ac2PYxLX9&amp;id=988487908810&amp;categoryId=50023914", "https://www.goofish.com/item?spm=a21ybx.personal.feeds.453.12e16ac2PYxLX9&amp;id=988487908810&amp;categoryId=50023914")</f>
        <v>https://www.goofish.com/item?spm=a21ybx.personal.feeds.453.12e16ac2PYxLX9&amp;id=988487908810&amp;categoryId=50023914</v>
      </c>
    </row>
    <row r="80" spans="1:8" ht="25.5" customHeight="1">
      <c r="A80" t="s">
        <v>201</v>
      </c>
      <c r="B80">
        <v>109</v>
      </c>
      <c r="C80" t="s">
        <v>104</v>
      </c>
      <c r="D80" t="s">
        <v>13</v>
      </c>
      <c r="E80" t="s">
        <v>202</v>
      </c>
      <c r="F80" s="2" t="str">
        <f>HYPERLINK("http://img.alicdn.com/bao/uploaded/i3/O1CN015X0TuB1gGGQBJ7ilY_!!4611686018427383762-53-fleamarket.heic_790x10000Q90.jpg_.webp", "img.alicdn.com/bao/uploaded/i3/O1CN015X0TuB1gGGQBJ7ilY_!!4611686018427383762-53-fleamarket.heic_790x10000Q90.jpg_.webp")</f>
        <v>img.alicdn.com/bao/uploaded/i3/O1CN015X0TuB1gGGQBJ7ilY_!!4611686018427383762-53-fleamarket.heic_790x10000Q90.jpg_.webp</v>
      </c>
      <c r="H80" s="2" t="str">
        <f>HYPERLINK("https://www.goofish.com/item?spm=a21ybx.search.searchFeedList.17.678761adKwsksx&amp;id=850245207696&amp;categoryId=201454708", "https://www.goofish.com/item?spm=a21ybx.search.searchFeedList.17.678761adKwsksx&amp;id=850245207696&amp;categoryId=201454708")</f>
        <v>https://www.goofish.com/item?spm=a21ybx.search.searchFeedList.17.678761adKwsksx&amp;id=850245207696&amp;categoryId=201454708</v>
      </c>
    </row>
    <row r="81" spans="1:8" ht="25.5" customHeight="1">
      <c r="A81" t="s">
        <v>203</v>
      </c>
      <c r="B81">
        <v>129</v>
      </c>
      <c r="C81" t="s">
        <v>104</v>
      </c>
      <c r="D81" t="s">
        <v>13</v>
      </c>
      <c r="E81" t="s">
        <v>204</v>
      </c>
      <c r="F81" s="2" t="str">
        <f>HYPERLINK("http://img.alicdn.com/bao/uploaded/i1/O1CN01leY3Gs25AdywFogYI_!!4611686018427384830-53-fleamarket.heic_790x10000Q90.jpg_.webp", "img.alicdn.com/bao/uploaded/i1/O1CN01leY3Gs25AdywFogYI_!!4611686018427384830-53-fleamarket.heic_790x10000Q90.jpg_.webp")</f>
        <v>img.alicdn.com/bao/uploaded/i1/O1CN01leY3Gs25AdywFogYI_!!4611686018427384830-53-fleamarket.heic_790x10000Q90.jpg_.webp</v>
      </c>
      <c r="H81" s="2" t="str">
        <f>HYPERLINK("https://www.goofish.com/item?spm=a21ybx.search.searchFeedList.8.678761adKwsksx&amp;id=887802804739&amp;categoryId=201454708", "https://www.goofish.com/item?spm=a21ybx.search.searchFeedList.8.678761adKwsksx&amp;id=887802804739&amp;categoryId=201454708")</f>
        <v>https://www.goofish.com/item?spm=a21ybx.search.searchFeedList.8.678761adKwsksx&amp;id=887802804739&amp;categoryId=201454708</v>
      </c>
    </row>
    <row r="82" spans="1:8" ht="25.5" customHeight="1">
      <c r="A82" t="s">
        <v>205</v>
      </c>
      <c r="B82">
        <v>130</v>
      </c>
      <c r="C82" t="s">
        <v>104</v>
      </c>
      <c r="D82" t="s">
        <v>13</v>
      </c>
      <c r="E82" t="s">
        <v>206</v>
      </c>
      <c r="F82" s="2" t="str">
        <f>HYPERLINK("http://img.alicdn.com/bao/uploaded/i1/O1CN01B6Y7H61pov0ynSv90_!!4611686018427385776-0-fleamarket.jpg_790x10000Q90.jpg_.webp", "img.alicdn.com/bao/uploaded/i1/O1CN01B6Y7H61pov0ynSv90_!!4611686018427385776-0-fleamarket.jpg_790x10000Q90.jpg_.webp")</f>
        <v>img.alicdn.com/bao/uploaded/i1/O1CN01B6Y7H61pov0ynSv90_!!4611686018427385776-0-fleamarket.jpg_790x10000Q90.jpg_.webp</v>
      </c>
      <c r="H82" s="2" t="str">
        <f>HYPERLINK("https://www.goofish.com/item?spm=a21ybx.search.searchFeedList.22.678761adKwsksx&amp;id=978016350086&amp;categoryId=201453616", "https://www.goofish.com/item?spm=a21ybx.search.searchFeedList.22.678761adKwsksx&amp;id=978016350086&amp;categoryId=201453616")</f>
        <v>https://www.goofish.com/item?spm=a21ybx.search.searchFeedList.22.678761adKwsksx&amp;id=978016350086&amp;categoryId=201453616</v>
      </c>
    </row>
    <row r="83" spans="1:8" ht="25.5" customHeight="1">
      <c r="A83" t="s">
        <v>207</v>
      </c>
      <c r="B83">
        <v>131</v>
      </c>
      <c r="C83" t="s">
        <v>104</v>
      </c>
      <c r="D83" t="s">
        <v>13</v>
      </c>
      <c r="E83" t="s">
        <v>208</v>
      </c>
      <c r="F83" s="2" t="str">
        <f>HYPERLINK("http://img.alicdn.com/bao/uploaded/i4/O1CN01Ndp8fZ1VFNsD7yW60_!!53-fleamarket.heic_790x10000Q90.jpg_.webp", "img.alicdn.com/bao/uploaded/i4/O1CN01Ndp8fZ1VFNsD7yW60_!!53-fleamarket.heic_790x10000Q90.jpg_.webp")</f>
        <v>img.alicdn.com/bao/uploaded/i4/O1CN01Ndp8fZ1VFNsD7yW60_!!53-fleamarket.heic_790x10000Q90.jpg_.webp</v>
      </c>
      <c r="H83" s="2" t="str">
        <f>HYPERLINK("https://www.goofish.com/item?spm=a21ybx.search.searchFeedList.17.678761adKwsksx&amp;id=837606072804&amp;categoryId=202034003", "https://www.goofish.com/item?spm=a21ybx.search.searchFeedList.17.678761adKwsksx&amp;id=837606072804&amp;categoryId=202034003")</f>
        <v>https://www.goofish.com/item?spm=a21ybx.search.searchFeedList.17.678761adKwsksx&amp;id=837606072804&amp;categoryId=202034003</v>
      </c>
    </row>
    <row r="84" spans="1:8" ht="25.5" customHeight="1">
      <c r="A84" t="s">
        <v>209</v>
      </c>
      <c r="B84">
        <v>132</v>
      </c>
      <c r="C84" t="s">
        <v>104</v>
      </c>
      <c r="D84" t="s">
        <v>13</v>
      </c>
      <c r="E84" t="s">
        <v>210</v>
      </c>
      <c r="F84" s="2" t="str">
        <f>HYPERLINK("http://img.alicdn.com/bao/uploaded/i4/O1CN01iLn8r21XlZ0juFHfO_!!4611686018427384900-0-fleamarket.jpg_790x10000Q90.jpg_.webp", "img.alicdn.com/bao/uploaded/i4/O1CN01iLn8r21XlZ0juFHfO_!!4611686018427384900-0-fleamarket.jpg_790x10000Q90.jpg_.webp")</f>
        <v>img.alicdn.com/bao/uploaded/i4/O1CN01iLn8r21XlZ0juFHfO_!!4611686018427384900-0-fleamarket.jpg_790x10000Q90.jpg_.webp</v>
      </c>
      <c r="H84" s="2" t="str">
        <f>HYPERLINK("https://www.goofish.com/item?spm=a21ybx.search.searchFeedList.29.678761adKwsksx&amp;id=949028303969&amp;categoryId=201459411", "https://www.goofish.com/item?spm=a21ybx.search.searchFeedList.29.678761adKwsksx&amp;id=949028303969&amp;categoryId=201459411")</f>
        <v>https://www.goofish.com/item?spm=a21ybx.search.searchFeedList.29.678761adKwsksx&amp;id=949028303969&amp;categoryId=201459411</v>
      </c>
    </row>
    <row r="85" spans="1:8" ht="25.5" customHeight="1">
      <c r="A85" t="s">
        <v>211</v>
      </c>
      <c r="B85">
        <v>133</v>
      </c>
      <c r="C85" t="s">
        <v>104</v>
      </c>
      <c r="D85" t="s">
        <v>13</v>
      </c>
      <c r="E85" t="s">
        <v>212</v>
      </c>
      <c r="F85" s="2" t="str">
        <f>HYPERLINK("http://img.alicdn.com/bao/uploaded/i3/O1CN01cNCYDy2IyeHh9WwC0_!!4611686018427386427-53-fleamarket.heic_790x10000Q90.jpg_.webp", "img.alicdn.com/bao/uploaded/i3/O1CN01cNCYDy2IyeHh9WwC0_!!4611686018427386427-53-fleamarket.heic_790x10000Q90.jpg_.webp")</f>
        <v>img.alicdn.com/bao/uploaded/i3/O1CN01cNCYDy2IyeHh9WwC0_!!4611686018427386427-53-fleamarket.heic_790x10000Q90.jpg_.webp</v>
      </c>
      <c r="H85" s="2" t="str">
        <f>HYPERLINK("https://www.goofish.com/item?spm=a21ybx.search.searchFeedList.2.678761adKwsksx&amp;id=974492090835&amp;categoryId=202036301", "https://www.goofish.com/item?spm=a21ybx.search.searchFeedList.2.678761adKwsksx&amp;id=974492090835&amp;categoryId=202036301")</f>
        <v>https://www.goofish.com/item?spm=a21ybx.search.searchFeedList.2.678761adKwsksx&amp;id=974492090835&amp;categoryId=202036301</v>
      </c>
    </row>
    <row r="86" spans="1:8" ht="25.5" customHeight="1">
      <c r="A86" t="s">
        <v>213</v>
      </c>
      <c r="B86">
        <v>134</v>
      </c>
      <c r="C86" t="s">
        <v>104</v>
      </c>
      <c r="D86" t="s">
        <v>13</v>
      </c>
      <c r="E86" t="s">
        <v>214</v>
      </c>
      <c r="F86" s="2" t="str">
        <f>HYPERLINK("http://img.alicdn.com/bao/uploaded/i2/O1CN01wzk09a1q4wrOXHPki_!!4611686018427382115-0-fleamarket.jpg_790x10000Q90.jpg_.webp", "img.alicdn.com/bao/uploaded/i2/O1CN01wzk09a1q4wrOXHPki_!!4611686018427382115-0-fleamarket.jpg_790x10000Q90.jpg_.webp")</f>
        <v>img.alicdn.com/bao/uploaded/i2/O1CN01wzk09a1q4wrOXHPki_!!4611686018427382115-0-fleamarket.jpg_790x10000Q90.jpg_.webp</v>
      </c>
      <c r="H86" s="2" t="str">
        <f>HYPERLINK("https://www.goofish.com/item?spm=a21ybx.search.searchFeedList.2.678761adKwsksx&amp;id=952568666857&amp;categoryId=201459411", "https://www.goofish.com/item?spm=a21ybx.search.searchFeedList.2.678761adKwsksx&amp;id=952568666857&amp;categoryId=201459411")</f>
        <v>https://www.goofish.com/item?spm=a21ybx.search.searchFeedList.2.678761adKwsksx&amp;id=952568666857&amp;categoryId=201459411</v>
      </c>
    </row>
    <row r="87" spans="1:8" ht="25.5" customHeight="1">
      <c r="A87" t="s">
        <v>215</v>
      </c>
      <c r="B87">
        <v>135</v>
      </c>
      <c r="C87" t="s">
        <v>104</v>
      </c>
      <c r="D87" t="s">
        <v>13</v>
      </c>
      <c r="E87" t="s">
        <v>216</v>
      </c>
      <c r="F87" s="2" t="str">
        <f>HYPERLINK("http://img.alicdn.com/bao/uploaded/i2/O1CN01HHv9f52L70iD1Iyp6_!!4611686018427384620-0-fleamarket.jpg_790x10000Q90.jpg_.webp", "img.alicdn.com/bao/uploaded/i2/O1CN01HHv9f52L70iD1Iyp6_!!4611686018427384620-0-fleamarket.jpg_790x10000Q90.jpg_.webp")</f>
        <v>img.alicdn.com/bao/uploaded/i2/O1CN01HHv9f52L70iD1Iyp6_!!4611686018427384620-0-fleamarket.jpg_790x10000Q90.jpg_.webp</v>
      </c>
      <c r="H87" s="2" t="str">
        <f>HYPERLINK("https://www.goofish.com/item?spm=a21ybx.search.searchFeedList.18.678761adKwsksx&amp;id=910141470242&amp;categoryId=202148345", "https://www.goofish.com/item?spm=a21ybx.search.searchFeedList.18.678761adKwsksx&amp;id=910141470242&amp;categoryId=202148345")</f>
        <v>https://www.goofish.com/item?spm=a21ybx.search.searchFeedList.18.678761adKwsksx&amp;id=910141470242&amp;categoryId=202148345</v>
      </c>
    </row>
    <row r="88" spans="1:8" ht="25.5" customHeight="1">
      <c r="A88" t="s">
        <v>217</v>
      </c>
      <c r="B88">
        <v>136</v>
      </c>
      <c r="C88" t="s">
        <v>104</v>
      </c>
      <c r="D88" t="s">
        <v>13</v>
      </c>
      <c r="E88" t="s">
        <v>218</v>
      </c>
      <c r="F88" s="2" t="str">
        <f>HYPERLINK("http://img.alicdn.com/bao/uploaded/i2/O1CN015eOnCP1pov1USSCnv_!!4611686018427385776-0-fleamarket.jpg_790x10000Q90.jpg_.webp", "img.alicdn.com/bao/uploaded/i2/O1CN015eOnCP1pov1USSCnv_!!4611686018427385776-0-fleamarket.jpg_790x10000Q90.jpg_.webp")</f>
        <v>img.alicdn.com/bao/uploaded/i2/O1CN015eOnCP1pov1USSCnv_!!4611686018427385776-0-fleamarket.jpg_790x10000Q90.jpg_.webp</v>
      </c>
      <c r="H88" s="2" t="str">
        <f>HYPERLINK("https://www.goofish.com/item?spm=a21ybx.search.searchFeedList.5.678761adKwsksx&amp;id=988673573244&amp;categoryId=202034003", "https://www.goofish.com/item?spm=a21ybx.search.searchFeedList.5.678761adKwsksx&amp;id=988673573244&amp;categoryId=202034003")</f>
        <v>https://www.goofish.com/item?spm=a21ybx.search.searchFeedList.5.678761adKwsksx&amp;id=988673573244&amp;categoryId=202034003</v>
      </c>
    </row>
    <row r="89" spans="1:8" ht="25.5" customHeight="1">
      <c r="A89" t="s">
        <v>219</v>
      </c>
      <c r="B89">
        <v>137</v>
      </c>
      <c r="C89" t="s">
        <v>104</v>
      </c>
      <c r="D89" t="s">
        <v>13</v>
      </c>
      <c r="E89" t="s">
        <v>220</v>
      </c>
      <c r="F89" s="2" t="str">
        <f>HYPERLINK("http://img.alicdn.com/bao/uploaded/i1/O1CN01kE0L291ph8HstMAQI_!!4611686018427386351-0-fleamarket.jpg_790x10000Q90.jpg_.webp", "img.alicdn.com/bao/uploaded/i1/O1CN01kE0L291ph8HstMAQI_!!4611686018427386351-0-fleamarket.jpg_790x10000Q90.jpg_.webp")</f>
        <v>img.alicdn.com/bao/uploaded/i1/O1CN01kE0L291ph8HstMAQI_!!4611686018427386351-0-fleamarket.jpg_790x10000Q90.jpg_.webp</v>
      </c>
      <c r="H89" s="2" t="str">
        <f>HYPERLINK("https://www.goofish.com/item?spm=a21ybx.search.searchFeedList.17.678761adKwsksx&amp;id=985366486723&amp;categoryId=201459411", "https://www.goofish.com/item?spm=a21ybx.search.searchFeedList.17.678761adKwsksx&amp;id=985366486723&amp;categoryId=201459411")</f>
        <v>https://www.goofish.com/item?spm=a21ybx.search.searchFeedList.17.678761adKwsksx&amp;id=985366486723&amp;categoryId=201459411</v>
      </c>
    </row>
    <row r="90" spans="1:8" ht="25.5" customHeight="1">
      <c r="A90" t="s">
        <v>221</v>
      </c>
      <c r="B90">
        <v>138</v>
      </c>
      <c r="C90" t="s">
        <v>104</v>
      </c>
      <c r="D90" t="s">
        <v>13</v>
      </c>
      <c r="E90" t="s">
        <v>222</v>
      </c>
      <c r="F90" s="2" t="str">
        <f>HYPERLINK("http://img.alicdn.com/bao/uploaded/i3/O1CN011ll6u82IOSzRC6x5r_!!4611686018427380076-53-fleamarket.heic_790x10000Q90.jpg_.webp", "img.alicdn.com/bao/uploaded/i3/O1CN011ll6u82IOSzRC6x5r_!!4611686018427380076-53-fleamarket.heic_790x10000Q90.jpg_.webp")</f>
        <v>img.alicdn.com/bao/uploaded/i3/O1CN011ll6u82IOSzRC6x5r_!!4611686018427380076-53-fleamarket.heic_790x10000Q90.jpg_.webp</v>
      </c>
      <c r="H90" s="2" t="str">
        <f>HYPERLINK("https://www.goofish.com/item?spm=a21ybx.search.searchFeedList.25.678761adKwsksx&amp;id=966074854107&amp;categoryId=201454708", "https://www.goofish.com/item?spm=a21ybx.search.searchFeedList.25.678761adKwsksx&amp;id=966074854107&amp;categoryId=201454708")</f>
        <v>https://www.goofish.com/item?spm=a21ybx.search.searchFeedList.25.678761adKwsksx&amp;id=966074854107&amp;categoryId=201454708</v>
      </c>
    </row>
    <row r="91" spans="1:8" ht="25.5" customHeight="1">
      <c r="A91" t="s">
        <v>223</v>
      </c>
      <c r="B91">
        <v>139</v>
      </c>
      <c r="C91" t="s">
        <v>104</v>
      </c>
      <c r="D91" t="s">
        <v>13</v>
      </c>
      <c r="E91" t="s">
        <v>224</v>
      </c>
      <c r="F91" s="2" t="str">
        <f>HYPERLINK("http://img.alicdn.com/bao/uploaded/i1/O1CN01WztnhG1VDYKwbMtrb_!!4611686018427386795-0-fleamarket.jpg_790x10000Q90.jpg_.webp", "img.alicdn.com/bao/uploaded/i1/O1CN01WztnhG1VDYKwbMtrb_!!4611686018427386795-0-fleamarket.jpg_790x10000Q90.jpg_.webp")</f>
        <v>img.alicdn.com/bao/uploaded/i1/O1CN01WztnhG1VDYKwbMtrb_!!4611686018427386795-0-fleamarket.jpg_790x10000Q90.jpg_.webp</v>
      </c>
      <c r="H91" s="2" t="str">
        <f>HYPERLINK("https://www.goofish.com/item?spm=a21ybx.search.searchFeedList.9.678761adKwsksx&amp;id=898810530390&amp;categoryId=201459210", "https://www.goofish.com/item?spm=a21ybx.search.searchFeedList.9.678761adKwsksx&amp;id=898810530390&amp;categoryId=201459210")</f>
        <v>https://www.goofish.com/item?spm=a21ybx.search.searchFeedList.9.678761adKwsksx&amp;id=898810530390&amp;categoryId=201459210</v>
      </c>
    </row>
    <row r="92" spans="1:8" ht="25.5" customHeight="1">
      <c r="A92" t="s">
        <v>211</v>
      </c>
      <c r="B92">
        <v>140</v>
      </c>
      <c r="C92" t="s">
        <v>104</v>
      </c>
      <c r="D92" t="s">
        <v>13</v>
      </c>
      <c r="E92" t="s">
        <v>212</v>
      </c>
      <c r="F92" s="2" t="str">
        <f>HYPERLINK("http://img.alicdn.com/bao/uploaded/i3/O1CN01dlbAJe1Vk4TYcAUau_!!4611686018427386834-0-fleamarket.jpg_790x10000Q90.jpg_.webp", "img.alicdn.com/bao/uploaded/i3/O1CN01dlbAJe1Vk4TYcAUau_!!4611686018427386834-0-fleamarket.jpg_790x10000Q90.jpg_.webp")</f>
        <v>img.alicdn.com/bao/uploaded/i3/O1CN01dlbAJe1Vk4TYcAUau_!!4611686018427386834-0-fleamarket.jpg_790x10000Q90.jpg_.webp</v>
      </c>
      <c r="H92" s="2" t="str">
        <f>HYPERLINK("https://www.goofish.com/item?spm=a21ybx.search.searchFeedList.18.678761adKwsksx&amp;id=921985936906&amp;categoryId=202036301", "https://www.goofish.com/item?spm=a21ybx.search.searchFeedList.18.678761adKwsksx&amp;id=921985936906&amp;categoryId=202036301")</f>
        <v>https://www.goofish.com/item?spm=a21ybx.search.searchFeedList.18.678761adKwsksx&amp;id=921985936906&amp;categoryId=202036301</v>
      </c>
    </row>
    <row r="93" spans="1:8" ht="25.5" customHeight="1">
      <c r="A93" t="s">
        <v>225</v>
      </c>
      <c r="B93">
        <v>141</v>
      </c>
      <c r="C93" t="s">
        <v>104</v>
      </c>
      <c r="D93" t="s">
        <v>13</v>
      </c>
      <c r="E93" t="s">
        <v>226</v>
      </c>
      <c r="F93"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H93"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row>
    <row r="94" spans="1:8" ht="25.5" customHeight="1">
      <c r="A94" t="s">
        <v>227</v>
      </c>
      <c r="B94">
        <v>142</v>
      </c>
      <c r="C94" t="s">
        <v>104</v>
      </c>
      <c r="D94" t="s">
        <v>13</v>
      </c>
      <c r="E94" t="s">
        <v>228</v>
      </c>
      <c r="F94" s="2" t="str">
        <f>HYPERLINK("http://img.alicdn.com/bao/uploaded/i1/O1CN01YHpp5l1v5vp4Bji5q_!!4611686018427385162-0-fleamarket.jpg_790x10000Q90.jpg_.webp", "img.alicdn.com/bao/uploaded/i1/O1CN01YHpp5l1v5vp4Bji5q_!!4611686018427385162-0-fleamarket.jpg_790x10000Q90.jpg_.webp")</f>
        <v>img.alicdn.com/bao/uploaded/i1/O1CN01YHpp5l1v5vp4Bji5q_!!4611686018427385162-0-fleamarket.jpg_790x10000Q90.jpg_.webp</v>
      </c>
      <c r="H94" s="2" t="str">
        <f>HYPERLINK("https://www.goofish.com/item?spm=a21ybx.search.searchFeedList.8.678761adKwsksx&amp;id=998250630523&amp;categoryId=202036301", "https://www.goofish.com/item?spm=a21ybx.search.searchFeedList.8.678761adKwsksx&amp;id=998250630523&amp;categoryId=202036301")</f>
        <v>https://www.goofish.com/item?spm=a21ybx.search.searchFeedList.8.678761adKwsksx&amp;id=998250630523&amp;categoryId=202036301</v>
      </c>
    </row>
    <row r="95" spans="1:8" ht="25.5" customHeight="1">
      <c r="A95" t="s">
        <v>229</v>
      </c>
      <c r="B95">
        <v>143</v>
      </c>
      <c r="C95" t="s">
        <v>104</v>
      </c>
      <c r="D95" t="s">
        <v>13</v>
      </c>
      <c r="E95" t="s">
        <v>230</v>
      </c>
      <c r="F95"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H95"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row>
    <row r="96" spans="1:8" ht="25.5" customHeight="1">
      <c r="A96" t="s">
        <v>225</v>
      </c>
      <c r="B96">
        <v>149</v>
      </c>
      <c r="C96" t="s">
        <v>104</v>
      </c>
      <c r="D96" t="s">
        <v>13</v>
      </c>
      <c r="E96" t="s">
        <v>226</v>
      </c>
      <c r="F96"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H96"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row>
    <row r="97" spans="1:8" ht="25.5" customHeight="1">
      <c r="A97" t="s">
        <v>229</v>
      </c>
      <c r="B97">
        <v>150</v>
      </c>
      <c r="C97" t="s">
        <v>104</v>
      </c>
      <c r="D97" t="s">
        <v>13</v>
      </c>
      <c r="E97" t="s">
        <v>230</v>
      </c>
      <c r="F97"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H97"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row>
    <row r="98" spans="1:8" ht="25.5" customHeight="1">
      <c r="A98" t="s">
        <v>231</v>
      </c>
      <c r="B98">
        <v>151</v>
      </c>
      <c r="C98" t="s">
        <v>104</v>
      </c>
      <c r="D98" t="s">
        <v>13</v>
      </c>
      <c r="E98" t="s">
        <v>232</v>
      </c>
      <c r="F98" s="2" t="str">
        <f>HYPERLINK("http://img.alicdn.com/bao/uploaded/i3/O1CN01yNvfQK1dZ5xAyfH2V_!!4611686018427387605-0-fleamarket.jpg_790x10000Q90.jpg_.webp", "img.alicdn.com/bao/uploaded/i3/O1CN01yNvfQK1dZ5xAyfH2V_!!4611686018427387605-0-fleamarket.jpg_790x10000Q90.jpg_.webp")</f>
        <v>img.alicdn.com/bao/uploaded/i3/O1CN01yNvfQK1dZ5xAyfH2V_!!4611686018427387605-0-fleamarket.jpg_790x10000Q90.jpg_.webp</v>
      </c>
      <c r="H98" s="2" t="str">
        <f>HYPERLINK("https://www.goofish.com/item?spm=a21ybx.personal.feeds.306.12e16ac2PYxLX9&amp;id=993217612606&amp;categoryId=50023914", "https://www.goofish.com/item?spm=a21ybx.personal.feeds.306.12e16ac2PYxLX9&amp;id=993217612606&amp;categoryId=50023914")</f>
        <v>https://www.goofish.com/item?spm=a21ybx.personal.feeds.306.12e16ac2PYxLX9&amp;id=993217612606&amp;categoryId=50023914</v>
      </c>
    </row>
    <row r="99" spans="1:8" ht="25.5" customHeight="1">
      <c r="A99" t="s">
        <v>233</v>
      </c>
      <c r="B99">
        <v>152</v>
      </c>
      <c r="C99" t="s">
        <v>104</v>
      </c>
      <c r="D99" t="s">
        <v>13</v>
      </c>
      <c r="E99" t="s">
        <v>234</v>
      </c>
      <c r="F99" s="2" t="str">
        <f>HYPERLINK("http://img.alicdn.com/bao/uploaded/i2/O1CN01ehxFDt1dZ5w8SlvsQ_!!4611686018427387605-0-fleamarket.jpg_790x10000Q90.jpg_.webp", "img.alicdn.com/bao/uploaded/i2/O1CN01ehxFDt1dZ5w8SlvsQ_!!4611686018427387605-0-fleamarket.jpg_790x10000Q90.jpg_.webp")</f>
        <v>img.alicdn.com/bao/uploaded/i2/O1CN01ehxFDt1dZ5w8SlvsQ_!!4611686018427387605-0-fleamarket.jpg_790x10000Q90.jpg_.webp</v>
      </c>
      <c r="H99" s="2" t="str">
        <f>HYPERLINK("https://www.goofish.com/item?spm=a21ybx.personal.feeds.274.12e16ac2PYxLX9&amp;id=971809642996&amp;categoryId=50023914", "https://www.goofish.com/item?spm=a21ybx.personal.feeds.274.12e16ac2PYxLX9&amp;id=971809642996&amp;categoryId=50023914")</f>
        <v>https://www.goofish.com/item?spm=a21ybx.personal.feeds.274.12e16ac2PYxLX9&amp;id=971809642996&amp;categoryId=50023914</v>
      </c>
    </row>
    <row r="100" spans="1:8" ht="25.5" customHeight="1">
      <c r="A100" t="s">
        <v>235</v>
      </c>
      <c r="B100">
        <v>153</v>
      </c>
      <c r="C100" t="s">
        <v>104</v>
      </c>
      <c r="D100" t="s">
        <v>13</v>
      </c>
      <c r="E100" t="s">
        <v>236</v>
      </c>
      <c r="F100" s="2" t="str">
        <f>HYPERLINK("http://img.alicdn.com/bao/uploaded/i3/O1CN0184PsNy1dZ5x0Ppl4V_!!4611686018427387605-0-fleamarket.jpg_790x10000Q90.jpg_.webp", "img.alicdn.com/bao/uploaded/i3/O1CN0184PsNy1dZ5x0Ppl4V_!!4611686018427387605-0-fleamarket.jpg_790x10000Q90.jpg_.webp")</f>
        <v>img.alicdn.com/bao/uploaded/i3/O1CN0184PsNy1dZ5x0Ppl4V_!!4611686018427387605-0-fleamarket.jpg_790x10000Q90.jpg_.webp</v>
      </c>
      <c r="H100" s="2" t="str">
        <f>HYPERLINK("https://www.goofish.com/item?spm=a21ybx.personal.feeds.406.12e16ac2PYxLX9&amp;id=989027302177&amp;categoryId=50023914", "https://www.goofish.com/item?spm=a21ybx.personal.feeds.406.12e16ac2PYxLX9&amp;id=989027302177&amp;categoryId=50023914")</f>
        <v>https://www.goofish.com/item?spm=a21ybx.personal.feeds.406.12e16ac2PYxLX9&amp;id=989027302177&amp;categoryId=50023914</v>
      </c>
    </row>
    <row r="101" spans="1:8" ht="25.5" customHeight="1">
      <c r="A101" t="s">
        <v>237</v>
      </c>
      <c r="B101">
        <v>154</v>
      </c>
      <c r="C101" t="s">
        <v>104</v>
      </c>
      <c r="D101" t="s">
        <v>13</v>
      </c>
      <c r="E101" t="s">
        <v>238</v>
      </c>
      <c r="F101" s="2" t="str">
        <f>HYPERLINK("http://img.alicdn.com/bao/uploaded/i3/O1CN01Eg20Pf1dZ5wyD08LR_!!4611686018427387605-0-fleamarket.jpg_790x10000Q90.jpg_.webp", "img.alicdn.com/bao/uploaded/i3/O1CN01Eg20Pf1dZ5wyD08LR_!!4611686018427387605-0-fleamarket.jpg_790x10000Q90.jpg_.webp")</f>
        <v>img.alicdn.com/bao/uploaded/i3/O1CN01Eg20Pf1dZ5wyD08LR_!!4611686018427387605-0-fleamarket.jpg_790x10000Q90.jpg_.webp</v>
      </c>
      <c r="H101" s="2" t="str">
        <f>HYPERLINK("https://www.goofish.com/item?spm=a21ybx.personal.feeds.424.12e16ac2PYxLX9&amp;id=989099081586&amp;categoryId=50023914", "https://www.goofish.com/item?spm=a21ybx.personal.feeds.424.12e16ac2PYxLX9&amp;id=989099081586&amp;categoryId=50023914")</f>
        <v>https://www.goofish.com/item?spm=a21ybx.personal.feeds.424.12e16ac2PYxLX9&amp;id=989099081586&amp;categoryId=50023914</v>
      </c>
    </row>
    <row r="102" spans="1:8" ht="25.5" customHeight="1">
      <c r="A102" t="s">
        <v>239</v>
      </c>
      <c r="B102">
        <v>155</v>
      </c>
      <c r="C102" t="s">
        <v>104</v>
      </c>
      <c r="D102" t="s">
        <v>13</v>
      </c>
      <c r="E102" t="s">
        <v>240</v>
      </c>
      <c r="F102" s="2" t="str">
        <f>HYPERLINK("http://img.alicdn.com/bao/uploaded/i1/O1CN01jXCnOl1dZ5wqn9gw0_!!4611686018427387605-2-fleamarket.png_790x10000.jpg_.webp", "img.alicdn.com/bao/uploaded/i1/O1CN01jXCnOl1dZ5wqn9gw0_!!4611686018427387605-2-fleamarket.png_790x10000.jpg_.webp")</f>
        <v>img.alicdn.com/bao/uploaded/i1/O1CN01jXCnOl1dZ5wqn9gw0_!!4611686018427387605-2-fleamarket.png_790x10000.jpg_.webp</v>
      </c>
      <c r="H102" s="2" t="str">
        <f>HYPERLINK("https://www.goofish.com/item?spm=a21ybx.personal.feeds.471.12e16ac2PYxLX9&amp;id=985682259333&amp;categoryId=50023914", "https://www.goofish.com/item?spm=a21ybx.personal.feeds.471.12e16ac2PYxLX9&amp;id=985682259333&amp;categoryId=50023914")</f>
        <v>https://www.goofish.com/item?spm=a21ybx.personal.feeds.471.12e16ac2PYxLX9&amp;id=985682259333&amp;categoryId=50023914</v>
      </c>
    </row>
    <row r="103" spans="1:8" ht="25.5" customHeight="1">
      <c r="A103" t="s">
        <v>241</v>
      </c>
      <c r="B103">
        <v>156</v>
      </c>
      <c r="C103" t="s">
        <v>104</v>
      </c>
      <c r="D103" t="s">
        <v>13</v>
      </c>
      <c r="E103" t="s">
        <v>242</v>
      </c>
      <c r="F103" s="2" t="str">
        <f>HYPERLINK("http://img.alicdn.com/bao/uploaded/i3/O1CN01vdK4t11dZ5wzAaHgV_!!4611686018427387605-0-fleamarket.jpg_790x10000Q90.jpg_.webp", "img.alicdn.com/bao/uploaded/i3/O1CN01vdK4t11dZ5wzAaHgV_!!4611686018427387605-0-fleamarket.jpg_790x10000Q90.jpg_.webp")</f>
        <v>img.alicdn.com/bao/uploaded/i3/O1CN01vdK4t11dZ5wzAaHgV_!!4611686018427387605-0-fleamarket.jpg_790x10000Q90.jpg_.webp</v>
      </c>
      <c r="H103" s="2" t="str">
        <f>HYPERLINK("https://www.goofish.com/item?spm=a21ybx.personal.feeds.405.12e16ac2PYxLX9&amp;id=988463271302&amp;categoryId=50023914", "https://www.goofish.com/item?spm=a21ybx.personal.feeds.405.12e16ac2PYxLX9&amp;id=988463271302&amp;categoryId=50023914")</f>
        <v>https://www.goofish.com/item?spm=a21ybx.personal.feeds.405.12e16ac2PYxLX9&amp;id=988463271302&amp;categoryId=50023914</v>
      </c>
    </row>
    <row r="104" spans="1:8" ht="25.5" customHeight="1">
      <c r="A104" t="s">
        <v>243</v>
      </c>
      <c r="B104">
        <v>157</v>
      </c>
      <c r="C104" t="s">
        <v>104</v>
      </c>
      <c r="D104" t="s">
        <v>13</v>
      </c>
      <c r="E104" t="s">
        <v>244</v>
      </c>
      <c r="F104" s="2" t="str">
        <f>HYPERLINK("http://img.alicdn.com/bao/uploaded/i4/O1CN01IQQZNn1dZ5wxiceHc_!!4611686018427387605-0-fleamarket.jpg_790x10000Q90.jpg_.webp", "img.alicdn.com/bao/uploaded/i4/O1CN01IQQZNn1dZ5wxiceHc_!!4611686018427387605-0-fleamarket.jpg_790x10000Q90.jpg_.webp")</f>
        <v>img.alicdn.com/bao/uploaded/i4/O1CN01IQQZNn1dZ5wxiceHc_!!4611686018427387605-0-fleamarket.jpg_790x10000Q90.jpg_.webp</v>
      </c>
      <c r="H104" s="2" t="str">
        <f>HYPERLINK("https://www.goofish.com/item?spm=a21ybx.personal.feeds.413.12e16ac2PYxLX9&amp;id=987990827174&amp;categoryId=50023914", "https://www.goofish.com/item?spm=a21ybx.personal.feeds.413.12e16ac2PYxLX9&amp;id=987990827174&amp;categoryId=50023914")</f>
        <v>https://www.goofish.com/item?spm=a21ybx.personal.feeds.413.12e16ac2PYxLX9&amp;id=987990827174&amp;categoryId=50023914</v>
      </c>
    </row>
    <row r="105" spans="1:8" ht="25.5" customHeight="1">
      <c r="A105" t="s">
        <v>245</v>
      </c>
      <c r="B105">
        <v>158</v>
      </c>
      <c r="C105" t="s">
        <v>104</v>
      </c>
      <c r="D105" t="s">
        <v>13</v>
      </c>
      <c r="E105" t="s">
        <v>246</v>
      </c>
      <c r="F105" s="2" t="str">
        <f>HYPERLINK("http://img.alicdn.com/bao/uploaded/i4/O1CN01ABxqNG1dZ5wZnwWfw_!!4611686018427387605-0-fleamarket.jpg_790x10000Q90.jpg_.webp", "img.alicdn.com/bao/uploaded/i4/O1CN01ABxqNG1dZ5wZnwWfw_!!4611686018427387605-0-fleamarket.jpg_790x10000Q90.jpg_.webp")</f>
        <v>img.alicdn.com/bao/uploaded/i4/O1CN01ABxqNG1dZ5wZnwWfw_!!4611686018427387605-0-fleamarket.jpg_790x10000Q90.jpg_.webp</v>
      </c>
      <c r="H105" s="2" t="str">
        <f>HYPERLINK("https://www.goofish.com/item?spm=a21ybx.personal.feeds.524.12e16ac2PYxLX9&amp;id=980224626695&amp;categoryId=50023914", "https://www.goofish.com/item?spm=a21ybx.personal.feeds.524.12e16ac2PYxLX9&amp;id=980224626695&amp;categoryId=50023914")</f>
        <v>https://www.goofish.com/item?spm=a21ybx.personal.feeds.524.12e16ac2PYxLX9&amp;id=980224626695&amp;categoryId=50023914</v>
      </c>
    </row>
    <row r="106" spans="1:8" ht="25.5" customHeight="1">
      <c r="A106" t="s">
        <v>247</v>
      </c>
      <c r="B106">
        <v>159</v>
      </c>
      <c r="C106" t="s">
        <v>104</v>
      </c>
      <c r="D106" t="s">
        <v>13</v>
      </c>
      <c r="E106" t="s">
        <v>248</v>
      </c>
      <c r="F106" s="2" t="str">
        <f>HYPERLINK("http://img.alicdn.com/bao/uploaded/i4/O1CN01424ckr1dZ5wu6geOq_!!4611686018427387605-0-fleamarket.jpg_790x10000Q90.jpg_.webp", "img.alicdn.com/bao/uploaded/i4/O1CN01424ckr1dZ5wu6geOq_!!4611686018427387605-0-fleamarket.jpg_790x10000Q90.jpg_.webp")</f>
        <v>img.alicdn.com/bao/uploaded/i4/O1CN01424ckr1dZ5wu6geOq_!!4611686018427387605-0-fleamarket.jpg_790x10000Q90.jpg_.webp</v>
      </c>
      <c r="H106" s="2" t="str">
        <f>HYPERLINK("https://www.goofish.com/item?spm=a21ybx.personal.feeds.450.12e16ac2PYxLX9&amp;id=987356914309&amp;categoryId=50023914", "https://www.goofish.com/item?spm=a21ybx.personal.feeds.450.12e16ac2PYxLX9&amp;id=987356914309&amp;categoryId=50023914")</f>
        <v>https://www.goofish.com/item?spm=a21ybx.personal.feeds.450.12e16ac2PYxLX9&amp;id=987356914309&amp;categoryId=50023914</v>
      </c>
    </row>
    <row r="107" spans="1:8" ht="25.5" customHeight="1">
      <c r="A107" t="s">
        <v>249</v>
      </c>
      <c r="B107">
        <v>160</v>
      </c>
      <c r="C107" t="s">
        <v>104</v>
      </c>
      <c r="D107" t="s">
        <v>13</v>
      </c>
      <c r="E107" t="s">
        <v>250</v>
      </c>
      <c r="F107" s="2" t="str">
        <f>HYPERLINK("http://img.alicdn.com/bao/uploaded/i2/O1CN01nZSSmD1dZ5xHS0oz0_!!4611686018427387605-0-fleamarket.jpg_790x10000Q90.jpg_.webp", "img.alicdn.com/bao/uploaded/i2/O1CN01nZSSmD1dZ5xHS0oz0_!!4611686018427387605-0-fleamarket.jpg_790x10000Q90.jpg_.webp")</f>
        <v>img.alicdn.com/bao/uploaded/i2/O1CN01nZSSmD1dZ5xHS0oz0_!!4611686018427387605-0-fleamarket.jpg_790x10000Q90.jpg_.webp</v>
      </c>
      <c r="H107" s="2" t="str">
        <f>HYPERLINK("https://www.goofish.com/item?spm=a21ybx.personal.feeds.171.12e16ac2PYxLX9&amp;id=993553130615&amp;categoryId=50023914", "https://www.goofish.com/item?spm=a21ybx.personal.feeds.171.12e16ac2PYxLX9&amp;id=993553130615&amp;categoryId=50023914")</f>
        <v>https://www.goofish.com/item?spm=a21ybx.personal.feeds.171.12e16ac2PYxLX9&amp;id=993553130615&amp;categoryId=50023914</v>
      </c>
    </row>
    <row r="108" spans="1:8" ht="25.5" customHeight="1">
      <c r="A108" t="s">
        <v>251</v>
      </c>
      <c r="B108">
        <v>161</v>
      </c>
      <c r="C108" t="s">
        <v>104</v>
      </c>
      <c r="D108" t="s">
        <v>13</v>
      </c>
      <c r="E108" t="s">
        <v>252</v>
      </c>
      <c r="F108" s="2" t="str">
        <f>HYPERLINK("http://img.alicdn.com/bao/uploaded/i2/O1CN01OMkDh61dZ5wB78Jfj_!!4611686018427387605-0-fleamarket.jpg_790x10000Q90.jpg_.webp", "img.alicdn.com/bao/uploaded/i2/O1CN01OMkDh61dZ5wB78Jfj_!!4611686018427387605-0-fleamarket.jpg_790x10000Q90.jpg_.webp")</f>
        <v>img.alicdn.com/bao/uploaded/i2/O1CN01OMkDh61dZ5wB78Jfj_!!4611686018427387605-0-fleamarket.jpg_790x10000Q90.jpg_.webp</v>
      </c>
      <c r="H108" s="2" t="str">
        <f>HYPERLINK("https://www.goofish.com/item?spm=a21ybx.personal.feeds.282.12e16ac2PYxLX9&amp;id=969744759110&amp;categoryId=50023914", "https://www.goofish.com/item?spm=a21ybx.personal.feeds.282.12e16ac2PYxLX9&amp;id=969744759110&amp;categoryId=50023914")</f>
        <v>https://www.goofish.com/item?spm=a21ybx.personal.feeds.282.12e16ac2PYxLX9&amp;id=969744759110&amp;categoryId=50023914</v>
      </c>
    </row>
    <row r="109" spans="1:8" ht="25.5" customHeight="1">
      <c r="A109" t="s">
        <v>253</v>
      </c>
      <c r="B109">
        <v>162</v>
      </c>
      <c r="C109" t="s">
        <v>104</v>
      </c>
      <c r="D109" t="s">
        <v>13</v>
      </c>
      <c r="E109" t="s">
        <v>254</v>
      </c>
      <c r="F109" s="2" t="str">
        <f>HYPERLINK("http://img.alicdn.com/bao/uploaded/i2/O1CN01A1nB6M1dZ5x2lOCNw_!!4611686018427387605-0-fleamarket.jpg_790x10000Q90.jpg_.webp", "img.alicdn.com/bao/uploaded/i2/O1CN01A1nB6M1dZ5x2lOCNw_!!4611686018427387605-0-fleamarket.jpg_790x10000Q90.jpg_.webp")</f>
        <v>img.alicdn.com/bao/uploaded/i2/O1CN01A1nB6M1dZ5x2lOCNw_!!4611686018427387605-0-fleamarket.jpg_790x10000Q90.jpg_.webp</v>
      </c>
      <c r="H109" s="2" t="str">
        <f>HYPERLINK("https://www.goofish.com/item?spm=a21ybx.personal.feeds.367.12e16ac2PYxLX9&amp;id=989831478508&amp;categoryId=50023914", "https://www.goofish.com/item?spm=a21ybx.personal.feeds.367.12e16ac2PYxLX9&amp;id=989831478508&amp;categoryId=50023914")</f>
        <v>https://www.goofish.com/item?spm=a21ybx.personal.feeds.367.12e16ac2PYxLX9&amp;id=989831478508&amp;categoryId=50023914</v>
      </c>
    </row>
    <row r="110" spans="1:8" ht="25.5" customHeight="1">
      <c r="A110" t="s">
        <v>255</v>
      </c>
      <c r="B110">
        <v>163</v>
      </c>
      <c r="C110" t="s">
        <v>104</v>
      </c>
      <c r="D110" t="s">
        <v>13</v>
      </c>
      <c r="E110" t="s">
        <v>256</v>
      </c>
      <c r="F110" s="2" t="str">
        <f>HYPERLINK("http://img.alicdn.com/bao/uploaded/i1/O1CN01YecB551dZ5xN9hN1c_!!4611686018427387605-0-fleamarket.jpg_790x10000Q90.jpg_.webp", "img.alicdn.com/bao/uploaded/i1/O1CN01YecB551dZ5xN9hN1c_!!4611686018427387605-0-fleamarket.jpg_790x10000Q90.jpg_.webp")</f>
        <v>img.alicdn.com/bao/uploaded/i1/O1CN01YecB551dZ5xN9hN1c_!!4611686018427387605-0-fleamarket.jpg_790x10000Q90.jpg_.webp</v>
      </c>
      <c r="H110" s="2" t="str">
        <f>HYPERLINK("https://www.goofish.com/item?spm=a21ybx.personal.feeds.82.12e16ac2PYxLX9&amp;id=994980775877&amp;categoryId=50023914", "https://www.goofish.com/item?spm=a21ybx.personal.feeds.82.12e16ac2PYxLX9&amp;id=994980775877&amp;categoryId=50023914")</f>
        <v>https://www.goofish.com/item?spm=a21ybx.personal.feeds.82.12e16ac2PYxLX9&amp;id=994980775877&amp;categoryId=50023914</v>
      </c>
    </row>
    <row r="111" spans="1:8" ht="25.5" customHeight="1">
      <c r="A111" t="s">
        <v>257</v>
      </c>
      <c r="B111">
        <v>164</v>
      </c>
      <c r="C111" t="s">
        <v>104</v>
      </c>
      <c r="D111" t="s">
        <v>13</v>
      </c>
      <c r="E111" t="s">
        <v>258</v>
      </c>
      <c r="F111" s="2" t="str">
        <f>HYPERLINK("http://img.alicdn.com/bao/uploaded/i2/O1CN01J1o19L1dZ5wpSgARi_!!4611686018427387605-0-fleamarket.jpg_790x10000Q90.jpg_.webp", "img.alicdn.com/bao/uploaded/i2/O1CN01J1o19L1dZ5wpSgARi_!!4611686018427387605-0-fleamarket.jpg_790x10000Q90.jpg_.webp")</f>
        <v>img.alicdn.com/bao/uploaded/i2/O1CN01J1o19L1dZ5wpSgARi_!!4611686018427387605-0-fleamarket.jpg_790x10000Q90.jpg_.webp</v>
      </c>
      <c r="H111" s="2" t="str">
        <f>HYPERLINK("https://www.goofish.com/item?spm=a21ybx.personal.feeds.476.12e16ac2PYxLX9&amp;id=986224278767&amp;categoryId=50023914", "https://www.goofish.com/item?spm=a21ybx.personal.feeds.476.12e16ac2PYxLX9&amp;id=986224278767&amp;categoryId=50023914")</f>
        <v>https://www.goofish.com/item?spm=a21ybx.personal.feeds.476.12e16ac2PYxLX9&amp;id=986224278767&amp;categoryId=50023914</v>
      </c>
    </row>
    <row r="112" spans="1:8" ht="25.5" customHeight="1">
      <c r="A112" t="s">
        <v>259</v>
      </c>
      <c r="B112">
        <v>165</v>
      </c>
      <c r="C112" t="s">
        <v>104</v>
      </c>
      <c r="D112" t="s">
        <v>13</v>
      </c>
      <c r="E112" t="s">
        <v>260</v>
      </c>
      <c r="F112" s="2" t="str">
        <f>HYPERLINK("http://img.alicdn.com/bao/uploaded/i3/O1CN01Tf9s1R1dZ5wkQ9iZB_!!4611686018427387605-0-fleamarket.jpg_790x10000Q90.jpg_.webp", "img.alicdn.com/bao/uploaded/i3/O1CN01Tf9s1R1dZ5wkQ9iZB_!!4611686018427387605-0-fleamarket.jpg_790x10000Q90.jpg_.webp")</f>
        <v>img.alicdn.com/bao/uploaded/i3/O1CN01Tf9s1R1dZ5wkQ9iZB_!!4611686018427387605-0-fleamarket.jpg_790x10000Q90.jpg_.webp</v>
      </c>
      <c r="H112" s="2" t="str">
        <f>HYPERLINK("https://www.goofish.com/item?spm=a21ybx.personal.feeds.519.12e16ac2PYxLX9&amp;id=984358905461&amp;categoryId=50023914", "https://www.goofish.com/item?spm=a21ybx.personal.feeds.519.12e16ac2PYxLX9&amp;id=984358905461&amp;categoryId=50023914")</f>
        <v>https://www.goofish.com/item?spm=a21ybx.personal.feeds.519.12e16ac2PYxLX9&amp;id=984358905461&amp;categoryId=50023914</v>
      </c>
    </row>
    <row r="113" spans="1:8" ht="25.5" customHeight="1">
      <c r="A113" t="s">
        <v>261</v>
      </c>
      <c r="B113">
        <v>166</v>
      </c>
      <c r="C113" t="s">
        <v>104</v>
      </c>
      <c r="D113" t="s">
        <v>13</v>
      </c>
      <c r="E113" t="s">
        <v>262</v>
      </c>
      <c r="F113" s="2" t="str">
        <f>HYPERLINK("http://img.alicdn.com/bao/uploaded/i1/O1CN01qSBRA01dZ5xKmsXp0_!!4611686018427387605-0-fleamarket.jpg_790x10000Q90.jpg_.webp", "img.alicdn.com/bao/uploaded/i1/O1CN01qSBRA01dZ5xKmsXp0_!!4611686018427387605-0-fleamarket.jpg_790x10000Q90.jpg_.webp")</f>
        <v>img.alicdn.com/bao/uploaded/i1/O1CN01qSBRA01dZ5xKmsXp0_!!4611686018427387605-0-fleamarket.jpg_790x10000Q90.jpg_.webp</v>
      </c>
      <c r="H113" s="2" t="str">
        <f>HYPERLINK("https://www.goofish.com/item?spm=a21ybx.personal.feeds.146.12e16ac2PYxLX9&amp;id=994107443561&amp;categoryId=50023914", "https://www.goofish.com/item?spm=a21ybx.personal.feeds.146.12e16ac2PYxLX9&amp;id=994107443561&amp;categoryId=50023914")</f>
        <v>https://www.goofish.com/item?spm=a21ybx.personal.feeds.146.12e16ac2PYxLX9&amp;id=994107443561&amp;categoryId=50023914</v>
      </c>
    </row>
    <row r="114" spans="1:8" ht="25.5" customHeight="1">
      <c r="A114" t="s">
        <v>263</v>
      </c>
      <c r="B114">
        <v>167</v>
      </c>
      <c r="C114" t="s">
        <v>104</v>
      </c>
      <c r="D114" t="s">
        <v>13</v>
      </c>
      <c r="E114" t="s">
        <v>264</v>
      </c>
      <c r="F114" s="2" t="str">
        <f>HYPERLINK("http://img.alicdn.com/bao/uploaded/i1/O1CN01f6arXb1dZ5wxmGhqe_!!4611686018427387605-0-fleamarket.jpg_790x10000Q90.jpg_.webp", "img.alicdn.com/bao/uploaded/i1/O1CN01f6arXb1dZ5wxmGhqe_!!4611686018427387605-0-fleamarket.jpg_790x10000Q90.jpg_.webp")</f>
        <v>img.alicdn.com/bao/uploaded/i1/O1CN01f6arXb1dZ5wxmGhqe_!!4611686018427387605-0-fleamarket.jpg_790x10000Q90.jpg_.webp</v>
      </c>
      <c r="H114" s="2" t="str">
        <f>HYPERLINK("https://www.goofish.com/item?spm=a21ybx.personal.feeds.426.12e16ac2PYxLX9&amp;id=989101033032&amp;categoryId=50023914", "https://www.goofish.com/item?spm=a21ybx.personal.feeds.426.12e16ac2PYxLX9&amp;id=989101033032&amp;categoryId=50023914")</f>
        <v>https://www.goofish.com/item?spm=a21ybx.personal.feeds.426.12e16ac2PYxLX9&amp;id=989101033032&amp;categoryId=50023914</v>
      </c>
    </row>
    <row r="115" spans="1:8" ht="25.5" customHeight="1">
      <c r="A115" t="s">
        <v>265</v>
      </c>
      <c r="B115">
        <v>168</v>
      </c>
      <c r="C115" t="s">
        <v>104</v>
      </c>
      <c r="D115" t="s">
        <v>13</v>
      </c>
      <c r="E115" t="s">
        <v>266</v>
      </c>
      <c r="F115" s="2" t="str">
        <f>HYPERLINK("http://img.alicdn.com/bao/uploaded/i4/O1CN01ytCfAV1dZ5wkvtnMF_!!4611686018427387605-0-fleamarket.jpg_790x10000Q90.jpg_.webp", "img.alicdn.com/bao/uploaded/i4/O1CN01ytCfAV1dZ5wkvtnMF_!!4611686018427387605-0-fleamarket.jpg_790x10000Q90.jpg_.webp")</f>
        <v>img.alicdn.com/bao/uploaded/i4/O1CN01ytCfAV1dZ5wkvtnMF_!!4611686018427387605-0-fleamarket.jpg_790x10000Q90.jpg_.webp</v>
      </c>
      <c r="H115" s="2" t="str">
        <f>HYPERLINK("https://www.goofish.com/item?spm=a21ybx.personal.feeds.501.12e16ac2PYxLX9&amp;id=985525496873&amp;categoryId=50023914", "https://www.goofish.com/item?spm=a21ybx.personal.feeds.501.12e16ac2PYxLX9&amp;id=985525496873&amp;categoryId=50023914")</f>
        <v>https://www.goofish.com/item?spm=a21ybx.personal.feeds.501.12e16ac2PYxLX9&amp;id=985525496873&amp;categoryId=50023914</v>
      </c>
    </row>
    <row r="116" spans="1:8" ht="25.5" customHeight="1">
      <c r="A116" t="s">
        <v>267</v>
      </c>
      <c r="B116">
        <v>169</v>
      </c>
      <c r="C116" t="s">
        <v>104</v>
      </c>
      <c r="D116" t="s">
        <v>13</v>
      </c>
      <c r="E116" t="s">
        <v>268</v>
      </c>
      <c r="F116" s="2" t="str">
        <f>HYPERLINK("http://img.alicdn.com/bao/uploaded/i1/O1CN01aedjLd1dZ5xLsjsZx_!!4611686018427387605-0-fleamarket.jpg_790x10000Q90.jpg_.webp", "img.alicdn.com/bao/uploaded/i1/O1CN01aedjLd1dZ5xLsjsZx_!!4611686018427387605-0-fleamarket.jpg_790x10000Q90.jpg_.webp")</f>
        <v>img.alicdn.com/bao/uploaded/i1/O1CN01aedjLd1dZ5xLsjsZx_!!4611686018427387605-0-fleamarket.jpg_790x10000Q90.jpg_.webp</v>
      </c>
      <c r="H116" s="2" t="str">
        <f>HYPERLINK("https://www.goofish.com/item?spm=a21ybx.personal.feeds.127.12e16ac2PYxLX9&amp;id=994960374702&amp;categoryId=50023914", "https://www.goofish.com/item?spm=a21ybx.personal.feeds.127.12e16ac2PYxLX9&amp;id=994960374702&amp;categoryId=50023914")</f>
        <v>https://www.goofish.com/item?spm=a21ybx.personal.feeds.127.12e16ac2PYxLX9&amp;id=994960374702&amp;categoryId=50023914</v>
      </c>
    </row>
    <row r="117" spans="1:8" ht="25.5" customHeight="1">
      <c r="A117" t="s">
        <v>269</v>
      </c>
      <c r="B117">
        <v>170</v>
      </c>
      <c r="C117" t="s">
        <v>104</v>
      </c>
      <c r="D117" t="s">
        <v>13</v>
      </c>
      <c r="E117" t="s">
        <v>270</v>
      </c>
      <c r="F117" s="2" t="str">
        <f>HYPERLINK("http://img.alicdn.com/bao/uploaded/i3/O1CN01yCvXfY1dZ5wznTLhN_!!4611686018427387605-0-fleamarket.jpg_790x10000Q90.jpg_.webp", "img.alicdn.com/bao/uploaded/i3/O1CN01yCvXfY1dZ5wznTLhN_!!4611686018427387605-0-fleamarket.jpg_790x10000Q90.jpg_.webp")</f>
        <v>img.alicdn.com/bao/uploaded/i3/O1CN01yCvXfY1dZ5wznTLhN_!!4611686018427387605-0-fleamarket.jpg_790x10000Q90.jpg_.webp</v>
      </c>
      <c r="H117" s="2" t="str">
        <f>HYPERLINK("https://www.goofish.com/item?spm=a21ybx.personal.feeds.397.12e16ac2PYxLX9&amp;id=989991817946&amp;categoryId=50023914", "https://www.goofish.com/item?spm=a21ybx.personal.feeds.397.12e16ac2PYxLX9&amp;id=989991817946&amp;categoryId=50023914")</f>
        <v>https://www.goofish.com/item?spm=a21ybx.personal.feeds.397.12e16ac2PYxLX9&amp;id=989991817946&amp;categoryId=50023914</v>
      </c>
    </row>
    <row r="118" spans="1:8" ht="25.5" customHeight="1">
      <c r="A118" t="s">
        <v>271</v>
      </c>
      <c r="B118">
        <v>171</v>
      </c>
      <c r="C118" t="s">
        <v>104</v>
      </c>
      <c r="D118" t="s">
        <v>13</v>
      </c>
      <c r="E118" t="s">
        <v>272</v>
      </c>
      <c r="F118" s="2" t="str">
        <f>HYPERLINK("http://img.alicdn.com/bao/uploaded/i4/O1CN01Z3fGC41dZ5xKbLfqc_!!4611686018427387605-0-fleamarket.jpg_790x10000Q90.jpg_.webp", "img.alicdn.com/bao/uploaded/i4/O1CN01Z3fGC41dZ5xKbLfqc_!!4611686018427387605-0-fleamarket.jpg_790x10000Q90.jpg_.webp")</f>
        <v>img.alicdn.com/bao/uploaded/i4/O1CN01Z3fGC41dZ5xKbLfqc_!!4611686018427387605-0-fleamarket.jpg_790x10000Q90.jpg_.webp</v>
      </c>
      <c r="H118" s="2" t="str">
        <f>HYPERLINK("https://www.goofish.com/item?spm=a21ybx.personal.feeds.151.12e16ac2PYxLX9&amp;id=994379570043&amp;categoryId=50023914", "https://www.goofish.com/item?spm=a21ybx.personal.feeds.151.12e16ac2PYxLX9&amp;id=994379570043&amp;categoryId=50023914")</f>
        <v>https://www.goofish.com/item?spm=a21ybx.personal.feeds.151.12e16ac2PYxLX9&amp;id=994379570043&amp;categoryId=50023914</v>
      </c>
    </row>
    <row r="119" spans="1:8" ht="25.5" customHeight="1">
      <c r="A119" t="s">
        <v>273</v>
      </c>
      <c r="B119">
        <v>172</v>
      </c>
      <c r="C119" t="s">
        <v>104</v>
      </c>
      <c r="D119" t="s">
        <v>13</v>
      </c>
      <c r="E119" t="s">
        <v>274</v>
      </c>
      <c r="F119" s="2" t="str">
        <f>HYPERLINK("http://img.alicdn.com/bao/uploaded/i3/O1CN01umSjMF1dZ5wkMBkjT_!!4611686018427387605-0-fleamarket.jpg_790x10000Q90.jpg_.webp", "img.alicdn.com/bao/uploaded/i3/O1CN01umSjMF1dZ5wkMBkjT_!!4611686018427387605-0-fleamarket.jpg_790x10000Q90.jpg_.webp")</f>
        <v>img.alicdn.com/bao/uploaded/i3/O1CN01umSjMF1dZ5wkMBkjT_!!4611686018427387605-0-fleamarket.jpg_790x10000Q90.jpg_.webp</v>
      </c>
      <c r="H119" s="2" t="str">
        <f>HYPERLINK("https://www.goofish.com/item?spm=a21ybx.personal.feeds.503.12e16ac2PYxLX9&amp;id=985524880575&amp;categoryId=50023914", "https://www.goofish.com/item?spm=a21ybx.personal.feeds.503.12e16ac2PYxLX9&amp;id=985524880575&amp;categoryId=50023914")</f>
        <v>https://www.goofish.com/item?spm=a21ybx.personal.feeds.503.12e16ac2PYxLX9&amp;id=985524880575&amp;categoryId=50023914</v>
      </c>
    </row>
    <row r="120" spans="1:8" ht="25.5" customHeight="1">
      <c r="A120" t="s">
        <v>275</v>
      </c>
      <c r="B120">
        <v>173</v>
      </c>
      <c r="C120" t="s">
        <v>104</v>
      </c>
      <c r="D120" t="s">
        <v>13</v>
      </c>
      <c r="E120" t="s">
        <v>276</v>
      </c>
      <c r="F120" s="2" t="str">
        <f>HYPERLINK("http://img.alicdn.com/bao/uploaded/i3/O1CN01tT1of61dZ5wkTpKIx_!!4611686018427387605-0-fleamarket.jpg_790x10000Q90.jpg_.webp", "img.alicdn.com/bao/uploaded/i3/O1CN01tT1of61dZ5wkTpKIx_!!4611686018427387605-0-fleamarket.jpg_790x10000Q90.jpg_.webp")</f>
        <v>img.alicdn.com/bao/uploaded/i3/O1CN01tT1of61dZ5wkTpKIx_!!4611686018427387605-0-fleamarket.jpg_790x10000Q90.jpg_.webp</v>
      </c>
      <c r="H120" s="2" t="str">
        <f>HYPERLINK("https://www.goofish.com/item?spm=a21ybx.personal.feeds.505.12e16ac2PYxLX9&amp;id=983568003573&amp;categoryId=50023914", "https://www.goofish.com/item?spm=a21ybx.personal.feeds.505.12e16ac2PYxLX9&amp;id=983568003573&amp;categoryId=50023914")</f>
        <v>https://www.goofish.com/item?spm=a21ybx.personal.feeds.505.12e16ac2PYxLX9&amp;id=983568003573&amp;categoryId=50023914</v>
      </c>
    </row>
    <row r="121" spans="1:8" ht="25.5" customHeight="1">
      <c r="A121" t="s">
        <v>277</v>
      </c>
      <c r="B121">
        <v>174</v>
      </c>
      <c r="C121" t="s">
        <v>104</v>
      </c>
      <c r="D121" t="s">
        <v>13</v>
      </c>
      <c r="E121" t="s">
        <v>278</v>
      </c>
      <c r="F121" s="2" t="str">
        <f>HYPERLINK("http://img.alicdn.com/bao/uploaded/i1/O1CN01k8qEDF1dZ5wxw7oSG_!!4611686018427387605-0-fleamarket.jpg_790x10000Q90.jpg_.webp", "img.alicdn.com/bao/uploaded/i1/O1CN01k8qEDF1dZ5wxw7oSG_!!4611686018427387605-0-fleamarket.jpg_790x10000Q90.jpg_.webp")</f>
        <v>img.alicdn.com/bao/uploaded/i1/O1CN01k8qEDF1dZ5wxw7oSG_!!4611686018427387605-0-fleamarket.jpg_790x10000Q90.jpg_.webp</v>
      </c>
      <c r="H121" s="2" t="str">
        <f>HYPERLINK("https://www.goofish.com/item?spm=a21ybx.personal.feeds.416.12e16ac2PYxLX9&amp;id=989296193820&amp;categoryId=50023914", "https://www.goofish.com/item?spm=a21ybx.personal.feeds.416.12e16ac2PYxLX9&amp;id=989296193820&amp;categoryId=50023914")</f>
        <v>https://www.goofish.com/item?spm=a21ybx.personal.feeds.416.12e16ac2PYxLX9&amp;id=989296193820&amp;categoryId=50023914</v>
      </c>
    </row>
    <row r="122" spans="1:8" ht="25.5" customHeight="1">
      <c r="A122" t="s">
        <v>279</v>
      </c>
      <c r="B122">
        <v>175</v>
      </c>
      <c r="C122" t="s">
        <v>104</v>
      </c>
      <c r="D122" t="s">
        <v>13</v>
      </c>
      <c r="E122" t="s">
        <v>280</v>
      </c>
      <c r="F122" s="2" t="str">
        <f>HYPERLINK("http://img.alicdn.com/bao/uploaded/i2/O1CN01eqinHG1dZ5xBHBCCj_!!4611686018427387605-0-fleamarket.jpg_790x10000Q90.jpg_.webp", "img.alicdn.com/bao/uploaded/i2/O1CN01eqinHG1dZ5xBHBCCj_!!4611686018427387605-0-fleamarket.jpg_790x10000Q90.jpg_.webp")</f>
        <v>img.alicdn.com/bao/uploaded/i2/O1CN01eqinHG1dZ5xBHBCCj_!!4611686018427387605-0-fleamarket.jpg_790x10000Q90.jpg_.webp</v>
      </c>
      <c r="H122" s="2" t="str">
        <f>HYPERLINK("https://www.goofish.com/item?spm=a21ybx.personal.feeds.302.12e16ac2PYxLX9&amp;id=992027734857&amp;categoryId=50023914", "https://www.goofish.com/item?spm=a21ybx.personal.feeds.302.12e16ac2PYxLX9&amp;id=992027734857&amp;categoryId=50023914")</f>
        <v>https://www.goofish.com/item?spm=a21ybx.personal.feeds.302.12e16ac2PYxLX9&amp;id=992027734857&amp;categoryId=50023914</v>
      </c>
    </row>
    <row r="123" spans="1:8" ht="409.6">
      <c r="A123">
        <v>111</v>
      </c>
      <c r="B123">
        <v>176</v>
      </c>
      <c r="E123" s="3" t="s">
        <v>281</v>
      </c>
      <c r="F123" s="4" t="s">
        <v>282</v>
      </c>
    </row>
  </sheetData>
  <phoneticPr fontId="4" type="noConversion"/>
  <dataValidations count="1">
    <dataValidation type="list" sqref="D2:D121" xr:uid="{00000000-0002-0000-0000-000000000000}">
      <formula1>"是,否"</formula1>
    </dataValidation>
  </dataValidations>
  <hyperlinks>
    <hyperlink ref="F123" r:id="rId1" xr:uid="{EF4F166F-6342-4C9A-9D1D-76756D9299C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1</vt:i4>
      </vt:variant>
    </vt:vector>
  </HeadingPairs>
  <TitlesOfParts>
    <vt:vector size="1" baseType="lpstr">
      <vt:lpstr>资源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2026-01-02T09:34:08Z</dcterms:modified>
</cp:coreProperties>
</file>