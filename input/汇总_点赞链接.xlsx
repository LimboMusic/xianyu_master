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点赞链接"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3">
    <font>
      <sz val="11"/>
      <color theme="1"/>
      <name val="DengXian"/>
      <family val="2"/>
    </font>
    <font>
      <sz val="10"/>
      <color/>
      <name val="Calibri"/>
      <family val="2"/>
    </font>
    <font>
      <u val="single"/>
      <sz val="11"/>
      <color rgb="FF0000FF"/>
      <name val="DengXian"/>
      <family val="2"/>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true" applyAlignment="true">
      <alignment vertical="center"/>
    </xf>
    <xf numFmtId="0" fontId="2" fillId="0" borderId="0" xfId="0" applyFont="true" applyAlignment="false">
      <alignment/>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s>
  <sheetData>
    <row r="1" ht="13" customHeight="1">
      <c r="A1" s="1" t="inlineStr">
        <is>
          <t>编号</t>
        </is>
      </c>
      <c r="B1" s="1" t="inlineStr">
        <is>
          <t>接龙信息</t>
        </is>
      </c>
    </row>
    <row r="2" ht="25.5" customHeight="1">
      <c r="A2">
        <v>765</v>
      </c>
      <c r="B2" s="2" t="str">
        <f>=HYPERLINK("https://m.tb.cn/h.7g1D4Ja?tk=CCoJfztI0sG", "https://m.tb.cn/h.7g1D4Ja?tk=CCoJfztI0sG")</f>
        <v>https://m.tb.cn/h.7g1D4Ja?tk=CCoJfztI0sG</v>
      </c>
    </row>
    <row r="3" ht="25.5" customHeight="1">
      <c r="A3">
        <v>766</v>
      </c>
      <c r="B3" s="2" t="str">
        <f>=HYPERLINK("https://m.tb.cn/h.7gc09Mm?tk=2lIJfztvyjv", "https://m.tb.cn/h.7gc09Mm?tk=2lIJfztvyjv")</f>
        <v>https://m.tb.cn/h.7gc09Mm?tk=2lIJfztvyjv</v>
      </c>
    </row>
    <row r="4" ht="25.5" customHeight="1">
      <c r="A4">
        <v>767</v>
      </c>
      <c r="B4" s="2" t="str">
        <f>=HYPERLINK("https://m.tb.cn/h.7gmqsSG?tk=bLgffztyOSG", "https://m.tb.cn/h.7gmqsSG?tk=bLgffztyOSG")</f>
        <v>https://m.tb.cn/h.7gmqsSG?tk=bLgffztyOSG</v>
      </c>
    </row>
    <row r="5" ht="25.5" customHeight="1">
      <c r="A5">
        <v>768</v>
      </c>
      <c r="B5" s="2" t="str">
        <f>=HYPERLINK("https://m.tb.cn/h.7gmIPMj?tk=hw20fztzMCO", "https://m.tb.cn/h.7gmIPMj?tk=hw20fztzMCO")</f>
        <v>https://m.tb.cn/h.7gmIPMj?tk=hw20fztzMCO</v>
      </c>
    </row>
    <row r="6" ht="25.5" customHeight="1">
      <c r="A6">
        <v>769</v>
      </c>
      <c r="B6" s="2" t="str">
        <f>=HYPERLINK("https://m.tb.cn/h.7gD2gpa?tk=FfcRfzGcmxo", "https://m.tb.cn/h.7gD2gpa?tk=FfcRfzGcmxo")</f>
        <v>https://m.tb.cn/h.7gD2gpa?tk=FfcRfzGcmxo</v>
      </c>
    </row>
    <row r="7" ht="25.5" customHeight="1">
      <c r="A7">
        <v>770</v>
      </c>
      <c r="B7" s="2" t="str">
        <f>=HYPERLINK("https://m.tb.cn/h.7gmx3ii?tk=V6NRfzG3gmd", "https://m.tb.cn/h.7gmx3ii?tk=V6NRfzG3gmd")</f>
        <v>https://m.tb.cn/h.7gmx3ii?tk=V6NRfzG3gmd</v>
      </c>
    </row>
    <row r="8" ht="25.5" customHeight="1">
      <c r="A8">
        <v>771</v>
      </c>
      <c r="B8" s="2" t="str">
        <f>=HYPERLINK("https://m.tb.cn/h.7gcnLZ1?tk=Os0qfzG718D", "https://m.tb.cn/h.7gcnLZ1?tk=Os0qfzG718D")</f>
        <v>https://m.tb.cn/h.7gcnLZ1?tk=Os0qfzG718D</v>
      </c>
    </row>
    <row r="9" ht="25.5" customHeight="1">
      <c r="A9">
        <v>772</v>
      </c>
      <c r="B9" s="2" t="str">
        <f>=HYPERLINK("https://m.tb.cn/h.7gcpkkb?tk=ZaK3fzG8rCn", "https://m.tb.cn/h.7gcpkkb?tk=ZaK3fzG8rCn")</f>
        <v>https://m.tb.cn/h.7gcpkkb?tk=ZaK3fzG8rCn</v>
      </c>
    </row>
    <row r="10" ht="25.5" customHeight="1">
      <c r="A10">
        <v>773</v>
      </c>
      <c r="B10" s="2" t="str">
        <f>=HYPERLINK("https://m.tb.cn/h.7gDoafX?tk=0DFEfzGNqon", "https://m.tb.cn/h.7gDoafX?tk=0DFEfzGNqon")</f>
        <v>https://m.tb.cn/h.7gDoafX?tk=0DFEfzGNqon</v>
      </c>
    </row>
    <row r="11" ht="25.5" customHeight="1">
      <c r="A11">
        <v>774</v>
      </c>
      <c r="B11" s="2" t="str">
        <f>=HYPERLINK("https://m.tb.cn/h.7gcFdbd?tk=wND6fzGMNNe", "https://m.tb.cn/h.7gcFdbd?tk=wND6fzGMNNe")</f>
        <v>https://m.tb.cn/h.7gcFdbd?tk=wND6fzGMNNe</v>
      </c>
    </row>
    <row r="12" ht="25.5" customHeight="1">
      <c r="A12">
        <v>775</v>
      </c>
      <c r="B12" s="2" t="str">
        <f>=HYPERLINK("https://m.tb.cn/h.7gN8Yb8?tk=NB4RfzGK6s8", "https://m.tb.cn/h.7gN8Yb8?tk=NB4RfzGK6s8")</f>
        <v>https://m.tb.cn/h.7gN8Yb8?tk=NB4RfzGK6s8</v>
      </c>
    </row>
    <row r="13" ht="25.5" customHeight="1">
      <c r="A13">
        <v>776</v>
      </c>
      <c r="B13" s="2" t="str">
        <f>=HYPERLINK("https://m.tb.cn/h.7gDxmBQ?tk=I0Q8fzGvHOU", "https://m.tb.cn/h.7gDxmBQ?tk=I0Q8fzGvHOU")</f>
        <v>https://m.tb.cn/h.7gDxmBQ?tk=I0Q8fzGvHOU</v>
      </c>
    </row>
    <row r="14" ht="25.5" customHeight="1">
      <c r="A14">
        <v>777</v>
      </c>
      <c r="B14" s="2" t="str">
        <f>=HYPERLINK("https://m.tb.cn/h.7gxXN73?tk=OxoffzubEdo", "https://m.tb.cn/h.7gxXN73?tk=OxoffzubEdo")</f>
        <v>https://m.tb.cn/h.7gxXN73?tk=OxoffzubEdo</v>
      </c>
    </row>
    <row r="15" ht="25.5" customHeight="1">
      <c r="A15">
        <v>778</v>
      </c>
      <c r="B15" s="2" t="str">
        <f>=HYPERLINK("https://m.tb.cn/h.7gx2Fco?tk=6lnafzu1jLX", "https://m.tb.cn/h.7gx2Fco?tk=6lnafzu1jLX")</f>
        <v>https://m.tb.cn/h.7gx2Fco?tk=6lnafzu1jLX</v>
      </c>
    </row>
    <row r="16" ht="25.5" customHeight="1">
      <c r="A16">
        <v>779</v>
      </c>
      <c r="B16" s="2" t="str">
        <f>=HYPERLINK("https://m.tb.cn/h.7gOXuyP?tk=uGvzfzHhpgq", "https://m.tb.cn/h.7gOXuyP?tk=uGvzfzHhpgq")</f>
        <v>https://m.tb.cn/h.7gOXuyP?tk=uGvzfzHhpgq</v>
      </c>
    </row>
    <row r="17" ht="25.5" customHeight="1">
      <c r="A17">
        <v>780</v>
      </c>
      <c r="B17" s="2" t="str">
        <f>=HYPERLINK("https://m.tb.cn/h.7TIBvyB?tk=RR5PfzHQkwQ", "https://m.tb.cn/h.7TIBvyB?tk=RR5PfzHQkwQ")</f>
        <v>https://m.tb.cn/h.7TIBvyB?tk=RR5PfzHQkwQ</v>
      </c>
    </row>
    <row r="18" ht="25.5" customHeight="1">
      <c r="A18">
        <v>781</v>
      </c>
      <c r="B18" s="2" t="str">
        <f>=HYPERLINK("https://m.tb.cn/h.7gOSHSj?tk=QHYwfzHMZeZ", "https://m.tb.cn/h.7gOSHSj?tk=QHYwfzHMZeZ")</f>
        <v>https://m.tb.cn/h.7gOSHSj?tk=QHYwfzHMZeZ</v>
      </c>
    </row>
    <row r="19" ht="25.5" customHeight="1">
      <c r="A19">
        <v>782</v>
      </c>
      <c r="B19" s="2" t="str">
        <f>=HYPERLINK("https://m.tb.cn/h.7gELdOH?tk=jx84fzHnw6W", "https://m.tb.cn/h.7gELdOH?tk=jx84fzHnw6W")</f>
        <v>https://m.tb.cn/h.7gELdOH?tk=jx84fzHnw6W</v>
      </c>
    </row>
    <row r="20" ht="25.5" customHeight="1">
      <c r="A20">
        <v>783</v>
      </c>
      <c r="B20" s="2" t="str">
        <f>=HYPERLINK("https://m.tb.cn/h.7gO7nld?tk=xqYbfzHnIuH", "https://m.tb.cn/h.7gO7nld?tk=xqYbfzHnIuH")</f>
        <v>https://m.tb.cn/h.7gO7nld?tk=xqYbfzHnIuH</v>
      </c>
    </row>
    <row r="21" ht="25.5" customHeight="1">
      <c r="A21">
        <v>784</v>
      </c>
      <c r="B21" s="2" t="str">
        <f>=HYPERLINK("https://m.tb.cn/h.7gOiMzk?tk=2KFlfzHLSS7", "https://m.tb.cn/h.7gOiMzk?tk=2KFlfzHLSS7")</f>
        <v>https://m.tb.cn/h.7gOiMzk?tk=2KFlfzHLSS7</v>
      </c>
    </row>
    <row r="22" ht="25.5" customHeight="1">
      <c r="A22">
        <v>785</v>
      </c>
      <c r="B22" s="2" t="str">
        <f>=HYPERLINK("https://m.tb.cn/h.7gYGyxL?tk=dbytfzHLuNY", "https://m.tb.cn/h.7gYGyxL?tk=dbytfzHLuNY")</f>
        <v>https://m.tb.cn/h.7gYGyxL?tk=dbytfzHLuNY</v>
      </c>
    </row>
    <row r="23" ht="25.5" customHeight="1">
      <c r="A23">
        <v>786</v>
      </c>
      <c r="B23" s="2" t="str">
        <f>=HYPERLINK("https://m.tb.cn/h.75toHUb?tk=aYxBfz9laD9", "https://m.tb.cn/h.75toHUb?tk=aYxBfz9laD9")</f>
        <v>https://m.tb.cn/h.75toHUb?tk=aYxBfz9laD9</v>
      </c>
    </row>
    <row r="24" ht="25.5" customHeight="1">
      <c r="A24">
        <v>787</v>
      </c>
      <c r="B24" s="2" t="str">
        <f>=HYPERLINK("https://m.tb.cn/h.7TsT6DW?tk=GzUefzHGgEV", "https://m.tb.cn/h.7TsT6DW?tk=GzUefzHGgEV")</f>
        <v>https://m.tb.cn/h.7TsT6DW?tk=GzUefzHGgEV</v>
      </c>
    </row>
    <row r="25" ht="25.5" customHeight="1">
      <c r="A25">
        <v>788</v>
      </c>
      <c r="B25" s="2" t="str">
        <f>=HYPERLINK("https://m.tb.cn/h.7TshH66?tk=mpTvfzHGvlu", "https://m.tb.cn/h.7TshH66?tk=mpTvfzHGvlu")</f>
        <v>https://m.tb.cn/h.7TshH66?tk=mpTvfzHGvlu</v>
      </c>
    </row>
    <row r="26" ht="25.5" customHeight="1">
      <c r="A26">
        <v>789</v>
      </c>
      <c r="B26" s="2" t="str">
        <f>=HYPERLINK("https://m.tb.cn/h.7TsjN2A?tk=3hEJfzHCXmS", "https://m.tb.cn/h.7TsjN2A?tk=3hEJfzHCXmS")</f>
        <v>https://m.tb.cn/h.7TsjN2A?tk=3hEJfzHCXmS</v>
      </c>
    </row>
    <row r="27" ht="25.5" customHeight="1">
      <c r="A27">
        <v>790</v>
      </c>
      <c r="B27" s="2" t="str">
        <f>=HYPERLINK("https://m.tb.cn/h.7gODAhE?tk=t8V6fztX34F", "https://m.tb.cn/h.7gODAhE?tk=t8V6fztX34F")</f>
        <v>https://m.tb.cn/h.7gODAhE?tk=t8V6fztX34F</v>
      </c>
    </row>
    <row r="28" ht="25.5" customHeight="1">
      <c r="A28">
        <v>791</v>
      </c>
      <c r="B28" s="2" t="str">
        <f>=HYPERLINK("https://m.tb.cn/h.7TsKbyi?tk=PZdxfztXOMm", "https://m.tb.cn/h.7TsKbyi?tk=PZdxfztXOMm")</f>
        <v>https://m.tb.cn/h.7TsKbyi?tk=PZdxfztXOMm</v>
      </c>
    </row>
    <row r="29" ht="25.5" customHeight="1">
      <c r="A29">
        <v>792</v>
      </c>
      <c r="B29" s="2" t="str">
        <f>=HYPERLINK("https://m.tb.cn/h.7gwoWgV?tk=RMSMfztNEIo", "https://m.tb.cn/h.7gwoWgV?tk=RMSMfztNEIo")</f>
        <v>https://m.tb.cn/h.7gwoWgV?tk=RMSMfztNEIo</v>
      </c>
    </row>
    <row r="30" ht="25.5" customHeight="1">
      <c r="A30">
        <v>793</v>
      </c>
      <c r="B30" s="2" t="str">
        <f>=HYPERLINK("https://m.tb.cn/h.7gPbFB3?tk=0uoTfzI5x6O", "https://m.tb.cn/h.7gPbFB3?tk=0uoTfzI5x6O")</f>
        <v>https://m.tb.cn/h.7gPbFB3?tk=0uoTfzI5x6O</v>
      </c>
    </row>
    <row r="31" ht="25.5" customHeight="1">
      <c r="A31">
        <v>794</v>
      </c>
      <c r="B31" s="2" t="str">
        <f>=HYPERLINK("https://m.tb.cn/h.7gPY8h3?tk=oNRwfzITB2J", "https://m.tb.cn/h.7gPY8h3?tk=oNRwfzITB2J")</f>
        <v>https://m.tb.cn/h.7gPY8h3?tk=oNRwfzITB2J</v>
      </c>
    </row>
    <row r="32" ht="25.5" customHeight="1">
      <c r="A32">
        <v>795</v>
      </c>
      <c r="B32" s="2" t="str">
        <f>=HYPERLINK("https://m.tb.cn/h.7gFhfLd?tk=t5znfzITsJT", "https://m.tb.cn/h.7gFhfLd?tk=t5znfzITsJT")</f>
        <v>https://m.tb.cn/h.7gFhfLd?tk=t5znfzITsJT</v>
      </c>
    </row>
    <row r="33" ht="25.5" customHeight="1">
      <c r="A33">
        <v>796</v>
      </c>
      <c r="B33" s="2" t="str">
        <f>=HYPERLINK("https://m.tb.cn/h.7TJv3eZ?tk=0ouyfzISS2X", "https://m.tb.cn/h.7TJv3eZ?tk=0ouyfzISS2X")</f>
        <v>https://m.tb.cn/h.7TJv3eZ?tk=0ouyfzISS2X</v>
      </c>
    </row>
    <row r="34" ht="25.5" customHeight="1">
      <c r="A34">
        <v>797</v>
      </c>
      <c r="B34" s="2" t="str">
        <f>=HYPERLINK("https://m.tb.cn/h.7gFqufG?tk=BKPBfzILSe9", "https://m.tb.cn/h.7gFqufG?tk=BKPBfzILSe9")</f>
        <v>https://m.tb.cn/h.7gFqufG?tk=BKPBfzILSe9</v>
      </c>
    </row>
    <row r="35" ht="25.5" customHeight="1">
      <c r="A35">
        <v>798</v>
      </c>
      <c r="B35" s="2" t="str">
        <f>=HYPERLINK("https://m.tb.cn/h.7Tr55rq?tk=BnLBfzIGc9E", "https://m.tb.cn/h.7Tr55rq?tk=BnLBfzIGc9E")</f>
        <v>https://m.tb.cn/h.7Tr55rq?tk=BnLBfzIGc9E</v>
      </c>
    </row>
    <row r="36" ht="25.5" customHeight="1">
      <c r="A36">
        <v>799</v>
      </c>
      <c r="B36" s="2" t="str">
        <f>=HYPERLINK("https://m.tb.cn/h.7gPnuCV?tk=OOAefzIvnId", "https://m.tb.cn/h.7gPnuCV?tk=OOAefzIvnId")</f>
        <v>https://m.tb.cn/h.7gPnuCV?tk=OOAefzIvnId</v>
      </c>
    </row>
    <row r="37" ht="25.5" customHeight="1">
      <c r="A37">
        <v>800</v>
      </c>
      <c r="B37" s="2" t="str">
        <f>=HYPERLINK("https://m.tb.cn/h.7gbbSeF?tk=XCPDfzIE8kV", "https://m.tb.cn/h.7gbbSeF?tk=XCPDfzIE8kV")</f>
        <v>https://m.tb.cn/h.7gbbSeF?tk=XCPDfzIE8kV</v>
      </c>
    </row>
    <row r="38" ht="25.5" customHeight="1">
      <c r="A38">
        <v>801</v>
      </c>
      <c r="B38" s="2" t="str">
        <f>=HYPERLINK("https://m.tb.cn/h.7gvUIuV?tk=J3uVfzs4uLx", "https://m.tb.cn/h.7gvUIuV?tk=J3uVfzs4uLx")</f>
        <v>https://m.tb.cn/h.7gvUIuV?tk=J3uVfzs4uLx</v>
      </c>
    </row>
    <row r="39" ht="25.5" customHeight="1">
      <c r="A39">
        <v>802</v>
      </c>
      <c r="B39" s="2" t="str">
        <f>=HYPERLINK("https://m.tb.cn/h.7gl22N3?tk=LIZdfzs7p1F", "https://m.tb.cn/h.7gl22N3?tk=LIZdfzs7p1F")</f>
        <v>https://m.tb.cn/h.7gl22N3?tk=LIZdfzs7p1F</v>
      </c>
    </row>
    <row r="40" ht="25.5" customHeight="1">
      <c r="A40">
        <v>803</v>
      </c>
      <c r="B40" s="2" t="str">
        <f>=HYPERLINK("https://m.tb.cn/h.7gvxUgg?tk=BD3yfzsE688", "https://m.tb.cn/h.7gvxUgg?tk=BD3yfzsE688")</f>
        <v>https://m.tb.cn/h.7gvxUgg?tk=BD3yfzsE688</v>
      </c>
    </row>
    <row r="41" ht="25.5" customHeight="1">
      <c r="A41">
        <v>804</v>
      </c>
      <c r="B41" s="2" t="str">
        <f>=HYPERLINK("https://m.tb.cn/h.7TIhP8S?tk=6CiXfzsEoWr", "https://m.tb.cn/h.7TIhP8S?tk=6CiXfzsEoWr")</f>
        <v>https://m.tb.cn/h.7TIhP8S?tk=6CiXfzsEoWr</v>
      </c>
    </row>
    <row r="42" ht="25.5" customHeight="1">
      <c r="A42">
        <v>805</v>
      </c>
      <c r="B42" s="2" t="str">
        <f>=HYPERLINK("https://m.tb.cn/h.7gY4EGv?tk=xVLSfzHYGLy", "https://m.tb.cn/h.7gY4EGv?tk=xVLSfzHYGLy")</f>
        <v>https://m.tb.cn/h.7gY4EGv?tk=xVLSfzHYGLy</v>
      </c>
    </row>
    <row r="43" ht="25.5" customHeight="1">
      <c r="A43">
        <v>806</v>
      </c>
      <c r="B43" s="2" t="str">
        <f>=HYPERLINK("https://m.tb.cn/h.7gEWwvq?tk=ucttfzH2ath", "https://m.tb.cn/h.7gEWwvq?tk=ucttfzH2ath")</f>
        <v>https://m.tb.cn/h.7gEWwvq?tk=ucttfzH2ath</v>
      </c>
    </row>
    <row r="44" ht="25.5" customHeight="1">
      <c r="A44">
        <v>807</v>
      </c>
      <c r="B44" s="2" t="str">
        <f>=HYPERLINK("https://m.tb.cn/h.7TIqkda?tk=IbCJfzHeHYk", "https://m.tb.cn/h.7TIqkda?tk=IbCJfzHeHYk")</f>
        <v>https://m.tb.cn/h.7TIqkda?tk=IbCJfzHeHYk</v>
      </c>
    </row>
    <row r="45" ht="25.5" customHeight="1">
      <c r="A45">
        <v>808</v>
      </c>
      <c r="B45" s="2" t="str">
        <f>=HYPERLINK("https://m.tb.cn/h.7gE5nmq?tk=DMzEfzH4UBE", "https://m.tb.cn/h.7gE5nmq?tk=DMzEfzH4UBE")</f>
        <v>https://m.tb.cn/h.7gE5nmq?tk=DMzEfzH4UBE</v>
      </c>
    </row>
    <row r="46" ht="25.5" customHeight="1">
      <c r="A46">
        <v>809</v>
      </c>
      <c r="B46" s="2" t="str">
        <f>=HYPERLINK("https://m.tb.cn/h.7gYiUNL?tk=UxZsfzHf1qk", "https://m.tb.cn/h.7gYiUNL?tk=UxZsfzHf1qk")</f>
        <v>https://m.tb.cn/h.7gYiUNL?tk=UxZsfzHf1qk</v>
      </c>
    </row>
    <row r="47" ht="25.5" customHeight="1">
      <c r="A47">
        <v>810</v>
      </c>
      <c r="B47" s="2" t="str">
        <f>=HYPERLINK("https://m.tb.cn/h.7TqokMP?tk=jdtmfzr2d43", "https://m.tb.cn/h.7TqokMP?tk=jdtmfzr2d43")</f>
        <v>https://m.tb.cn/h.7TqokMP?tk=jdtmfzr2d43</v>
      </c>
    </row>
    <row r="48" ht="25.5" customHeight="1">
      <c r="A48">
        <v>811</v>
      </c>
      <c r="B48" s="2" t="str">
        <f>=HYPERLINK("https://m.tb.cn/h.7gNUQVM?tk=9H09fBMDtki", "https://m.tb.cn/h.7gNUQVM?tk=9H09fBMDtki")</f>
        <v>https://m.tb.cn/h.7gNUQVM?tk=9H09fBMDtki</v>
      </c>
    </row>
    <row r="49" ht="25.5" customHeight="1">
      <c r="A49">
        <v>812</v>
      </c>
      <c r="B49" s="2" t="str">
        <f>=HYPERLINK("https://m.tb.cn/h.7gZkMQb?tk=NyXXfzr6GCN", "https://m.tb.cn/h.7gZkMQb?tk=NyXXfzr6GCN")</f>
        <v>https://m.tb.cn/h.7gZkMQb?tk=NyXXfzr6GCN</v>
      </c>
    </row>
    <row r="50" ht="25.5" customHeight="1">
      <c r="A50">
        <v>813</v>
      </c>
      <c r="B50" s="2" t="str">
        <f>=HYPERLINK("https://m.tb.cn/h.7gk82E6?tk=CWvqfzrJ1rR", "https://m.tb.cn/h.7gk82E6?tk=CWvqfzrJ1rR")</f>
        <v>https://m.tb.cn/h.7gk82E6?tk=CWvqfzrJ1rR</v>
      </c>
    </row>
    <row r="51" ht="25.5" customHeight="1">
      <c r="A51">
        <v>814</v>
      </c>
      <c r="B51" s="2" t="str">
        <f>=HYPERLINK("https://m.tb.cn/h.7TJgGav?tk=WMYbfzrubRn", "https://m.tb.cn/h.7TJgGav?tk=WMYbfzrubRn")</f>
        <v>https://m.tb.cn/h.7TJgGav?tk=WMYbfzrubRn</v>
      </c>
    </row>
    <row r="52" ht="25.5" customHeight="1">
      <c r="A52">
        <v>815</v>
      </c>
      <c r="B52" s="2" t="str">
        <f>=HYPERLINK("https://m.tb.cn/h.7TJPOLm?tk=QcUAfzIa72m", "https://m.tb.cn/h.7TJPOLm?tk=QcUAfzIa72m")</f>
        <v>https://m.tb.cn/h.7TJPOLm?tk=QcUAfzIa72m</v>
      </c>
    </row>
    <row r="53" ht="25.5" customHeight="1">
      <c r="A53">
        <v>816</v>
      </c>
      <c r="B53" s="2" t="str">
        <f>=HYPERLINK("https://m.tb.cn/h.7gFXFic?tk=JlFwfzIc6KQ", "https://m.tb.cn/h.7gFXFic?tk=JlFwfzIc6KQ")</f>
        <v>https://m.tb.cn/h.7gFXFic?tk=JlFwfzIc6KQ</v>
      </c>
    </row>
    <row r="54" ht="25.5" customHeight="1">
      <c r="A54">
        <v>817</v>
      </c>
      <c r="B54" s="2" t="str">
        <f>=HYPERLINK("https://m.tb.cn/h.7TJMY9G?tk=eammfzIcBdC", "https://m.tb.cn/h.7TJMY9G?tk=eammfzIcBdC")</f>
        <v>https://m.tb.cn/h.7TJMY9G?tk=eammfzIcBdC</v>
      </c>
    </row>
    <row r="55" ht="25.5" customHeight="1">
      <c r="A55">
        <v>818</v>
      </c>
      <c r="B55" s="2" t="str">
        <f>=HYPERLINK("https://m.tb.cn/h.7gF5DK5?tk=jLAjfzIUNBk", "https://m.tb.cn/h.7gF5DK5?tk=jLAjfzIUNBk")</f>
        <v>https://m.tb.cn/h.7gF5DK5?tk=jLAjfzIUNBk</v>
      </c>
    </row>
    <row r="56" ht="25.5" customHeight="1">
      <c r="A56">
        <v>819</v>
      </c>
      <c r="B56" s="2" t="str">
        <f>=HYPERLINK("https://m.tb.cn/h.7g0jnLC?tk=pj2PfzIUgb6", "https://m.tb.cn/h.7g0jnLC?tk=pj2PfzIUgb6")</f>
        <v>https://m.tb.cn/h.7g0jnLC?tk=pj2PfzIUgb6</v>
      </c>
    </row>
    <row r="57" ht="25.5" customHeight="1">
      <c r="A57">
        <v>820</v>
      </c>
      <c r="B57" s="2" t="str">
        <f>=HYPERLINK("https://m.tb.cn/h.7gP04AI?tk=NuL2fzI5ifk", "https://m.tb.cn/h.7gP04AI?tk=NuL2fzI5ifk")</f>
        <v>https://m.tb.cn/h.7gP04AI?tk=NuL2fzI5ifk</v>
      </c>
    </row>
    <row r="58" ht="25.5" customHeight="1">
      <c r="A58">
        <v>821</v>
      </c>
      <c r="B58" s="2" t="str">
        <f>=HYPERLINK("https://m.tb.cn/h.7TJHkp5?tk=mpUXfzI5Zz2", "https://m.tb.cn/h.7TJHkp5?tk=mpUXfzI5Zz2")</f>
        <v>https://m.tb.cn/h.7TJHkp5?tk=mpUXfzI5Zz2</v>
      </c>
    </row>
    <row r="59" ht="25.5" customHeight="1">
      <c r="A59">
        <v>822</v>
      </c>
      <c r="B59" s="2" t="str">
        <f>=HYPERLINK("https://m.tb.cn/h.7TK23gY?tk=mFKOfzqqWfs", "https://m.tb.cn/h.7TK23gY?tk=mFKOfzqqWfs")</f>
        <v>https://m.tb.cn/h.7TK23gY?tk=mFKOfzqqWfs</v>
      </c>
    </row>
    <row r="60" ht="25.5" customHeight="1">
      <c r="A60">
        <v>823</v>
      </c>
      <c r="B60" s="2" t="str">
        <f>=HYPERLINK("https://m.tb.cn/h.75AEDEE?tk=6Qt3fzqG2Ba", "https://m.tb.cn/h.75AEDEE?tk=6Qt3fzqG2Ba")</f>
        <v>https://m.tb.cn/h.75AEDEE?tk=6Qt3fzqG2Ba</v>
      </c>
    </row>
    <row r="61" ht="25.5" customHeight="1">
      <c r="A61">
        <v>824</v>
      </c>
      <c r="B61" s="2" t="str">
        <f>=HYPERLINK("https://m.tb.cn/h.7gQnt62?tk=z0VzfzqFbvA", "https://m.tb.cn/h.7gQnt62?tk=z0VzfzqFbvA")</f>
        <v>https://m.tb.cn/h.7gQnt62?tk=z0VzfzqFbvA</v>
      </c>
    </row>
    <row r="62" ht="25.5" customHeight="1">
      <c r="A62">
        <v>825</v>
      </c>
      <c r="B62" s="2" t="str">
        <f>=HYPERLINK("https://m.tb.cn/h.7gtx0iw?tk=mHdBfzqFTgf", "https://m.tb.cn/h.7gtx0iw?tk=mHdBfzqFTgf")</f>
        <v>https://m.tb.cn/h.7gtx0iw?tk=mHdBfzqFTgf</v>
      </c>
    </row>
    <row r="63" ht="25.5" customHeight="1">
      <c r="A63">
        <v>826</v>
      </c>
      <c r="B63" s="2" t="str">
        <f>=HYPERLINK("https://m.tb.cn/h.7gtzdVB?tk=XN3pfzqxY7s", "https://m.tb.cn/h.7gtzdVB?tk=XN3pfzqxY7s")</f>
        <v>https://m.tb.cn/h.7gtzdVB?tk=XN3pfzqxY7s</v>
      </c>
    </row>
    <row r="64" ht="25.5" customHeight="1">
      <c r="A64">
        <v>827</v>
      </c>
      <c r="B64" s="2" t="str">
        <f>=HYPERLINK("https://m.tb.cn/h.7g9YNfN?tk=oNAGfzJ5e5T", "https://m.tb.cn/h.7g9YNfN?tk=oNAGfzJ5e5T")</f>
        <v>https://m.tb.cn/h.7g9YNfN?tk=oNAGfzJ5e5T</v>
      </c>
    </row>
    <row r="65" ht="25.5" customHeight="1">
      <c r="A65">
        <v>828</v>
      </c>
      <c r="B65" s="2" t="str">
        <f>=HYPERLINK("https://m.tb.cn/h.7gG74Jw?tk=DGgTfzJT7a4", "https://m.tb.cn/h.7gG74Jw?tk=DGgTfzJT7a4")</f>
        <v>https://m.tb.cn/h.7gG74Jw?tk=DGgTfzJT7a4</v>
      </c>
    </row>
    <row r="66" ht="25.5" customHeight="1">
      <c r="A66">
        <v>829</v>
      </c>
      <c r="B66" s="2" t="str">
        <f>=HYPERLINK("https://m.tb.cn/h.7gG8RzW?tk=Ni1dfzJSg50", "https://m.tb.cn/h.7gG8RzW?tk=Ni1dfzJSg50")</f>
        <v>https://m.tb.cn/h.7gG8RzW?tk=Ni1dfzJSg50</v>
      </c>
    </row>
    <row r="67" ht="25.5" customHeight="1">
      <c r="A67">
        <v>830</v>
      </c>
      <c r="B67" s="2" t="str">
        <f>=HYPERLINK("https://m.tb.cn/h.7gaPWyu?tk=nLXwfzJiMRX", "https://m.tb.cn/h.7gaPWyu?tk=nLXwfzJiMRX")</f>
        <v>https://m.tb.cn/h.7gaPWyu?tk=nLXwfzJiMRX</v>
      </c>
    </row>
    <row r="68" ht="25.5" customHeight="1">
      <c r="A68">
        <v>831</v>
      </c>
      <c r="B68" s="2" t="str">
        <f>=HYPERLINK("https://m.tb.cn/h.7gGlmZ4?tk=G6mrfzJkVTo", "https://m.tb.cn/h.7gGlmZ4?tk=G6mrfzJkVTo")</f>
        <v>https://m.tb.cn/h.7gGlmZ4?tk=G6mrfzJkVTo</v>
      </c>
    </row>
    <row r="69" ht="25.5" customHeight="1">
      <c r="A69">
        <v>832</v>
      </c>
      <c r="B69" s="2" t="str">
        <f>=HYPERLINK("https://m.tb.cn/h.7UWzDWP?tk=OPgifywU9zu", "https://m.tb.cn/h.7UWzDWP?tk=OPgifywU9zu")</f>
        <v>https://m.tb.cn/h.7UWzDWP?tk=OPgifywU9zu</v>
      </c>
    </row>
    <row r="70" ht="25.5" customHeight="1">
      <c r="A70">
        <v>833</v>
      </c>
      <c r="B70" s="2" t="str">
        <f>=HYPERLINK("https://m.tb.cn/h.7Tk0pQn?tk=vDkyfzPDAVg", "https://m.tb.cn/h.7Tk0pQn?tk=vDkyfzPDAVg")</f>
        <v>https://m.tb.cn/h.7Tk0pQn?tk=vDkyfzPDAVg</v>
      </c>
    </row>
    <row r="71" ht="25.5" customHeight="1">
      <c r="A71">
        <v>834</v>
      </c>
      <c r="B71" s="2" t="str">
        <f>=HYPERLINK("https://m.tb.cn/h.7gMvU0t?tk=IUhRfzPCpVi", "https://m.tb.cn/h.7gMvU0t?tk=IUhRfzPCpVi")</f>
        <v>https://m.tb.cn/h.7gMvU0t?tk=IUhRfzPCpVi</v>
      </c>
    </row>
    <row r="72" ht="25.5" customHeight="1">
      <c r="A72">
        <v>835</v>
      </c>
      <c r="B72" s="2" t="str">
        <f>=HYPERLINK("https://m.tb.cn/h.7goWIsH?tk=aeXtfzlV0yV", "https://m.tb.cn/h.7goWIsH?tk=aeXtfzlV0yV")</f>
        <v>https://m.tb.cn/h.7goWIsH?tk=aeXtfzlV0yV</v>
      </c>
    </row>
    <row r="73" ht="25.5" customHeight="1">
      <c r="A73">
        <v>836</v>
      </c>
      <c r="B73" s="2" t="str">
        <f>=HYPERLINK("https://m.tb.cn/h.7gg4DtJ?tk=6IqRfzlkPBo", "https://m.tb.cn/h.7gg4DtJ?tk=6IqRfzlkPBo")</f>
        <v>https://m.tb.cn/h.7gg4DtJ?tk=6IqRfzlkPBo</v>
      </c>
    </row>
    <row r="74" ht="25.5" customHeight="1">
      <c r="A74">
        <v>837</v>
      </c>
      <c r="B74" s="2" t="str">
        <f>=HYPERLINK("https://m.tb.cn/h.7gT1P3C?tk=9z3bfzO6lD9", "https://m.tb.cn/h.7gT1P3C?tk=9z3bfzO6lD9")</f>
        <v>https://m.tb.cn/h.7gT1P3C?tk=9z3bfzO6lD9</v>
      </c>
    </row>
    <row r="75" ht="25.5" customHeight="1">
      <c r="A75">
        <v>838</v>
      </c>
      <c r="B75" s="2" t="str">
        <f>=HYPERLINK("https://m.tb.cn/h.7gputrm?tk=Ctx5fzmvwlN", "https://m.tb.cn/h.7gputrm?tk=Ctx5fzmvwlN")</f>
        <v>https://m.tb.cn/h.7gputrm?tk=Ctx5fzmvwlN</v>
      </c>
    </row>
    <row r="76" ht="25.5" customHeight="1">
      <c r="A76">
        <v>839</v>
      </c>
      <c r="B76" s="2" t="str">
        <f>=HYPERLINK("https://m.tb.cn/h.75wYJiJ?tk=sJvZfzmEziA", "https://m.tb.cn/h.75wYJiJ?tk=sJvZfzmEziA")</f>
        <v>https://m.tb.cn/h.75wYJiJ?tk=sJvZfzmEziA</v>
      </c>
    </row>
    <row r="77" ht="25.5" customHeight="1">
      <c r="A77">
        <v>840</v>
      </c>
      <c r="B77" s="2" t="str">
        <f>=HYPERLINK("https://m.tb.cn/h.75Ds8Zg?tk=oTBifznnkz3", "https://m.tb.cn/h.75Ds8Zg?tk=oTBifznnkz3")</f>
        <v>https://m.tb.cn/h.75Ds8Zg?tk=oTBifznnkz3</v>
      </c>
    </row>
    <row r="78" ht="25.5" customHeight="1">
      <c r="A78">
        <v>841</v>
      </c>
      <c r="B78" s="2" t="str">
        <f>=HYPERLINK("https://m.tb.cn/h.7gs0QmB?tk=jGXJfzLyh98", "https://m.tb.cn/h.7gs0QmB?tk=jGXJfzLyh98")</f>
        <v>https://m.tb.cn/h.7gs0QmB?tk=jGXJfzLyh98</v>
      </c>
    </row>
    <row r="79" ht="25.5" customHeight="1">
      <c r="A79">
        <v>842</v>
      </c>
      <c r="B79" s="2" t="str">
        <f>=HYPERLINK("https://m.tb.cn/h.7gsbwyZ?tk=9SoYfzLylm1", "https://m.tb.cn/h.7gsbwyZ?tk=9SoYfzLylm1")</f>
        <v>https://m.tb.cn/h.7gsbwyZ?tk=9SoYfzLylm1</v>
      </c>
    </row>
    <row r="80" ht="25.5" customHeight="1">
      <c r="A80">
        <v>843</v>
      </c>
      <c r="B80" s="2" t="str">
        <f>=HYPERLINK("https://m.tb.cn/h.75zkgQH?tk=jIGIfzK7DQ2", "https://m.tb.cn/h.75zkgQH?tk=jIGIfzK7DQ2")</f>
        <v>https://m.tb.cn/h.75zkgQH?tk=jIGIfzK7DQ2</v>
      </c>
    </row>
    <row r="81" ht="25.5" customHeight="1">
      <c r="A81">
        <v>844</v>
      </c>
      <c r="B81" s="2" t="str">
        <f>=HYPERLINK("https://m.tb.cn/h.7gj5m0Y?tk=ffABfzKN74i", "https://m.tb.cn/h.7gj5m0Y?tk=ffABfzKN74i")</f>
        <v>https://m.tb.cn/h.7gj5m0Y?tk=ffABfzKN74i</v>
      </c>
    </row>
    <row r="82" ht="25.5" customHeight="1">
      <c r="A82">
        <v>845</v>
      </c>
      <c r="B82" s="2" t="str">
        <f>=HYPERLINK("https://m.tb.cn/h.7TpOUKn?tk=vYrrfzqcpBW", "https://m.tb.cn/h.7TpOUKn?tk=vYrrfzqcpBW")</f>
        <v>https://m.tb.cn/h.7TpOUKn?tk=vYrrfzqcpBW</v>
      </c>
    </row>
    <row r="83" ht="25.5" customHeight="1">
      <c r="A83">
        <v>846</v>
      </c>
      <c r="B83" s="2" t="str">
        <f>=HYPERLINK("https://m.tb.cn/h.7gt3gAL?tk=IEtOfzq2RJd", "https://m.tb.cn/h.7gt3gAL?tk=IEtOfzq2RJd")</f>
        <v>https://m.tb.cn/h.7gt3gAL?tk=IEtOfzq2RJd</v>
      </c>
    </row>
    <row r="84" ht="25.5" customHeight="1">
      <c r="A84">
        <v>847</v>
      </c>
      <c r="B84" s="2" t="str">
        <f>=HYPERLINK("https://m.tb.cn/h.7gUQoyv?tk=XW6XfzkIQb0", "https://m.tb.cn/h.7gUQoyv?tk=XW6XfzkIQb0")</f>
        <v>https://m.tb.cn/h.7gUQoyv?tk=XW6XfzkIQb0</v>
      </c>
    </row>
    <row r="85" ht="25.5" customHeight="1">
      <c r="A85">
        <v>848</v>
      </c>
      <c r="B85" s="2" t="str">
        <f>=HYPERLINK("https://m.tb.cn/h.7TQuOSB?tk=Ywiifzkqbw3", "https://m.tb.cn/h.7TQuOSB?tk=Ywiifzkqbw3")</f>
        <v>https://m.tb.cn/h.7TQuOSB?tk=Ywiifzkqbw3</v>
      </c>
    </row>
    <row r="86" ht="25.5" customHeight="1">
      <c r="A86">
        <v>849</v>
      </c>
      <c r="B86" s="2" t="str">
        <f>=HYPERLINK("https://m.tb.cn/h.7gnE8YC?tk=yyeHfzPaX5J", "https://m.tb.cn/h.7gnE8YC?tk=yyeHfzPaX5J")</f>
        <v>https://m.tb.cn/h.7gnE8YC?tk=yyeHfzPaX5J</v>
      </c>
    </row>
    <row r="87" ht="25.5" customHeight="1">
      <c r="A87">
        <v>850</v>
      </c>
      <c r="B87" s="2" t="str">
        <f>=HYPERLINK("https://m.tb.cn/h.7gM6OgI?tk=X4OUfzPQ2T6", "https://m.tb.cn/h.7gM6OgI?tk=X4OUfzPQ2T6")</f>
        <v>https://m.tb.cn/h.7gM6OgI?tk=X4OUfzPQ2T6</v>
      </c>
    </row>
    <row r="88" ht="25.5" customHeight="1">
      <c r="A88">
        <v>851</v>
      </c>
      <c r="B88" s="2" t="str">
        <f>=HYPERLINK("https://m.tb.cn/h.7gM9vnv?tk=C4XvfzPNHiZ", "https://m.tb.cn/h.7gM9vnv?tk=C4XvfzPNHiZ")</f>
        <v>https://m.tb.cn/h.7gM9vnv?tk=C4XvfzPNHiZ</v>
      </c>
    </row>
    <row r="89" ht="25.5" customHeight="1">
      <c r="A89">
        <v>852</v>
      </c>
      <c r="B89" s="2" t="str">
        <f>=HYPERLINK("https://m.tb.cn/h.7g5Sv4b?tk=IYwzfzPMwW0", "https://m.tb.cn/h.7g5Sv4b?tk=IYwzfzPMwW0")</f>
        <v>https://m.tb.cn/h.7g5Sv4b?tk=IYwzfzPMwW0</v>
      </c>
    </row>
    <row r="90" ht="25.5" customHeight="1">
      <c r="A90">
        <v>853</v>
      </c>
      <c r="B90" s="2" t="str">
        <f>=HYPERLINK("https://m.tb.cn/h.7T9FBxX?tk=EzBNfzPpjfN", "https://m.tb.cn/h.7T9FBxX?tk=EzBNfzPpjfN")</f>
        <v>https://m.tb.cn/h.7T9FBxX?tk=EzBNfzPpjfN</v>
      </c>
    </row>
    <row r="91" ht="25.5" customHeight="1">
      <c r="A91">
        <v>854</v>
      </c>
      <c r="B91" s="2" t="str">
        <f>=HYPERLINK("https://m.tb.cn/h.7g5PAlj?tk=Jo1SfzPI9cd", "https://m.tb.cn/h.7g5PAlj?tk=Jo1SfzPI9cd")</f>
        <v>https://m.tb.cn/h.7g5PAlj?tk=Jo1SfzPI9cd</v>
      </c>
    </row>
    <row r="92" ht="25.5" customHeight="1">
      <c r="A92">
        <v>855</v>
      </c>
      <c r="B92" s="2" t="str">
        <f>=HYPERLINK("https://m.tb.cn/h.7gfTOjM?tk=CjDcfz9LlZB", "https://m.tb.cn/h.7gfTOjM?tk=CjDcfz9LlZB")</f>
        <v>https://m.tb.cn/h.7gfTOjM?tk=CjDcfz9LlZB</v>
      </c>
    </row>
    <row r="93" ht="25.5" customHeight="1">
      <c r="A93">
        <v>856</v>
      </c>
      <c r="B93" s="2" t="str">
        <f>=HYPERLINK("https://m.tb.cn/h.7gNrPFT?tk=M5qVfz9Fbiv", "https://m.tb.cn/h.7gNrPFT?tk=M5qVfz9Fbiv")</f>
        <v>https://m.tb.cn/h.7gNrPFT?tk=M5qVfz9Fbiv</v>
      </c>
    </row>
    <row r="94" ht="25.5" customHeight="1">
      <c r="A94">
        <v>857</v>
      </c>
      <c r="B94" s="2" t="str">
        <f>=HYPERLINK("https://m.tb.cn/h.7gNCyVt?tk=SKqAfzkabpr", "https://m.tb.cn/h.7gNCyVt?tk=SKqAfzkabpr")</f>
        <v>https://m.tb.cn/h.7gNCyVt?tk=SKqAfzkabpr</v>
      </c>
    </row>
    <row r="95" ht="25.5" customHeight="1">
      <c r="A95">
        <v>858</v>
      </c>
      <c r="B95" s="2" t="str">
        <f>=HYPERLINK("https://m.tb.cn/h.7gUhdJz?tk=qblffzknUVo", "https://m.tb.cn/h.7gUhdJz?tk=qblffzknUVo")</f>
        <v>https://m.tb.cn/h.7gUhdJz?tk=qblffzknUVo</v>
      </c>
    </row>
    <row r="96" ht="25.5" customHeight="1">
      <c r="A96">
        <v>859</v>
      </c>
      <c r="B96" s="2" t="str">
        <f>=HYPERLINK("https://m.tb.cn/h.75GHPZ7?tk=uDNpfzkLHXm", "https://m.tb.cn/h.75GHPZ7?tk=uDNpfzkLHXm")</f>
        <v>https://m.tb.cn/h.75GHPZ7?tk=uDNpfzkLHXm</v>
      </c>
    </row>
    <row r="97" ht="25.5" customHeight="1">
      <c r="A97">
        <v>860</v>
      </c>
      <c r="B97" s="2" t="str">
        <f>=HYPERLINK("https://m.tb.cn/h.7gnM2TS?tk=6T9yfzkJ4qV", "https://m.tb.cn/h.7gnM2TS?tk=6T9yfzkJ4qV")</f>
        <v>https://m.tb.cn/h.7gnM2TS?tk=6T9yfzkJ4qV</v>
      </c>
    </row>
    <row r="98" ht="25.5" customHeight="1">
      <c r="A98">
        <v>861</v>
      </c>
      <c r="B98" s="2" t="str">
        <f>=HYPERLINK("https://m.tb.cn/h.7gODiWV?tk=sgD1fzQbg68", "https://m.tb.cn/h.7gODiWV?tk=sgD1fzQbg68")</f>
        <v>https://m.tb.cn/h.7gODiWV?tk=sgD1fzQbg68</v>
      </c>
    </row>
    <row r="99" ht="25.5" customHeight="1">
      <c r="A99">
        <v>862</v>
      </c>
      <c r="B99" s="2" t="str">
        <f>=HYPERLINK("https://m.tb.cn/h.75Hs5y8?tk=OL1xfzQL8hJ", "https://m.tb.cn/h.75Hs5y8?tk=OL1xfzQL8hJ")</f>
        <v>https://m.tb.cn/h.75Hs5y8?tk=OL1xfzQL8hJ</v>
      </c>
    </row>
    <row r="100" ht="25.5" customHeight="1">
      <c r="A100">
        <v>863</v>
      </c>
      <c r="B100" s="2" t="str">
        <f>=HYPERLINK("https://m.tb.cn/h.75HEHfu?tk=fmukfzQIVPr", "https://m.tb.cn/h.75HEHfu?tk=fmukfzQIVPr")</f>
        <v>https://m.tb.cn/h.75HEHfu?tk=fmukfzQIVPr</v>
      </c>
    </row>
    <row r="101" ht="25.5" customHeight="1">
      <c r="A101">
        <v>864</v>
      </c>
      <c r="B101" s="2" t="str">
        <f>=HYPERLINK("https://m.tb.cn/h.75t6m0l?tk=GtvKfz9eo4L", "https://m.tb.cn/h.75t6m0l?tk=GtvKfz9eo4L")</f>
        <v>https://m.tb.cn/h.75t6m0l?tk=GtvKfz9eo4L</v>
      </c>
    </row>
    <row r="102" ht="25.5" customHeight="1">
      <c r="A102">
        <v>865</v>
      </c>
      <c r="B102" s="2" t="str">
        <f>=HYPERLINK("https://m.tb.cn/h.7gNdnN8?tk=nwUdfz9UOHy", "https://m.tb.cn/h.7gNdnN8?tk=nwUdfz9UOHy")</f>
        <v>https://m.tb.cn/h.7gNdnN8?tk=nwUdfz9UOHy</v>
      </c>
    </row>
    <row r="103" ht="25.5" customHeight="1">
      <c r="A103">
        <v>866</v>
      </c>
      <c r="B103" s="2" t="str">
        <f>=HYPERLINK("https://m.tb.cn/h.7gV8mQx?tk=LAkVfzjFVo0", "https://m.tb.cn/h.7gV8mQx?tk=LAkVfzjFVo0")</f>
        <v>https://m.tb.cn/h.7gV8mQx?tk=LAkVfzjFVo0</v>
      </c>
    </row>
    <row r="104" ht="25.5" customHeight="1">
      <c r="A104">
        <v>867</v>
      </c>
      <c r="B104" s="2" t="str">
        <f>=HYPERLINK("https://m.tb.cn/h.75sCcbM?tk=VHqHfzjFMm4", "https://m.tb.cn/h.75sCcbM?tk=VHqHfzjFMm4")</f>
        <v>https://m.tb.cn/h.75sCcbM?tk=VHqHfzjFMm4</v>
      </c>
    </row>
    <row r="105" ht="25.5" customHeight="1">
      <c r="A105">
        <v>868</v>
      </c>
      <c r="B105" s="2" t="str">
        <f>=HYPERLINK("https://m.tb.cn/h.7gOF8OV?tk=1InkfzjB2G9", "https://m.tb.cn/h.7gOF8OV?tk=1InkfzjB2G9")</f>
        <v>https://m.tb.cn/h.7gOF8OV?tk=1InkfzjB2G9</v>
      </c>
    </row>
    <row r="106" ht="25.5" customHeight="1">
      <c r="A106">
        <v>869</v>
      </c>
      <c r="B106" s="2" t="str">
        <f>=HYPERLINK("https://m.tb.cn/h.75HWG6y?tk=QmcofzQcYyc", "https://m.tb.cn/h.75HWG6y?tk=QmcofzQcYyc")</f>
        <v>https://m.tb.cn/h.75HWG6y?tk=QmcofzQcYyc</v>
      </c>
    </row>
    <row r="107" ht="25.5" customHeight="1">
      <c r="A107">
        <v>870</v>
      </c>
      <c r="B107" s="2" t="str">
        <f>=HYPERLINK("https://m.tb.cn/h.75HQRN3?tk=yoWPfzQhV8j", "https://m.tb.cn/h.75HQRN3?tk=yoWPfzQhV8j")</f>
        <v>https://m.tb.cn/h.75HQRN3?tk=yoWPfzQhV8j</v>
      </c>
    </row>
    <row r="108" ht="25.5" customHeight="1">
      <c r="A108">
        <v>871</v>
      </c>
      <c r="B108" s="2" t="str">
        <f>=HYPERLINK("https://m.tb.cn/h.75IJ6bA?tk=GKROfz8oSmg", "https://m.tb.cn/h.75IJ6bA?tk=GKROfz8oSmg")</f>
        <v>https://m.tb.cn/h.75IJ6bA?tk=GKROfz8oSmg</v>
      </c>
    </row>
    <row r="109" ht="25.5" customHeight="1">
      <c r="A109">
        <v>872</v>
      </c>
      <c r="B109" s="2" t="str">
        <f>=HYPERLINK("https://m.tb.cn/h.75IthvI?tk=AZ95fz8JbLI", "https://m.tb.cn/h.75IthvI?tk=AZ95fz8JbLI")</f>
        <v>https://m.tb.cn/h.75IthvI?tk=AZ95fz8JbLI</v>
      </c>
    </row>
    <row r="110" ht="25.5" customHeight="1">
      <c r="A110">
        <v>873</v>
      </c>
      <c r="B110" s="2" t="str">
        <f>=HYPERLINK("https://m.tb.cn/h.75sYTHc?tk=HbDDfzjaD44", "https://m.tb.cn/h.75sYTHc?tk=HbDDfzjaD44")</f>
        <v>https://m.tb.cn/h.75sYTHc?tk=HbDDfzjaD44</v>
      </c>
    </row>
    <row r="111" ht="25.5" customHeight="1">
      <c r="A111">
        <v>874</v>
      </c>
      <c r="B111" s="2" t="str">
        <f>=HYPERLINK("https://m.tb.cn/h.75s1YLh?tk=9HJYfzjax2G", "https://m.tb.cn/h.75s1YLh?tk=9HJYfzjax2G")</f>
        <v>https://m.tb.cn/h.75s1YLh?tk=9HJYfzjax2G</v>
      </c>
    </row>
    <row r="112" ht="25.5" customHeight="1">
      <c r="A112">
        <v>875</v>
      </c>
      <c r="B112" s="2" t="str">
        <f>=HYPERLINK("https://m.tb.cn/h.7TR25OO?tk=l5wffzj0wOx", "https://m.tb.cn/h.7TR25OO?tk=l5wffzj0wOx")</f>
        <v>https://m.tb.cn/h.7TR25OO?tk=l5wffzj0wOx</v>
      </c>
    </row>
    <row r="113" ht="25.5" customHeight="1">
      <c r="A113">
        <v>876</v>
      </c>
      <c r="B113" s="2" t="str">
        <f>=HYPERLINK("https://m.tb.cn/h.7geMrci?tk=ELKBfzjb7fx", "https://m.tb.cn/h.7geMrci?tk=ELKBfzjb7fx")</f>
        <v>https://m.tb.cn/h.7geMrci?tk=ELKBfzjb7fx</v>
      </c>
    </row>
    <row r="114" ht="25.5" customHeight="1">
      <c r="A114">
        <v>877</v>
      </c>
      <c r="B114" s="2" t="str">
        <f>=HYPERLINK("https://m.tb.cn/h.7geK4kd?tk=GtUVfzj1L7l", "https://m.tb.cn/h.7geK4kd?tk=GtUVfzj1L7l")</f>
        <v>https://m.tb.cn/h.7geK4kd?tk=GtUVfzj1L7l</v>
      </c>
    </row>
    <row r="115" ht="25.5" customHeight="1">
      <c r="A115">
        <v>878</v>
      </c>
      <c r="B115" s="2" t="str">
        <f>=HYPERLINK("https://m.tb.cn/h.7glAWeL?tk=oE5Ofzjcnyy", "https://m.tb.cn/h.7glAWeL?tk=oE5Ofzjcnyy")</f>
        <v>https://m.tb.cn/h.7glAWeL?tk=oE5Ofzjcnyy</v>
      </c>
    </row>
    <row r="116" ht="25.5" customHeight="1">
      <c r="A116">
        <v>879</v>
      </c>
      <c r="B116" s="2" t="str">
        <f>=HYPERLINK("https://m.tb.cn/h.7geKDHa?tk=NAdJfzjXaEL", "https://m.tb.cn/h.7geKDHa?tk=NAdJfzjXaEL")</f>
        <v>https://m.tb.cn/h.7geKDHa?tk=NAdJfzjXaEL</v>
      </c>
    </row>
    <row r="117" ht="25.5" customHeight="1">
      <c r="A117">
        <v>880</v>
      </c>
      <c r="B117" s="2" t="str">
        <f>=HYPERLINK("https://m.tb.cn/h.7TRjxP2?tk=x6lifzjgEze", "https://m.tb.cn/h.7TRjxP2?tk=x6lifzjgEze")</f>
        <v>https://m.tb.cn/h.7TRjxP2?tk=x6lifzjgEze</v>
      </c>
    </row>
    <row r="118" ht="25.5" customHeight="1">
      <c r="A118">
        <v>881</v>
      </c>
      <c r="B118" s="2" t="str">
        <f>=HYPERLINK("https://m.tb.cn/h.7Ti0rHB?tk=BDfEfzRxExv", "https://m.tb.cn/h.7Ti0rHB?tk=BDfEfzRxExv")</f>
        <v>https://m.tb.cn/h.7Ti0rHB?tk=BDfEfzRxExv</v>
      </c>
    </row>
    <row r="119" ht="25.5" customHeight="1">
      <c r="A119">
        <v>882</v>
      </c>
      <c r="B119" s="2" t="str">
        <f>=HYPERLINK("https://m.tb.cn/h.7g3oyvG?tk=m2YSfz8Ylqc", "https://m.tb.cn/h.7g3oyvG?tk=m2YSfz8Ylqc")</f>
        <v>https://m.tb.cn/h.7g3oyvG?tk=m2YSfz8Ylqc</v>
      </c>
    </row>
    <row r="120" ht="25.5" customHeight="1">
      <c r="A120">
        <v>883</v>
      </c>
      <c r="B120" s="2" t="str">
        <f>=HYPERLINK("https://m.tb.cn/h.7geaGUo?tk=bVEbfz8Qa0z", "https://m.tb.cn/h.7geaGUo?tk=bVEbfz8Qa0z")</f>
        <v>https://m.tb.cn/h.7geaGUo?tk=bVEbfz8Qa0z</v>
      </c>
    </row>
    <row r="121" ht="25.5" customHeight="1">
      <c r="A121">
        <v>884</v>
      </c>
      <c r="B121" s="2" t="str">
        <f>=HYPERLINK("https://m.tb.cn/h.7gl5aGD?tk=JgRqfz8iAfh", "https://m.tb.cn/h.7gl5aGD?tk=JgRqfz8iAfh")</f>
        <v>https://m.tb.cn/h.7gl5aGD?tk=JgRqfz8iAfh</v>
      </c>
    </row>
    <row r="122" ht="25.5" customHeight="1">
      <c r="A122">
        <v>885</v>
      </c>
      <c r="B122" s="2" t="str">
        <f>=HYPERLINK("https://m.tb.cn/h.75IOCmY?tk=pnuyfz896nL", "https://m.tb.cn/h.75IOCmY?tk=pnuyfz896nL")</f>
        <v>https://m.tb.cn/h.75IOCmY?tk=pnuyfz896nL</v>
      </c>
    </row>
    <row r="123" ht="25.5" customHeight="1">
      <c r="A123">
        <v>886</v>
      </c>
      <c r="B123" s="2" t="str">
        <f>=HYPERLINK("https://m.tb.cn/h.7geXFO1?tk=7EPTfz8OA5W", "https://m.tb.cn/h.7geXFO1?tk=7EPTfz8OA5W")</f>
        <v>https://m.tb.cn/h.7geXFO1?tk=7EPTfz8OA5W</v>
      </c>
    </row>
    <row r="124" ht="25.5" customHeight="1">
      <c r="A124">
        <v>887</v>
      </c>
      <c r="B124" s="2" t="str">
        <f>=HYPERLINK("https://m.tb.cn/h.7g2Kfv2?tk=5oG2fz7XbPV", "https://m.tb.cn/h.7g2Kfv2?tk=5oG2fz7XbPV")</f>
        <v>https://m.tb.cn/h.7g2Kfv2?tk=5oG2fz7XbPV</v>
      </c>
    </row>
    <row r="125" ht="25.5" customHeight="1">
      <c r="A125">
        <v>888</v>
      </c>
      <c r="B125" s="2" t="str">
        <f>=HYPERLINK("https://m.tb.cn/h.7gWWpc1?tk=S3VWfziMj51", "https://m.tb.cn/h.7gWWpc1?tk=S3VWfziMj51")</f>
        <v>https://m.tb.cn/h.7gWWpc1?tk=S3VWfziMj51</v>
      </c>
    </row>
    <row r="126" ht="25.5" customHeight="1">
      <c r="A126">
        <v>889</v>
      </c>
      <c r="B126" s="2" t="str">
        <f>=HYPERLINK("https://m.tb.cn/h.7TSGHHy?tk=Y139fziJIPc", "https://m.tb.cn/h.7TSGHHy?tk=Y139fziJIPc")</f>
        <v>https://m.tb.cn/h.7TSGHHy?tk=Y139fziJIPc</v>
      </c>
    </row>
    <row r="127" ht="25.5" customHeight="1">
      <c r="A127">
        <v>890</v>
      </c>
      <c r="B127" s="2" t="str">
        <f>=HYPERLINK("https://m.tb.cn/h.75JDgD1?tk=vGfxfziviuC", "https://m.tb.cn/h.75JDgD1?tk=vGfxfziviuC")</f>
        <v>https://m.tb.cn/h.75JDgD1?tk=vGfxfziviuC</v>
      </c>
    </row>
    <row r="128" ht="25.5" customHeight="1">
      <c r="A128">
        <v>891</v>
      </c>
      <c r="B128" s="2" t="str">
        <f>=HYPERLINK("https://m.tb.cn/h.7gWu34A?tk=OXRufzR4xfc", "https://m.tb.cn/h.7gWu34A?tk=OXRufzR4xfc")</f>
        <v>https://m.tb.cn/h.7gWu34A?tk=OXRufzR4xfc</v>
      </c>
    </row>
    <row r="129" ht="25.5" customHeight="1">
      <c r="A129">
        <v>892</v>
      </c>
      <c r="B129" s="2" t="str">
        <f>=HYPERLINK("https://m.tb.cn/h.7gPYF4f?tk=npdNfzRU0Vd", "https://m.tb.cn/h.7gPYF4f?tk=npdNfzRU0Vd")</f>
        <v>https://m.tb.cn/h.7gPYF4f?tk=npdNfzRU0Vd</v>
      </c>
    </row>
    <row r="130" ht="25.5" customHeight="1">
      <c r="A130">
        <v>893</v>
      </c>
      <c r="B130" s="2" t="str">
        <f>=HYPERLINK("https://m.tb.cn/h.7T7LuaX?tk=BFiafzRObni", "https://m.tb.cn/h.7T7LuaX?tk=BFiafzRObni")</f>
        <v>https://m.tb.cn/h.7T7LuaX?tk=BFiafzRObni</v>
      </c>
    </row>
    <row r="131" ht="25.5" customHeight="1">
      <c r="A131">
        <v>894</v>
      </c>
      <c r="B131" s="2" t="str">
        <f>=HYPERLINK("https://m.tb.cn/h.7gPQRPY?tk=ZUhcfzRKszl", "https://m.tb.cn/h.7gPQRPY?tk=ZUhcfzRKszl")</f>
        <v>https://m.tb.cn/h.7gPQRPY?tk=ZUhcfzRKszl</v>
      </c>
    </row>
    <row r="132" ht="25.5" customHeight="1">
      <c r="A132">
        <v>895</v>
      </c>
      <c r="B132" s="2" t="str">
        <f>=HYPERLINK("https://m.tb.cn/h.7g2ClHK?tk=Q19Dfz7hlCW", "https://m.tb.cn/h.7g2ClHK?tk=Q19Dfz7hlCW")</f>
        <v>https://m.tb.cn/h.7g2ClHK?tk=Q19Dfz7hlCW</v>
      </c>
    </row>
    <row r="133" ht="25.5" customHeight="1">
      <c r="A133">
        <v>896</v>
      </c>
      <c r="B133" s="2" t="str">
        <f>=HYPERLINK("https://m.tb.cn/h.75qlodM?tk=TMC7fz7karE", "https://m.tb.cn/h.75qlodM?tk=TMC7fz7karE")</f>
        <v>https://m.tb.cn/h.75qlodM?tk=TMC7fz7karE</v>
      </c>
    </row>
    <row r="134" ht="25.5" customHeight="1">
      <c r="A134">
        <v>897</v>
      </c>
      <c r="B134" s="2" t="str">
        <f>=HYPERLINK("https://m.tb.cn/h.7g9naGF?tk=YiSGfz7HjE9", "https://m.tb.cn/h.7g9naGF?tk=YiSGfz7HjE9")</f>
        <v>https://m.tb.cn/h.7g9naGF?tk=YiSGfz7HjE9</v>
      </c>
    </row>
    <row r="135" ht="25.5" customHeight="1">
      <c r="A135">
        <v>898</v>
      </c>
      <c r="B135" s="2" t="str">
        <f>=HYPERLINK("https://m.tb.cn/h.75qusHI?tk=0CXzfz7G9E2", "https://m.tb.cn/h.75qusHI?tk=0CXzfz7G9E2")</f>
        <v>https://m.tb.cn/h.75qusHI?tk=0CXzfz7G9E2</v>
      </c>
    </row>
    <row r="136" ht="25.5" customHeight="1">
      <c r="A136">
        <v>899</v>
      </c>
      <c r="B136" s="2" t="str">
        <f>=HYPERLINK("https://m.tb.cn/h.7g9pOBz?tk=9WVqfz7vFYm", "https://m.tb.cn/h.7g9pOBz?tk=9WVqfz7vFYm")</f>
        <v>https://m.tb.cn/h.7g9pOBz?tk=9WVqfz7vFYm</v>
      </c>
    </row>
    <row r="137" ht="25.5" customHeight="1">
      <c r="A137">
        <v>900</v>
      </c>
      <c r="B137" s="2" t="str">
        <f>=HYPERLINK("https://m.tb.cn/h.75qy2fl?tk=5tF4fz7EGIt", "https://m.tb.cn/h.75qy2fl?tk=5tF4fz7EGIt")</f>
        <v>https://m.tb.cn/h.75qy2fl?tk=5tF4fz7EGIt</v>
      </c>
    </row>
    <row r="138" ht="25.5" customHeight="1">
      <c r="A138">
        <v>901</v>
      </c>
      <c r="B138" s="2" t="str">
        <f>=HYPERLINK("https://m.tb.cn/h.7g9tZTB?tk=JIvIfziaM5N", "https://m.tb.cn/h.7g9tZTB?tk=JIvIfziaM5N")</f>
        <v>https://m.tb.cn/h.7g9tZTB?tk=JIvIfziaM5N</v>
      </c>
    </row>
    <row r="139" ht="25.5" customHeight="1">
      <c r="A139">
        <v>902</v>
      </c>
      <c r="B139" s="2" t="str">
        <f>=HYPERLINK("https://m.tb.cn/h.75Jkr0w?tk=8bsMfzijqwB", "https://m.tb.cn/h.75Jkr0w?tk=8bsMfzijqwB")</f>
        <v>https://m.tb.cn/h.75Jkr0w?tk=8bsMfzijqwB</v>
      </c>
    </row>
    <row r="140" ht="25.5" customHeight="1">
      <c r="A140">
        <v>903</v>
      </c>
      <c r="B140" s="2" t="str">
        <f>=HYPERLINK("https://m.tb.cn/h.75pOU2s?tk=8YzFfzhkEa9", "https://m.tb.cn/h.75pOU2s?tk=8YzFfzhkEa9")</f>
        <v>https://m.tb.cn/h.75pOU2s?tk=8YzFfzhkEa9</v>
      </c>
    </row>
    <row r="141" ht="25.5" customHeight="1">
      <c r="A141">
        <v>904</v>
      </c>
      <c r="B141" s="2" t="str">
        <f>=HYPERLINK("https://m.tb.cn/h.7gX3cG0?tk=WSDjfzhpuUp", "https://m.tb.cn/h.7gX3cG0?tk=WSDjfzhpuUp")</f>
        <v>https://m.tb.cn/h.7gX3cG0?tk=WSDjfzhpuUp</v>
      </c>
    </row>
    <row r="142" ht="25.5" customHeight="1">
      <c r="A142">
        <v>905</v>
      </c>
      <c r="B142" s="2" t="str">
        <f>=HYPERLINK("https://m.tb.cn/h.7TToQEt?tk=77GcfzhKpbZ", "https://m.tb.cn/h.7TToQEt?tk=77GcfzhKpbZ")</f>
        <v>https://m.tb.cn/h.7TToQEt?tk=77GcfzhKpbZ</v>
      </c>
    </row>
    <row r="143" ht="25.5" customHeight="1">
      <c r="A143">
        <v>906</v>
      </c>
      <c r="B143" s="2" t="str">
        <f>=HYPERLINK("https://m.tb.cn/h.75Kpv1y?tk=DOoGfzSL5sK", "https://m.tb.cn/h.75Kpv1y?tk=DOoGfzSL5sK")</f>
        <v>https://m.tb.cn/h.75Kpv1y?tk=DOoGfzSL5sK</v>
      </c>
    </row>
    <row r="144" ht="25.5" customHeight="1">
      <c r="A144">
        <v>907</v>
      </c>
      <c r="B144" s="2" t="str">
        <f>=HYPERLINK("https://m.tb.cn/h.7g2eLKD?tk=Ri9CfzSLcBG", "https://m.tb.cn/h.7g2eLKD?tk=Ri9CfzSLcBG")</f>
        <v>https://m.tb.cn/h.7g2eLKD?tk=Ri9CfzSLcBG</v>
      </c>
    </row>
    <row r="145" ht="25.5" customHeight="1">
      <c r="A145">
        <v>908</v>
      </c>
      <c r="B145" s="2" t="str">
        <f>=HYPERLINK("https://m.tb.cn/h.75KJHUP?tk=p5eDfzSLKne", "https://m.tb.cn/h.75KJHUP?tk=p5eDfzSLKne")</f>
        <v>https://m.tb.cn/h.75KJHUP?tk=p5eDfzSLKne</v>
      </c>
    </row>
    <row r="146" ht="25.5" customHeight="1">
      <c r="A146">
        <v>909</v>
      </c>
      <c r="B146" s="2" t="str">
        <f>=HYPERLINK("https://m.tb.cn/h.75KJ8Me?tk=7hlrfzSpukM", "https://m.tb.cn/h.75KJ8Me?tk=7hlrfzSpukM")</f>
        <v>https://m.tb.cn/h.75KJ8Me?tk=7hlrfzSpukM</v>
      </c>
    </row>
    <row r="147" ht="25.5" customHeight="1">
      <c r="A147">
        <v>910</v>
      </c>
      <c r="B147" s="2" t="str">
        <f>=HYPERLINK("https://m.tb.cn/h.7gQQSDe?tk=QBHmfzSp5vI", "https://m.tb.cn/h.7gQQSDe?tk=QBHmfzSp5vI")</f>
        <v>https://m.tb.cn/h.7gQQSDe?tk=QBHmfzSp5vI</v>
      </c>
    </row>
    <row r="148" ht="25.5" customHeight="1">
      <c r="A148">
        <v>911</v>
      </c>
      <c r="B148" s="2" t="str">
        <f>=HYPERLINK("https://m.tb.cn/h.75qRpzh?tk=PWOifz7hH9p", "https://m.tb.cn/h.75qRpzh?tk=PWOifz7hH9p")</f>
        <v>https://m.tb.cn/h.75qRpzh?tk=PWOifz7hH9p</v>
      </c>
    </row>
    <row r="149" ht="25.5" customHeight="1">
      <c r="A149">
        <v>912</v>
      </c>
      <c r="B149" s="2" t="str">
        <f>=HYPERLINK("https://m.tb.cn/h.7TgztVg?tk=eDctfzhY0EN", "https://m.tb.cn/h.7TgztVg?tk=eDctfzhY0EN")</f>
        <v>https://m.tb.cn/h.7TgztVg?tk=eDctfzhY0EN</v>
      </c>
    </row>
    <row r="150" ht="25.5" customHeight="1">
      <c r="A150">
        <v>913</v>
      </c>
      <c r="B150" s="2" t="str">
        <f>=HYPERLINK("https://m.tb.cn/h.7TTTvUj?tk=JkZIfzhSCAa", "https://m.tb.cn/h.7TTTvUj?tk=JkZIfzhSCAa")</f>
        <v>https://m.tb.cn/h.7TTTvUj?tk=JkZIfzhSCAa</v>
      </c>
    </row>
    <row r="151" ht="25.5" customHeight="1">
      <c r="A151">
        <v>914</v>
      </c>
      <c r="B151" s="2" t="str">
        <f>=HYPERLINK("https://m.tb.cn/h.7gYRa82?tk=yiMgfzgwxyz", "https://m.tb.cn/h.7gYRa82?tk=yiMgfzgwxyz")</f>
        <v>https://m.tb.cn/h.7gYRa82?tk=yiMgfzgwxyz</v>
      </c>
    </row>
    <row r="152" ht="25.5" customHeight="1">
      <c r="A152">
        <v>915</v>
      </c>
      <c r="B152" s="2" t="str">
        <f>=HYPERLINK("https://m.tb.cn/h.75MwB3T?tk=XmEUfzgyhCu", "https://m.tb.cn/h.75MwB3T?tk=XmEUfzgyhCu")</f>
        <v>https://m.tb.cn/h.75MwB3T?tk=XmEUfzgyhCu</v>
      </c>
    </row>
    <row r="153" ht="25.5" customHeight="1">
      <c r="A153">
        <v>916</v>
      </c>
      <c r="B153" s="2" t="str">
        <f>=HYPERLINK("https://m.tb.cn/h.7gYJgJM?tk=kfRcfzTWNA9", "https://m.tb.cn/h.7gYJgJM?tk=kfRcfzTWNA9")</f>
        <v>https://m.tb.cn/h.7gYJgJM?tk=kfRcfzTWNA9</v>
      </c>
    </row>
    <row r="154" ht="25.5" customHeight="1">
      <c r="A154">
        <v>917</v>
      </c>
      <c r="B154" s="2" t="str">
        <f>=HYPERLINK("https://m.tb.cn/h.7gRYRgg?tk=q1cOfzTVsQo", "https://m.tb.cn/h.7gRYRgg?tk=q1cOfzTVsQo")</f>
        <v>https://m.tb.cn/h.7gRYRgg?tk=q1cOfzTVsQo</v>
      </c>
    </row>
    <row r="155" ht="25.5" customHeight="1">
      <c r="A155">
        <v>918</v>
      </c>
      <c r="B155" s="2" t="str">
        <f>=HYPERLINK("https://m.tb.cn/h.7gRX1CB?tk=EXeSfzT52nK", "https://m.tb.cn/h.7gRX1CB?tk=EXeSfzT52nK")</f>
        <v>https://m.tb.cn/h.7gRX1CB?tk=EXeSfzT52nK</v>
      </c>
    </row>
    <row r="156" ht="25.5" customHeight="1">
      <c r="A156">
        <v>919</v>
      </c>
      <c r="B156" s="2" t="str">
        <f>=HYPERLINK("https://m.tb.cn/h.75oluJm?tk=AuL7fzTmluU", "https://m.tb.cn/h.75oluJm?tk=AuL7fzTmluU")</f>
        <v>https://m.tb.cn/h.75oluJm?tk=AuL7fzTmluU</v>
      </c>
    </row>
    <row r="157" ht="25.5" customHeight="1">
      <c r="A157">
        <v>920</v>
      </c>
      <c r="B157" s="2" t="str">
        <f>=HYPERLINK("https://m.tb.cn/h.7g1TGv9?tk=bnkAfzTsIou", "https://m.tb.cn/h.7g1TGv9?tk=bnkAfzTsIou")</f>
        <v>https://m.tb.cn/h.7g1TGv9?tk=bnkAfzTsIou</v>
      </c>
    </row>
    <row r="158" ht="25.5" customHeight="1">
      <c r="A158">
        <v>921</v>
      </c>
      <c r="B158" s="2" t="str">
        <f>=HYPERLINK("https://m.tb.cn/h.7T5Jusf?tk=GYBJfzTtwEe", "https://m.tb.cn/h.7T5Jusf?tk=GYBJfzTtwEe")</f>
        <v>https://m.tb.cn/h.7T5Jusf?tk=GYBJfzTtwEe</v>
      </c>
    </row>
    <row r="159" ht="25.5" customHeight="1">
      <c r="A159">
        <v>922</v>
      </c>
      <c r="B159" s="2" t="str">
        <f>=HYPERLINK("https://m.tb.cn/h.7gRlHgu?tk=IVmnfzTrxx8", "https://m.tb.cn/h.7gRlHgu?tk=IVmnfzTrxx8")</f>
        <v>https://m.tb.cn/h.7gRlHgu?tk=IVmnfzTrxx8</v>
      </c>
    </row>
    <row r="160" ht="25.5" customHeight="1">
      <c r="A160">
        <v>923</v>
      </c>
      <c r="B160" s="2" t="str">
        <f>=HYPERLINK("https://m.tb.cn/h.7gbOwLg?tk=9Ahgfzg0hzY", "https://m.tb.cn/h.7gbOwLg?tk=9Ahgfzg0hzY")</f>
        <v>https://m.tb.cn/h.7gbOwLg?tk=9Ahgfzg0hzY</v>
      </c>
    </row>
    <row r="161" ht="25.5" customHeight="1">
      <c r="A161">
        <v>924</v>
      </c>
      <c r="B161" s="2" t="str">
        <f>=HYPERLINK("https://m.tb.cn/h.7gi6WYX?tk=WLd4fzgkLNM", "https://m.tb.cn/h.7gi6WYX?tk=WLd4fzgkLNM")</f>
        <v>https://m.tb.cn/h.7gi6WYX?tk=WLd4fzgkLNM</v>
      </c>
    </row>
    <row r="162" ht="25.5" customHeight="1">
      <c r="A162">
        <v>925</v>
      </c>
      <c r="B162" s="2" t="str">
        <f>=HYPERLINK("https://m.tb.cn/h.75M9o3d?tk=h8Ehfzg9wuJ", "https://m.tb.cn/h.75M9o3d?tk=h8Ehfzg9wuJ")</f>
        <v>https://m.tb.cn/h.75M9o3d?tk=h8Ehfzg9wuJ</v>
      </c>
    </row>
    <row r="163" ht="25.5" customHeight="1">
      <c r="A163">
        <v>926</v>
      </c>
      <c r="B163" s="2" t="str">
        <f>=HYPERLINK("https://m.tb.cn/h.7TUQcPC?tk=6UmGfzgmR2D", "https://m.tb.cn/h.7TUQcPC?tk=6UmGfzgmR2D")</f>
        <v>https://m.tb.cn/h.7TUQcPC?tk=6UmGfzgmR2D</v>
      </c>
    </row>
    <row r="164" ht="25.5" customHeight="1">
      <c r="A164">
        <v>927</v>
      </c>
      <c r="B164" s="2" t="str">
        <f>=HYPERLINK("https://m.tb.cn/h.7giRSp8?tk=211sfzgMQpG", "https://m.tb.cn/h.7giRSp8?tk=211sfzgMQpG")</f>
        <v>https://m.tb.cn/h.7giRSp8?tk=211sfzgMQpG</v>
      </c>
    </row>
    <row r="165" ht="25.5" customHeight="1">
      <c r="A165">
        <v>928</v>
      </c>
      <c r="B165" s="2" t="str">
        <f>=HYPERLINK("https://m.tb.cn/h.75MH9CA?tk=zmyffzgtM8w", "https://m.tb.cn/h.75MH9CA?tk=zmyffzgtM8w")</f>
        <v>https://m.tb.cn/h.75MH9CA?tk=zmyffzgtM8w</v>
      </c>
    </row>
    <row r="166" ht="25.5" customHeight="1">
      <c r="A166">
        <v>929</v>
      </c>
      <c r="B166" s="2" t="str">
        <f>=HYPERLINK("https://m.tb.cn/h.7TUKQ8P?tk=lr5ifzgH8jM", "https://m.tb.cn/h.7TUKQ8P?tk=lr5ifzgH8jM")</f>
        <v>https://m.tb.cn/h.7TUKQ8P?tk=lr5ifzgH8jM</v>
      </c>
    </row>
    <row r="167" ht="25.5" customHeight="1">
      <c r="A167">
        <v>930</v>
      </c>
      <c r="B167" s="2" t="str">
        <f>=HYPERLINK("https://m.tb.cn/h.75MLPPr?tk=aj2vfzgKXlt", "https://m.tb.cn/h.75MLPPr?tk=aj2vfzgKXlt")</f>
        <v>https://m.tb.cn/h.75MLPPr?tk=aj2vfzgKXlt</v>
      </c>
    </row>
    <row r="168" ht="25.5" customHeight="1">
      <c r="A168">
        <v>931</v>
      </c>
      <c r="B168" s="2" t="str">
        <f>=HYPERLINK("https://m.tb.cn/h.7giMOGl?tk=tvKzfzgtnOZ", "https://m.tb.cn/h.7giMOGl?tk=tvKzfzgtnOZ")</f>
        <v>https://m.tb.cn/h.7giMOGl?tk=tvKzfzgtnOZ</v>
      </c>
    </row>
    <row r="169" ht="25.5" customHeight="1">
      <c r="A169">
        <v>932</v>
      </c>
      <c r="B169" s="2" t="str">
        <f>=HYPERLINK("https://m.tb.cn/h.75NwF5R?tk=yojwfzUw85c", "https://m.tb.cn/h.75NwF5R?tk=yojwfzUw85c")</f>
        <v>https://m.tb.cn/h.75NwF5R?tk=yojwfzUw85c</v>
      </c>
    </row>
    <row r="170" ht="25.5" customHeight="1">
      <c r="A170">
        <v>933</v>
      </c>
      <c r="B170" s="2" t="str">
        <f>=HYPERLINK("https://m.tb.cn/h.7gSCLkD?tk=kZgnfz51Jb6", "https://m.tb.cn/h.7gSCLkD?tk=kZgnfz51Jb6")</f>
        <v>https://m.tb.cn/h.7gSCLkD?tk=kZgnfz51Jb6</v>
      </c>
    </row>
    <row r="171" ht="25.5" customHeight="1">
      <c r="A171">
        <v>934</v>
      </c>
      <c r="B171" s="2" t="str">
        <f>=HYPERLINK("https://m.tb.cn/h.7g0I5ij?tk=zpyUfz55IFh", "https://m.tb.cn/h.7g0I5ij?tk=zpyUfz55IFh")</f>
        <v>https://m.tb.cn/h.7g0I5ij?tk=zpyUfz55IFh</v>
      </c>
    </row>
    <row r="172" ht="25.5" customHeight="1">
      <c r="A172">
        <v>935</v>
      </c>
      <c r="B172" s="2" t="str">
        <f>=HYPERLINK("https://m.tb.cn/h.7g0stMD?tk=N4c0fz5gwbb", "https://m.tb.cn/h.7g0stMD?tk=N4c0fz5gwbb")</f>
        <v>https://m.tb.cn/h.7g0stMD?tk=N4c0fz5gwbb</v>
      </c>
    </row>
    <row r="173" ht="25.5" customHeight="1">
      <c r="A173">
        <v>936</v>
      </c>
      <c r="B173" s="2" t="str">
        <f>=HYPERLINK("https://m.tb.cn/h.7g7cmJv?tk=8BTVfz5geQz", "https://m.tb.cn/h.7g7cmJv?tk=8BTVfz5geQz")</f>
        <v>https://m.tb.cn/h.7g7cmJv?tk=8BTVfz5geQz</v>
      </c>
    </row>
    <row r="174" ht="25.5" customHeight="1">
      <c r="A174">
        <v>937</v>
      </c>
      <c r="B174" s="2" t="str">
        <f>=HYPERLINK("https://m.tb.cn/h.7TfgUov?tk=fU4Bfz5i6iv", "https://m.tb.cn/h.7TfgUov?tk=fU4Bfz5i6iv")</f>
        <v>https://m.tb.cn/h.7TfgUov?tk=fU4Bfz5i6iv</v>
      </c>
    </row>
    <row r="175" ht="25.5" customHeight="1">
      <c r="A175">
        <v>938</v>
      </c>
      <c r="B175" s="2" t="str">
        <f>=HYPERLINK("https://m.tb.cn/h.7Tf6JkL?tk=rUhZfz5jKSw", "https://m.tb.cn/h.7Tf6JkL?tk=rUhZfz5jKSw")</f>
        <v>https://m.tb.cn/h.7Tf6JkL?tk=rUhZfz5jKSw</v>
      </c>
    </row>
    <row r="176" ht="25.5" customHeight="1">
      <c r="A176">
        <v>939</v>
      </c>
      <c r="B176" s="2" t="str">
        <f>=HYPERLINK("https://m.tb.cn/h.7g0mZCf?tk=u07Bfz5c7vI", "https://m.tb.cn/h.7g0mZCf?tk=u07Bfz5c7vI")</f>
        <v>https://m.tb.cn/h.7g0mZCf?tk=u07Bfz5c7vI</v>
      </c>
    </row>
    <row r="177" ht="25.5" customHeight="1">
      <c r="A177">
        <v>940</v>
      </c>
      <c r="B177" s="2" t="str">
        <f>=HYPERLINK("https://m.tb.cn/h.75nIXrT?tk=o1kkfz5IxHB", "https://m.tb.cn/h.75nIXrT?tk=o1kkfz5IxHB")</f>
        <v>https://m.tb.cn/h.75nIXrT?tk=o1kkfz5IxHB</v>
      </c>
    </row>
    <row r="178" ht="25.5" customHeight="1">
      <c r="A178">
        <v>941</v>
      </c>
      <c r="B178" s="2" t="str">
        <f>=HYPERLINK("https://m.tb.cn/h.7Tfv1Js?tk=KlZNfz5yNFj", "https://m.tb.cn/h.7Tfv1Js?tk=KlZNfz5yNFj")</f>
        <v>https://m.tb.cn/h.7Tfv1Js?tk=KlZNfz5yNFj</v>
      </c>
    </row>
    <row r="179" ht="25.5" customHeight="1">
      <c r="A179">
        <v>942</v>
      </c>
      <c r="B179" s="2" t="str">
        <f>=HYPERLINK("https://m.tb.cn/h.7gZn5Qj?tk=Y66LfzUbhQN", "https://m.tb.cn/h.7gZn5Qj?tk=Y66LfzUbhQN")</f>
        <v>https://m.tb.cn/h.7gZn5Qj?tk=Y66LfzUbhQN</v>
      </c>
    </row>
    <row r="180" ht="25.5" customHeight="1">
      <c r="A180">
        <v>943</v>
      </c>
      <c r="B180" s="2" t="str">
        <f>=HYPERLINK("https://m.tb.cn/h.75N219j?tk=N7aofzUdmAY", "https://m.tb.cn/h.75N219j?tk=N7aofzUdmAY")</f>
        <v>https://m.tb.cn/h.75N219j?tk=N7aofzUdmAY</v>
      </c>
    </row>
    <row r="181" ht="25.5" customHeight="1">
      <c r="A181">
        <v>944</v>
      </c>
      <c r="B181" s="2" t="str">
        <f>=HYPERLINK("https://m.tb.cn/h.7TVHjgD?tk=t3YCfzfFgEy", "https://m.tb.cn/h.7TVHjgD?tk=t3YCfzfFgEy")</f>
        <v>https://m.tb.cn/h.7TVHjgD?tk=t3YCfzfFgEy</v>
      </c>
    </row>
    <row r="182" ht="25.5" customHeight="1">
      <c r="A182">
        <v>945</v>
      </c>
      <c r="B182" s="2" t="str">
        <f>=HYPERLINK("https://m.tb.cn/h.7gZvIJ7?tk=Lvf7fzUSOMq", "https://m.tb.cn/h.7gZvIJ7?tk=Lvf7fzUSOMq")</f>
        <v>https://m.tb.cn/h.7gZvIJ7?tk=Lvf7fzUSOMq</v>
      </c>
    </row>
    <row r="183" ht="25.5" customHeight="1">
      <c r="A183">
        <v>946</v>
      </c>
      <c r="B183" s="2" t="str">
        <f>=HYPERLINK("https://m.tb.cn/h.75NPCeN?tk=fy3hfzUOBhD", "https://m.tb.cn/h.75NPCeN?tk=fy3hfzUOBhD")</f>
        <v>https://m.tb.cn/h.75NPCeN?tk=fy3hfzUOBhD</v>
      </c>
    </row>
    <row r="184" ht="25.5" customHeight="1">
      <c r="A184">
        <v>947</v>
      </c>
      <c r="B184" s="2" t="str">
        <f>=HYPERLINK("https://m.tb.cn/h.7g0Yitf?tk=53zdfzUnYYE", "https://m.tb.cn/h.7g0Yitf?tk=53zdfzUnYYE")</f>
        <v>https://m.tb.cn/h.7g0Yitf?tk=53zdfzUnYYE</v>
      </c>
    </row>
    <row r="185" ht="25.5" customHeight="1">
      <c r="A185">
        <v>948</v>
      </c>
      <c r="B185" s="2" t="str">
        <f>=HYPERLINK("https://m.tb.cn/h.7T4PqRv?tk=tUswfzUMyOf", "https://m.tb.cn/h.7T4PqRv?tk=tUswfzUMyOf")</f>
        <v>https://m.tb.cn/h.7T4PqRv?tk=tUswfzUMyOf</v>
      </c>
    </row>
    <row r="186" ht="25.5" customHeight="1">
      <c r="A186">
        <v>949</v>
      </c>
      <c r="B186" s="2" t="str">
        <f>=HYPERLINK("https://m.tb.cn/h.7g02Hlv?tk=zEqwfzUqloD", "https://m.tb.cn/h.7g02Hlv?tk=zEqwfzUqloD")</f>
        <v>https://m.tb.cn/h.7g02Hlv?tk=zEqwfzUqloD</v>
      </c>
    </row>
    <row r="187" ht="25.5" customHeight="1">
      <c r="A187">
        <v>950</v>
      </c>
      <c r="B187" s="2" t="str">
        <f>=HYPERLINK("https://m.tb.cn/h.7T4L4Tt?tk=zbsafzUrfBL", "https://m.tb.cn/h.7T4L4Tt?tk=zbsafzUrfBL")</f>
        <v>https://m.tb.cn/h.7T4L4Tt?tk=zbsafzUrfBL</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