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点赞链接"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0" fontId="2" fillId="0" borderId="0" xfId="0" applyFon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s>
  <sheetData>
    <row r="1" ht="13" customHeight="1">
      <c r="A1" s="1" t="inlineStr">
        <is>
          <t>编号</t>
        </is>
      </c>
      <c r="B1" s="1" t="inlineStr">
        <is>
          <t>接龙信息</t>
        </is>
      </c>
    </row>
    <row r="2" ht="25.5" customHeight="1">
      <c r="A2">
        <v>1916</v>
      </c>
      <c r="B2" s="2" t="str">
        <f>=HYPERLINK("https://m.tb.cn/h.7STbOGu?tk=FSetU0BDWnw", "https://m.tb.cn/h.7STbOGu?tk=FSetU0BDWnw")</f>
        <v>https://m.tb.cn/h.7STbOGu?tk=FSetU0BDWnw</v>
      </c>
    </row>
    <row r="3" ht="25.5" customHeight="1">
      <c r="A3">
        <v>1917</v>
      </c>
      <c r="B3" s="2" t="str">
        <f>=HYPERLINK("https://m.tb.cn/h.77zA9TC?tk=kVfNU0yaIAW", "https://m.tb.cn/h.77zA9TC?tk=kVfNU0yaIAW")</f>
        <v>https://m.tb.cn/h.77zA9TC?tk=kVfNU0yaIAW</v>
      </c>
    </row>
    <row r="4" ht="25.5" customHeight="1">
      <c r="A4">
        <v>1918</v>
      </c>
      <c r="B4" s="2" t="str">
        <f>=HYPERLINK("https://m.tb.cn/h.7S5hrrc?tk=AKVaU0y3l77", "https://m.tb.cn/h.7S5hrrc?tk=AKVaU0y3l77")</f>
        <v>https://m.tb.cn/h.7S5hrrc?tk=AKVaU0y3l77</v>
      </c>
    </row>
    <row r="5" ht="25.5" customHeight="1">
      <c r="A5">
        <v>1919</v>
      </c>
      <c r="B5" s="2" t="str">
        <f>=HYPERLINK("https://m.tb.cn/h.7SINR4l?tk=fHCfU0ykQn2", "https://m.tb.cn/h.7SINR4l?tk=fHCfU0ykQn2")</f>
        <v>https://m.tb.cn/h.7SINR4l?tk=fHCfU0ykQn2</v>
      </c>
    </row>
    <row r="6" ht="25.5" customHeight="1">
      <c r="A6">
        <v>1920</v>
      </c>
      <c r="B6" s="2" t="str">
        <f>=HYPERLINK("https://m.tb.cn/h.7S5Gv25?tk=IrgVU0yKdiD", "https://m.tb.cn/h.7S5Gv25?tk=IrgVU0yKdiD")</f>
        <v>https://m.tb.cn/h.7S5Gv25?tk=IrgVU0yKdiD</v>
      </c>
    </row>
    <row r="7" ht="25.5" customHeight="1">
      <c r="A7">
        <v>1921</v>
      </c>
      <c r="B7" s="2" t="str">
        <f>=HYPERLINK("https://m.tb.cn/h.7Sgcifi?tk=uft8U0yBrHh", "https://m.tb.cn/h.7Sgcifi?tk=uft8U0yBrHh")</f>
        <v>https://m.tb.cn/h.7Sgcifi?tk=uft8U0yBrHh</v>
      </c>
    </row>
    <row r="8" ht="25.5" customHeight="1">
      <c r="A8">
        <v>1922</v>
      </c>
      <c r="B8" s="2" t="str">
        <f>=HYPERLINK("https://m.tb.cn/h.7Ss5BCw?tk=Aa9aU0BW91K", "https://m.tb.cn/h.7Ss5BCw?tk=Aa9aU0BW91K")</f>
        <v>https://m.tb.cn/h.7Ss5BCw?tk=Aa9aU0BW91K</v>
      </c>
    </row>
    <row r="9" ht="25.5" customHeight="1">
      <c r="A9">
        <v>1923</v>
      </c>
      <c r="B9" s="2" t="str">
        <f>=HYPERLINK("https://m.tb.cn/h.7iakZ4n?tk=nxQYU0BjLBy", "https://m.tb.cn/h.7iakZ4n?tk=nxQYU0BjLBy")</f>
        <v>https://m.tb.cn/h.7iakZ4n?tk=nxQYU0BjLBy</v>
      </c>
    </row>
    <row r="10" ht="25.5" customHeight="1">
      <c r="A10">
        <v>1924</v>
      </c>
      <c r="B10" s="2" t="str">
        <f>=HYPERLINK("https://m.tb.cn/h.7719CPd?tk=73CEU0BPup5", "https://m.tb.cn/h.7719CPd?tk=73CEU0BPup5")</f>
        <v>https://m.tb.cn/h.7719CPd?tk=73CEU0BPup5</v>
      </c>
    </row>
    <row r="11" ht="25.5" customHeight="1">
      <c r="A11">
        <v>1925</v>
      </c>
      <c r="B11" s="2" t="str">
        <f>=HYPERLINK("https://m.tb.cn/h.7iaHiVT?tk=nwygU0Brqdf", "https://m.tb.cn/h.7iaHiVT?tk=nwygU0Brqdf")</f>
        <v>https://m.tb.cn/h.7iaHiVT?tk=nwygU0Brqdf</v>
      </c>
    </row>
    <row r="12" ht="25.5" customHeight="1">
      <c r="A12">
        <v>1926</v>
      </c>
      <c r="B12" s="2" t="str">
        <f>=HYPERLINK("https://m.tb.cn/h.7Ssv5gz?tk=RjS4U0Br2Hm", "https://m.tb.cn/h.7Ssv5gz?tk=RjS4U0Br2Hm")</f>
        <v>https://m.tb.cn/h.7Ssv5gz?tk=RjS4U0Br2Hm</v>
      </c>
    </row>
    <row r="13" ht="25.5" customHeight="1">
      <c r="A13">
        <v>1927</v>
      </c>
      <c r="B13" s="2" t="str">
        <f>=HYPERLINK("https://m.tb.cn/h.7iavHNk?tk=QbSWU0Burrv", "https://m.tb.cn/h.7iavHNk?tk=QbSWU0Burrv")</f>
        <v>https://m.tb.cn/h.7iavHNk?tk=QbSWU0Burrv</v>
      </c>
    </row>
    <row r="14" ht="25.5" customHeight="1">
      <c r="A14">
        <v>1928</v>
      </c>
      <c r="B14" s="2" t="str">
        <f>=HYPERLINK("https://m.tb.cn/h.77zXvP2?tk=5WN5U0CXpbQ", "https://m.tb.cn/h.77zXvP2?tk=5WN5U0CXpbQ")</f>
        <v>https://m.tb.cn/h.77zXvP2?tk=5WN5U0CXpbQ</v>
      </c>
    </row>
    <row r="15" ht="25.5" customHeight="1">
      <c r="A15">
        <v>1929</v>
      </c>
      <c r="B15" s="2" t="str">
        <f>=HYPERLINK("https://m.tb.cn/h.7SrUhaO?tk=pt4qU0C4ZWU", "https://m.tb.cn/h.7SrUhaO?tk=pt4qU0C4ZWU")</f>
        <v>https://m.tb.cn/h.7SrUhaO?tk=pt4qU0C4ZWU</v>
      </c>
    </row>
    <row r="16" ht="25.5" customHeight="1">
      <c r="A16">
        <v>1930</v>
      </c>
      <c r="B16" s="2" t="str">
        <f>=HYPERLINK("https://m.tb.cn/h.7Srp1Pz?tk=psOxU0CntIh", "https://m.tb.cn/h.7Srp1Pz?tk=psOxU0CntIh")</f>
        <v>https://m.tb.cn/h.7Srp1Pz?tk=psOxU0CntIh</v>
      </c>
    </row>
    <row r="17" ht="25.5" customHeight="1">
      <c r="A17">
        <v>1931</v>
      </c>
      <c r="B17" s="2" t="str">
        <f>=HYPERLINK("https://m.tb.cn/h.7SrvFFt?tk=r8WxU0CGVVz", "https://m.tb.cn/h.7SrvFFt?tk=r8WxU0CGVVz")</f>
        <v>https://m.tb.cn/h.7SrvFFt?tk=r8WxU0CGVVz</v>
      </c>
    </row>
    <row r="18" ht="25.5" customHeight="1">
      <c r="A18">
        <v>1932</v>
      </c>
      <c r="B18" s="2" t="str">
        <f>=HYPERLINK("https://m.tb.cn/h.77zC3VY?tk=l5rjU0CCfxi", "https://m.tb.cn/h.77zC3VY?tk=l5rjU0CCfxi")</f>
        <v>https://m.tb.cn/h.77zC3VY?tk=l5rjU0CCfxi</v>
      </c>
    </row>
    <row r="19" ht="25.5" customHeight="1">
      <c r="A19">
        <v>1933</v>
      </c>
      <c r="B19" s="2" t="str">
        <f>=HYPERLINK("https://m.tb.cn/h.7VEtntA?tk=vdQzfxXvYU3", "https://m.tb.cn/h.7VEtntA?tk=vdQzfxXvYU3")</f>
        <v>https://m.tb.cn/h.7VEtntA?tk=vdQzfxXvYU3</v>
      </c>
    </row>
    <row r="20" ht="25.5" customHeight="1">
      <c r="A20">
        <v>1934</v>
      </c>
      <c r="B20" s="2" t="str">
        <f>=HYPERLINK("https://m.tb.cn/h.770m6kz?tk=WMXcU0xNvln", "https://m.tb.cn/h.770m6kz?tk=WMXcU0xNvln")</f>
        <v>https://m.tb.cn/h.770m6kz?tk=WMXcU0xNvln</v>
      </c>
    </row>
    <row r="21" ht="25.5" customHeight="1">
      <c r="A21">
        <v>1935</v>
      </c>
      <c r="B21" s="2" t="str">
        <f>=HYPERLINK("https://m.tb.cn/h.770Ltir?tk=6fAzU0xpgUk", "https://m.tb.cn/h.770Ltir?tk=6fAzU0xpgUk")</f>
        <v>https://m.tb.cn/h.770Ltir?tk=6fAzU0xpgUk</v>
      </c>
    </row>
    <row r="22" ht="25.5" customHeight="1">
      <c r="A22">
        <v>1936</v>
      </c>
      <c r="B22" s="2" t="str">
        <f>=HYPERLINK("https://m.tb.cn/h.7SJI1sU?tk=zgdJU0xKxQN", "https://m.tb.cn/h.7SJI1sU?tk=zgdJU0xKxQN")</f>
        <v>https://m.tb.cn/h.7SJI1sU?tk=zgdJU0xKxQN</v>
      </c>
    </row>
    <row r="23" ht="25.5" customHeight="1">
      <c r="A23">
        <v>1937</v>
      </c>
      <c r="B23" s="2" t="str">
        <f>=HYPERLINK("https://m.tb.cn/h.7SL0xxR?tk=JFwuU0vZXuG", "https://m.tb.cn/h.7SL0xxR?tk=JFwuU0vZXuG")</f>
        <v>https://m.tb.cn/h.7SL0xxR?tk=JFwuU0vZXuG</v>
      </c>
    </row>
    <row r="24" ht="25.5" customHeight="1">
      <c r="A24">
        <v>1938</v>
      </c>
      <c r="B24" s="2" t="str">
        <f>=HYPERLINK("https://m.tb.cn/h.7SJDRsG?tk=4paAU0xuAFy", "https://m.tb.cn/h.7SJDRsG?tk=4paAU0xuAFy")</f>
        <v>https://m.tb.cn/h.7SJDRsG?tk=4paAU0xuAFy</v>
      </c>
    </row>
    <row r="25" ht="25.5" customHeight="1">
      <c r="A25">
        <v>1939</v>
      </c>
      <c r="B25" s="2" t="str">
        <f>=HYPERLINK("https://m.tb.cn/h.7SJDMgj?tk=PNQOU0xElvg", "https://m.tb.cn/h.7SJDMgj?tk=PNQOU0xElvg")</f>
        <v>https://m.tb.cn/h.7SJDMgj?tk=PNQOU0xElvg</v>
      </c>
    </row>
    <row r="26" ht="25.5" customHeight="1">
      <c r="A26">
        <v>1940</v>
      </c>
      <c r="B26" s="2" t="str">
        <f>=HYPERLINK("https://m.tb.cn/h.77zXnjR?tk=J53wU0CXgyo", "https://m.tb.cn/h.77zXnjR?tk=J53wU0CXgyo")</f>
        <v>https://m.tb.cn/h.77zXnjR?tk=J53wU0CXgyo</v>
      </c>
    </row>
    <row r="27" ht="25.5" customHeight="1">
      <c r="A27">
        <v>1941</v>
      </c>
      <c r="B27" s="2" t="str">
        <f>=HYPERLINK("https://m.tb.cn/h.7S459rx?tk=JX7YU0DXjAv", "https://m.tb.cn/h.7S459rx?tk=JX7YU0DXjAv")</f>
        <v>https://m.tb.cn/h.7S459rx?tk=JX7YU0DXjAv</v>
      </c>
    </row>
    <row r="28" ht="25.5" customHeight="1">
      <c r="A28">
        <v>1942</v>
      </c>
      <c r="B28" s="2" t="str">
        <f>=HYPERLINK("https://m.tb.cn/h.7S46qnN?tk=13lUU0DePoC", "https://m.tb.cn/h.7S46qnN?tk=13lUU0DePoC")</f>
        <v>https://m.tb.cn/h.7S46qnN?tk=13lUU0DePoC</v>
      </c>
    </row>
    <row r="29" ht="25.5" customHeight="1">
      <c r="A29">
        <v>1943</v>
      </c>
      <c r="B29" s="2" t="str">
        <f>=HYPERLINK("https://m.tb.cn/h.7S47jQi?tk=M9ZnU0D3Qbd", "https://m.tb.cn/h.7S47jQi?tk=M9ZnU0D3Qbd")</f>
        <v>https://m.tb.cn/h.7S47jQi?tk=M9ZnU0D3Qbd</v>
      </c>
    </row>
    <row r="30" ht="25.5" customHeight="1">
      <c r="A30">
        <v>1944</v>
      </c>
      <c r="B30" s="2" t="str">
        <f>=HYPERLINK("https://m.tb.cn/h.7Sqj0Oz?tk=LrY6U0Dhe7N", "https://m.tb.cn/h.7Sqj0Oz?tk=LrY6U0Dhe7N")</f>
        <v>https://m.tb.cn/h.7Sqj0Oz?tk=LrY6U0Dhe7N</v>
      </c>
    </row>
    <row r="31" ht="25.5" customHeight="1">
      <c r="A31">
        <v>1945</v>
      </c>
      <c r="B31" s="2" t="str">
        <f>=HYPERLINK("https://m.tb.cn/h.77ySRr4?tk=CNKDU0DSiqm", "https://m.tb.cn/h.77ySRr4?tk=CNKDU0DSiqm")</f>
        <v>https://m.tb.cn/h.77ySRr4?tk=CNKDU0DSiqm</v>
      </c>
    </row>
    <row r="32" ht="25.5" customHeight="1">
      <c r="A32">
        <v>1946</v>
      </c>
      <c r="B32" s="2" t="str">
        <f>=HYPERLINK("https://m.tb.cn/h.77yPmSb?tk=fdQjU0D9D12", "https://m.tb.cn/h.77yPmSb?tk=fdQjU0D9D12")</f>
        <v>https://m.tb.cn/h.77yPmSb?tk=fdQjU0D9D12</v>
      </c>
    </row>
    <row r="33" ht="25.5" customHeight="1">
      <c r="A33">
        <v>1947</v>
      </c>
      <c r="B33" s="2" t="str">
        <f>=HYPERLINK("https://m.tb.cn/h.7S4KfeF?tk=Zy4jU0DlT0t", "https://m.tb.cn/h.7S4KfeF?tk=Zy4jU0DlT0t")</f>
        <v>https://m.tb.cn/h.7S4KfeF?tk=Zy4jU0DlT0t</v>
      </c>
    </row>
    <row r="34" ht="25.5" customHeight="1">
      <c r="A34">
        <v>1948</v>
      </c>
      <c r="B34" s="2" t="str">
        <f>=HYPERLINK("https://m.tb.cn/h.7SqMtlu?tk=1byDU0DlBqe", "https://m.tb.cn/h.7SqMtlu?tk=1byDU0DlBqe")</f>
        <v>https://m.tb.cn/h.7SqMtlu?tk=1byDU0DlBqe</v>
      </c>
    </row>
    <row r="35" ht="25.5" customHeight="1">
      <c r="A35">
        <v>1949</v>
      </c>
      <c r="B35" s="2" t="str">
        <f>=HYPERLINK("https://m.tb.cn/h.77yEw1W?tk=DS34U0DvVLY", "https://m.tb.cn/h.77yEw1W?tk=DS34U0DvVLY")</f>
        <v>https://m.tb.cn/h.77yEw1W?tk=DS34U0DvVLY</v>
      </c>
    </row>
    <row r="36" ht="25.5" customHeight="1">
      <c r="A36">
        <v>1950</v>
      </c>
      <c r="B36" s="2" t="str">
        <f>=HYPERLINK("https://m.tb.cn/h.7SqB5XW?tk=nqbUU0DxumR", "https://m.tb.cn/h.7SqB5XW?tk=nqbUU0DxumR")</f>
        <v>https://m.tb.cn/h.7SqB5XW?tk=nqbUU0DxumR</v>
      </c>
    </row>
    <row r="37" ht="25.5" customHeight="1">
      <c r="A37">
        <v>1951</v>
      </c>
      <c r="B37" s="2" t="str">
        <f>=HYPERLINK("https://m.tb.cn/h.7SfWJOG?tk=bvEqU0DACQV", "https://m.tb.cn/h.7SfWJOG?tk=bvEqU0DACQV")</f>
        <v>https://m.tb.cn/h.7SfWJOG?tk=bvEqU0DACQV</v>
      </c>
    </row>
    <row r="38" ht="25.5" customHeight="1">
      <c r="A38">
        <v>1952</v>
      </c>
      <c r="B38" s="2" t="str">
        <f>=HYPERLINK("https://m.tb.cn/h.7SJYRcI?tk=G3OgU0xZTUT", "https://m.tb.cn/h.7SJYRcI?tk=G3OgU0xZTUT")</f>
        <v>https://m.tb.cn/h.7SJYRcI?tk=G3OgU0xZTUT</v>
      </c>
    </row>
    <row r="39" ht="25.5" customHeight="1">
      <c r="A39">
        <v>1953</v>
      </c>
      <c r="B39" s="2" t="str">
        <f>=HYPERLINK("https://m.tb.cn/h.7Sf3zUo?tk=ryCuU0x0Otl", "https://m.tb.cn/h.7Sf3zUo?tk=ryCuU0x0Otl")</f>
        <v>https://m.tb.cn/h.7Sf3zUo?tk=ryCuU0x0Otl</v>
      </c>
    </row>
    <row r="40" ht="25.5" customHeight="1">
      <c r="A40">
        <v>1954</v>
      </c>
      <c r="B40" s="2" t="str">
        <f>=HYPERLINK("https://m.tb.cn/h.7SeLef8?tk=vQ9UU0EQUoq", "https://m.tb.cn/h.7SeLef8?tk=vQ9UU0EQUoq")</f>
        <v>https://m.tb.cn/h.7SeLef8?tk=vQ9UU0EQUoq</v>
      </c>
    </row>
    <row r="41" ht="25.5" customHeight="1">
      <c r="A41">
        <v>1955</v>
      </c>
      <c r="B41" s="2" t="str">
        <f>=HYPERLINK("https://m.tb.cn/h.7SAQKc5?tk=fmcSU0EPudS", "https://m.tb.cn/h.7SAQKc5?tk=fmcSU0EPudS")</f>
        <v>https://m.tb.cn/h.7SAQKc5?tk=fmcSU0EPudS</v>
      </c>
    </row>
    <row r="42" ht="25.5" customHeight="1">
      <c r="A42">
        <v>1956</v>
      </c>
      <c r="B42" s="2" t="str">
        <f>=HYPERLINK("https://m.tb.cn/h.7SprrOy?tk=lgx3U0EqTmL", "https://m.tb.cn/h.7SprrOy?tk=lgx3U0EqTmL")</f>
        <v>https://m.tb.cn/h.7SprrOy?tk=lgx3U0EqTmL</v>
      </c>
    </row>
    <row r="43" ht="25.5" customHeight="1">
      <c r="A43">
        <v>1957</v>
      </c>
      <c r="B43" s="2" t="str">
        <f>=HYPERLINK("https://m.tb.cn/h.7SezfTq?tk=Fhy1U0Et8h9", "https://m.tb.cn/h.7SezfTq?tk=Fhy1U0Et8h9")</f>
        <v>https://m.tb.cn/h.7SezfTq?tk=Fhy1U0Et8h9</v>
      </c>
    </row>
    <row r="44" ht="25.5" customHeight="1">
      <c r="A44">
        <v>1958</v>
      </c>
      <c r="B44" s="2" t="str">
        <f>=HYPERLINK("https://m.tb.cn/h.7SpAP3i?tk=6IjPU0EztTe", "https://m.tb.cn/h.7SpAP3i?tk=6IjPU0EztTe")</f>
        <v>https://m.tb.cn/h.7SpAP3i?tk=6IjPU0EztTe</v>
      </c>
    </row>
    <row r="45" ht="25.5" customHeight="1">
      <c r="A45">
        <v>1959</v>
      </c>
      <c r="B45" s="2" t="str">
        <f>=HYPERLINK("https://m.tb.cn/h.77CaKSv?tk=6Ix1U0EAfup", "https://m.tb.cn/h.77CaKSv?tk=6Ix1U0EAfup")</f>
        <v>https://m.tb.cn/h.77CaKSv?tk=6Ix1U0EAfup</v>
      </c>
    </row>
    <row r="46" ht="25.5" customHeight="1">
      <c r="A46">
        <v>1960</v>
      </c>
      <c r="B46" s="2" t="str">
        <f>=HYPERLINK("https://m.tb.cn/h.7SAzBGc?tk=Z7wAU0w0lEz", "https://m.tb.cn/h.7SAzBGc?tk=Z7wAU0w0lEz")</f>
        <v>https://m.tb.cn/h.7SAzBGc?tk=Z7wAU0w0lEz</v>
      </c>
    </row>
    <row r="47" ht="25.5" customHeight="1">
      <c r="A47">
        <v>1961</v>
      </c>
      <c r="B47" s="2" t="str">
        <f>=HYPERLINK("https://m.tb.cn/h.775sQ37?tk=L2mLU0fRnjL", "https://m.tb.cn/h.775sQ37?tk=L2mLU0fRnjL")</f>
        <v>https://m.tb.cn/h.775sQ37?tk=L2mLU0fRnjL</v>
      </c>
    </row>
    <row r="48" ht="25.5" customHeight="1">
      <c r="A48">
        <v>1962</v>
      </c>
      <c r="B48" s="2" t="str">
        <f>=HYPERLINK("https://m.tb.cn/h.7SVTN0p?tk=VZosU0wdnrj", "https://m.tb.cn/h.7SVTN0p?tk=VZosU0wdnrj")</f>
        <v>https://m.tb.cn/h.7SVTN0p?tk=VZosU0wdnrj</v>
      </c>
    </row>
    <row r="49" ht="25.5" customHeight="1">
      <c r="A49">
        <v>1963</v>
      </c>
      <c r="B49" s="2" t="str">
        <f>=HYPERLINK("https://m.tb.cn/h.7SKfOo6?tk=LnSrU0wVOEe", "https://m.tb.cn/h.7SKfOo6?tk=LnSrU0wVOEe")</f>
        <v>https://m.tb.cn/h.7SKfOo6?tk=LnSrU0wVOEe</v>
      </c>
    </row>
    <row r="50" ht="25.5" customHeight="1">
      <c r="A50">
        <v>1964</v>
      </c>
      <c r="B50" s="2" t="str">
        <f>=HYPERLINK("https://m.tb.cn/h.77a5SbB?tk=jxwlU0w62TU", "https://m.tb.cn/h.77a5SbB?tk=jxwlU0w62TU")</f>
        <v>https://m.tb.cn/h.77a5SbB?tk=jxwlU0w62TU</v>
      </c>
    </row>
    <row r="51" ht="25.5" customHeight="1">
      <c r="A51">
        <v>1965</v>
      </c>
      <c r="B51" s="2" t="str">
        <f>=HYPERLINK("https://m.tb.cn/h.77ahXVX?tk=L9LRU0whiJo", "https://m.tb.cn/h.77ahXVX?tk=L9LRU0whiJo")</f>
        <v>https://m.tb.cn/h.77ahXVX?tk=L9LRU0whiJo</v>
      </c>
    </row>
    <row r="52" ht="25.5" customHeight="1">
      <c r="A52">
        <v>1966</v>
      </c>
      <c r="B52" s="2" t="str">
        <f>=HYPERLINK("https://m.tb.cn/h.77CptMP?tk=ABe9U0wLFrl", "https://m.tb.cn/h.77CptMP?tk=ABe9U0wLFrl")</f>
        <v>https://m.tb.cn/h.77CptMP?tk=ABe9U0wLFrl</v>
      </c>
    </row>
    <row r="53" ht="25.5" customHeight="1">
      <c r="A53">
        <v>1967</v>
      </c>
      <c r="B53" s="2" t="str">
        <f>=HYPERLINK("https://m.tb.cn/h.77atpKn?tk=cxPKU0wEFCO", "https://m.tb.cn/h.77atpKn?tk=cxPKU0wEFCO")</f>
        <v>https://m.tb.cn/h.77atpKn?tk=cxPKU0wEFCO</v>
      </c>
    </row>
    <row r="54" ht="25.5" customHeight="1">
      <c r="A54">
        <v>1968</v>
      </c>
      <c r="B54" s="2" t="str">
        <f>=HYPERLINK("https://m.tb.cn/h.7S3HiTt?tk=aNqkU0vofVQ", "https://m.tb.cn/h.7S3HiTt?tk=aNqkU0vofVQ")</f>
        <v>https://m.tb.cn/h.7S3HiTt?tk=aNqkU0vofVQ</v>
      </c>
    </row>
    <row r="55" ht="25.5" customHeight="1">
      <c r="A55">
        <v>1969</v>
      </c>
      <c r="B55" s="2" t="str">
        <f>=HYPERLINK("https://m.tb.cn/h.7S3wjmN?tk=mdwlU0vIzvQ", "https://m.tb.cn/h.7S3wjmN?tk=mdwlU0vIzvQ")</f>
        <v>https://m.tb.cn/h.7S3wjmN?tk=mdwlU0vIzvQ</v>
      </c>
    </row>
    <row r="56" ht="25.5" customHeight="1">
      <c r="A56">
        <v>1970</v>
      </c>
      <c r="B56" s="2" t="str">
        <f>=HYPERLINK("https://m.tb.cn/h.7SpZaLU?tk=20DlU0vAu2t", "https://m.tb.cn/h.7SpZaLU?tk=20DlU0vAu2t")</f>
        <v>https://m.tb.cn/h.7SpZaLU?tk=20DlU0vAu2t</v>
      </c>
    </row>
    <row r="57" ht="25.5" customHeight="1">
      <c r="A57">
        <v>1971</v>
      </c>
      <c r="B57" s="2" t="str">
        <f>=HYPERLINK("https://m.tb.cn/h.77DBGiY?tk=d0PGU0vAegQ", "https://m.tb.cn/h.77DBGiY?tk=d0PGU0vAegQ")</f>
        <v>https://m.tb.cn/h.77DBGiY?tk=d0PGU0vAegQ</v>
      </c>
    </row>
    <row r="58" ht="25.5" customHeight="1">
      <c r="A58">
        <v>1972</v>
      </c>
      <c r="B58" s="2" t="str">
        <f>=HYPERLINK("https://m.tb.cn/h.7SeSTOF?tk=C9wGU0EeXfA", "https://m.tb.cn/h.7SeSTOF?tk=C9wGU0EeXfA")</f>
        <v>https://m.tb.cn/h.7SeSTOF?tk=C9wGU0EeXfA</v>
      </c>
    </row>
    <row r="59" ht="25.5" customHeight="1">
      <c r="A59">
        <v>1973</v>
      </c>
      <c r="B59" s="2" t="str">
        <f>=HYPERLINK("https://m.tb.cn/h.7SphVRo?tk=NmVOU0ETwi0", "https://m.tb.cn/h.7SphVRo?tk=NmVOU0ETwi0")</f>
        <v>https://m.tb.cn/h.7SphVRo?tk=NmVOU0ETwi0</v>
      </c>
    </row>
    <row r="60" ht="25.5" customHeight="1">
      <c r="A60">
        <v>1974</v>
      </c>
      <c r="B60" s="2" t="str">
        <f>=HYPERLINK("https://m.tb.cn/h.77xhX2f?tk=W3puU0E6JdR", "https://m.tb.cn/h.77xhX2f?tk=W3puU0E6JdR")</f>
        <v>https://m.tb.cn/h.77xhX2f?tk=W3puU0E6JdR</v>
      </c>
    </row>
    <row r="61" ht="25.5" customHeight="1">
      <c r="A61">
        <v>1975</v>
      </c>
      <c r="B61" s="2" t="str">
        <f>=HYPERLINK("https://m.tb.cn/h.7SWsGzE?tk=2YAWU0FpkFw", "https://m.tb.cn/h.7SWsGzE?tk=2YAWU0FpkFw")</f>
        <v>https://m.tb.cn/h.7SWsGzE?tk=2YAWU0FpkFw</v>
      </c>
    </row>
    <row r="62" ht="25.5" customHeight="1">
      <c r="A62">
        <v>1976</v>
      </c>
      <c r="B62" s="2" t="str">
        <f>=HYPERLINK("https://m.tb.cn/h.7Sot9gr?tk=UpY1U0FGQwT", "https://m.tb.cn/h.7Sot9gr?tk=UpY1U0FGQwT")</f>
        <v>https://m.tb.cn/h.7Sot9gr?tk=UpY1U0FGQwT</v>
      </c>
    </row>
    <row r="63" ht="25.5" customHeight="1">
      <c r="A63">
        <v>1977</v>
      </c>
      <c r="B63" s="2" t="str">
        <f>=HYPERLINK("https://m.tb.cn/h.7SBvQXd?tk=iZGlU0FDckG", "https://m.tb.cn/h.7SBvQXd?tk=iZGlU0FDckG")</f>
        <v>https://m.tb.cn/h.7SBvQXd?tk=iZGlU0FDckG</v>
      </c>
    </row>
    <row r="64" ht="25.5" customHeight="1">
      <c r="A64">
        <v>1978</v>
      </c>
      <c r="B64" s="2" t="str">
        <f>=HYPERLINK("https://m.tb.cn/h.7SLcl8q?tk=eTEOU0v19jc", "https://m.tb.cn/h.7SLcl8q?tk=eTEOU0v19jc")</f>
        <v>https://m.tb.cn/h.7SLcl8q?tk=eTEOU0v19jc</v>
      </c>
    </row>
    <row r="65" ht="25.5" customHeight="1">
      <c r="A65">
        <v>1979</v>
      </c>
      <c r="B65" s="2" t="str">
        <f>=HYPERLINK("https://m.tb.cn/h.7SzczxN?tk=PkqtU0vXWzL", "https://m.tb.cn/h.7SzczxN?tk=PkqtU0vXWzL")</f>
        <v>https://m.tb.cn/h.7SzczxN?tk=PkqtU0vXWzL</v>
      </c>
    </row>
    <row r="66" ht="25.5" customHeight="1">
      <c r="A66">
        <v>1980</v>
      </c>
      <c r="B66" s="2" t="str">
        <f>=HYPERLINK("https://m.tb.cn/h.77DeDhU?tk=wuvZU0v34kr", "https://m.tb.cn/h.77DeDhU?tk=wuvZU0v34kr")</f>
        <v>https://m.tb.cn/h.77DeDhU?tk=wuvZU0v34kr</v>
      </c>
    </row>
    <row r="67" ht="25.5" customHeight="1">
      <c r="A67">
        <v>1981</v>
      </c>
      <c r="B67" s="2" t="str">
        <f>=HYPERLINK("https://m.tb.cn/h.77lBObL?tk=Q4YIU0k6IqI", "https://m.tb.cn/h.77lBObL?tk=Q4YIU0k6IqI")</f>
        <v>https://m.tb.cn/h.77lBObL?tk=Q4YIU0k6IqI</v>
      </c>
    </row>
    <row r="68" ht="25.5" customHeight="1">
      <c r="A68">
        <v>1982</v>
      </c>
      <c r="B68" s="2" t="str">
        <f>=HYPERLINK("https://m.tb.cn/h.77Dn5B1?tk=6Oy3U0vN8fN", "https://m.tb.cn/h.77Dn5B1?tk=6Oy3U0vN8fN")</f>
        <v>https://m.tb.cn/h.77Dn5B1?tk=6Oy3U0vN8fN</v>
      </c>
    </row>
    <row r="69" ht="25.5" customHeight="1">
      <c r="A69">
        <v>1983</v>
      </c>
      <c r="B69" s="2" t="str">
        <f>=HYPERLINK("https://m.tb.cn/h.77EFQUS?tk=U4F8U0uum3P", "https://m.tb.cn/h.77EFQUS?tk=U4F8U0uum3P")</f>
        <v>https://m.tb.cn/h.77EFQUS?tk=U4F8U0uum3P</v>
      </c>
    </row>
    <row r="70" ht="25.5" customHeight="1">
      <c r="A70">
        <v>1984</v>
      </c>
      <c r="B70" s="2" t="str">
        <f>=HYPERLINK("https://m.tb.cn/h.77EDdmg?tk=BbPKU0uwlGN", "https://m.tb.cn/h.77EDdmg?tk=BbPKU0uwlGN")</f>
        <v>https://m.tb.cn/h.77EDdmg?tk=BbPKU0uwlGN</v>
      </c>
    </row>
    <row r="71" ht="25.5" customHeight="1">
      <c r="A71">
        <v>1985</v>
      </c>
      <c r="B71" s="2" t="str">
        <f>=HYPERLINK("https://m.tb.cn/h.7SMB5sz?tk=0DGSU0uDMsy", "https://m.tb.cn/h.7SMB5sz?tk=0DGSU0uDMsy")</f>
        <v>https://m.tb.cn/h.7SMB5sz?tk=0DGSU0uDMsy</v>
      </c>
    </row>
    <row r="72" ht="25.5" customHeight="1">
      <c r="A72">
        <v>1986</v>
      </c>
      <c r="B72" s="2" t="str">
        <f>=HYPERLINK("https://m.tb.cn/h.7SMBjv5?tk=nUq3U0uxewj", "https://m.tb.cn/h.7SMBjv5?tk=nUq3U0uxewj")</f>
        <v>https://m.tb.cn/h.7SMBjv5?tk=nUq3U0uxewj</v>
      </c>
    </row>
    <row r="73" ht="25.5" customHeight="1">
      <c r="A73">
        <v>1987</v>
      </c>
      <c r="B73" s="2" t="str">
        <f>=HYPERLINK("https://m.tb.cn/h.77wZVf3?tk=O5NzU0FZi3Y", "https://m.tb.cn/h.77wZVf3?tk=O5NzU0FZi3Y")</f>
        <v>https://m.tb.cn/h.77wZVf3?tk=O5NzU0FZi3Y</v>
      </c>
    </row>
    <row r="74" ht="25.5" customHeight="1">
      <c r="A74">
        <v>1988</v>
      </c>
      <c r="B74" s="2" t="str">
        <f>=HYPERLINK("https://m.tb.cn/h.77vs43h?tk=4wwjU0GIs3S", "https://m.tb.cn/h.77vs43h?tk=4wwjU0GIs3S")</f>
        <v>https://m.tb.cn/h.77vs43h?tk=4wwjU0GIs3S</v>
      </c>
    </row>
    <row r="75" ht="25.5" customHeight="1">
      <c r="A75">
        <v>1989</v>
      </c>
      <c r="B75" s="2" t="str">
        <f>=HYPERLINK("https://m.tb.cn/h.77vGv9J?tk=oLZ0U0GFFkH", "https://m.tb.cn/h.77vGv9J?tk=oLZ0U0GFFkH")</f>
        <v>https://m.tb.cn/h.77vGv9J?tk=oLZ0U0GFFkH</v>
      </c>
    </row>
    <row r="76" ht="25.5" customHeight="1">
      <c r="A76">
        <v>1990</v>
      </c>
      <c r="B76" s="2" t="str">
        <f>=HYPERLINK("https://m.tb.cn/h.7SCE8MC?tk=ZLWCU0GBjJF", "https://m.tb.cn/h.7SCE8MC?tk=ZLWCU0GBjJF")</f>
        <v>https://m.tb.cn/h.7SCE8MC?tk=ZLWCU0GBjJF</v>
      </c>
    </row>
    <row r="77" ht="25.5" customHeight="1">
      <c r="A77">
        <v>1991</v>
      </c>
      <c r="B77" s="2" t="str">
        <f>=HYPERLINK("https://m.tb.cn/h.7SCw58f?tk=Rd00U0GzygA", "https://m.tb.cn/h.7SCw58f?tk=Rd00U0GzygA")</f>
        <v>https://m.tb.cn/h.7SCw58f?tk=Rd00U0GzygA</v>
      </c>
    </row>
    <row r="78" ht="25.5" customHeight="1">
      <c r="A78">
        <v>1992</v>
      </c>
      <c r="B78" s="2" t="str">
        <f>=HYPERLINK("https://m.tb.cn/h.7SMmMhS?tk=YHALU0uPjfa", "https://m.tb.cn/h.7SMmMhS?tk=YHALU0uPjfa")</f>
        <v>https://m.tb.cn/h.7SMmMhS?tk=YHALU0uPjfa</v>
      </c>
    </row>
    <row r="79" ht="25.5" customHeight="1">
      <c r="A79">
        <v>1993</v>
      </c>
      <c r="B79" s="2" t="str">
        <f>=HYPERLINK("https://m.tb.cn/h.7SNPQrS?tk=qQgTU0t9YWh", "https://m.tb.cn/h.7SNPQrS?tk=qQgTU0t9YWh")</f>
        <v>https://m.tb.cn/h.7SNPQrS?tk=qQgTU0t9YWh</v>
      </c>
    </row>
    <row r="80" ht="25.5" customHeight="1">
      <c r="A80">
        <v>1994</v>
      </c>
      <c r="B80" s="2" t="str">
        <f>=HYPERLINK("https://m.tb.cn/h.7SxQIxm?tk=51p2U0tmBTq", "https://m.tb.cn/h.7SxQIxm?tk=51p2U0tmBTq")</f>
        <v>https://m.tb.cn/h.7SxQIxm?tk=51p2U0tmBTq</v>
      </c>
    </row>
    <row r="81" ht="25.5" customHeight="1">
      <c r="A81">
        <v>1995</v>
      </c>
      <c r="B81" s="2" t="str">
        <f>=HYPERLINK("https://m.tb.cn/h.77FJwgU?tk=Mk0zU0tJksU", "https://m.tb.cn/h.77FJwgU?tk=Mk0zU0tJksU")</f>
        <v>https://m.tb.cn/h.77FJwgU?tk=Mk0zU0tJksU</v>
      </c>
    </row>
    <row r="82" ht="25.5" customHeight="1">
      <c r="A82">
        <v>1996</v>
      </c>
      <c r="B82" s="2" t="str">
        <f>=HYPERLINK("https://m.tb.cn/h.7SNCbm1?tk=S33RU0tDBYk", "https://m.tb.cn/h.7SNCbm1?tk=S33RU0tDBYk")</f>
        <v>https://m.tb.cn/h.7SNCbm1?tk=S33RU0tDBYk</v>
      </c>
    </row>
    <row r="83" ht="25.5" customHeight="1">
      <c r="A83">
        <v>1997</v>
      </c>
      <c r="B83" s="2" t="str">
        <f>=HYPERLINK("https://m.tb.cn/h.7SxvsRP?tk=V0YoU0tBPdd", "https://m.tb.cn/h.7SxvsRP?tk=V0YoU0tBPdd")</f>
        <v>https://m.tb.cn/h.7SxvsRP?tk=V0YoU0tBPdd</v>
      </c>
    </row>
    <row r="84" ht="25.5" customHeight="1">
      <c r="A84">
        <v>1998</v>
      </c>
      <c r="B84" s="2" t="str">
        <f>=HYPERLINK("https://m.tb.cn/h.77u2Qav?tk=IE0XU0H2hwC", "https://m.tb.cn/h.77u2Qav?tk=IE0XU0H2hwC")</f>
        <v>https://m.tb.cn/h.77u2Qav?tk=IE0XU0H2hwC</v>
      </c>
    </row>
    <row r="85" ht="25.5" customHeight="1">
      <c r="A85">
        <v>1999</v>
      </c>
      <c r="B85" s="2" t="str">
        <f>=HYPERLINK("https://m.tb.cn/h.7Sm3k3X?tk=WQv1U0HdD9m", "https://m.tb.cn/h.7Sm3k3X?tk=WQv1U0HdD9m")</f>
        <v>https://m.tb.cn/h.7Sm3k3X?tk=WQv1U0HdD9m</v>
      </c>
    </row>
    <row r="86" ht="25.5" customHeight="1">
      <c r="A86">
        <v>2000</v>
      </c>
      <c r="B86" s="2" t="str">
        <f>=HYPERLINK("https://m.tb.cn/h.7SmVTDJ?tk=ZZG7U0HdcPy", "https://m.tb.cn/h.7SmVTDJ?tk=ZZG7U0HdcPy")</f>
        <v>https://m.tb.cn/h.7SmVTDJ?tk=ZZG7U0HdcPy</v>
      </c>
    </row>
    <row r="87" ht="25.5" customHeight="1">
      <c r="A87">
        <v>2001</v>
      </c>
      <c r="B87" s="2" t="str">
        <f>=HYPERLINK("https://m.tb.cn/h.7SDaEt9?tk=bxSzU0HWmV9", "https://m.tb.cn/h.7SDaEt9?tk=bxSzU0HWmV9")</f>
        <v>https://m.tb.cn/h.7SDaEt9?tk=bxSzU0HWmV9</v>
      </c>
    </row>
    <row r="88" ht="25.5" customHeight="1">
      <c r="A88">
        <v>2002</v>
      </c>
      <c r="B88" s="2" t="str">
        <f>=HYPERLINK("https://m.tb.cn/h.7SDZG8J?tk=IDNAU0HWl4L", "https://m.tb.cn/h.7SDZG8J?tk=IDNAU0HWl4L")</f>
        <v>https://m.tb.cn/h.7SDZG8J?tk=IDNAU0HWl4L</v>
      </c>
    </row>
    <row r="89" ht="25.5" customHeight="1">
      <c r="A89">
        <v>2003</v>
      </c>
      <c r="B89" s="2" t="str">
        <f>=HYPERLINK("https://m.tb.cn/h.7ScgBgc?tk=atSEU0HerQC", "https://m.tb.cn/h.7ScgBgc?tk=atSEU0HerQC")</f>
        <v>https://m.tb.cn/h.7ScgBgc?tk=atSEU0HerQC</v>
      </c>
    </row>
    <row r="90" ht="25.5" customHeight="1">
      <c r="A90">
        <v>2004</v>
      </c>
      <c r="B90" s="2" t="str">
        <f>=HYPERLINK("https://m.tb.cn/h.7ScSuBz?tk=4rOYU0HUerh", "https://m.tb.cn/h.7ScSuBz?tk=4rOYU0HUerh")</f>
        <v>https://m.tb.cn/h.7ScSuBz?tk=4rOYU0HUerh</v>
      </c>
    </row>
    <row r="91" ht="25.5" customHeight="1">
      <c r="A91">
        <v>2005</v>
      </c>
      <c r="B91" s="2" t="str">
        <f>=HYPERLINK("https://m.tb.cn/h.7ScKokH?tk=vJVRU0HNwo1", "https://m.tb.cn/h.7ScKokH?tk=vJVRU0HNwo1")</f>
        <v>https://m.tb.cn/h.7ScKokH?tk=vJVRU0HNwo1</v>
      </c>
    </row>
    <row r="92" ht="25.5" customHeight="1">
      <c r="A92">
        <v>2006</v>
      </c>
      <c r="B92" s="2" t="str">
        <f>=HYPERLINK("https://m.tb.cn/h.7Sw4tmq?tk=K1zWU0sRu3O", "https://m.tb.cn/h.7Sw4tmq?tk=K1zWU0sRu3O")</f>
        <v>https://m.tb.cn/h.7Sw4tmq?tk=K1zWU0sRu3O</v>
      </c>
    </row>
    <row r="93" ht="25.5" customHeight="1">
      <c r="A93">
        <v>2007</v>
      </c>
      <c r="B93" s="2" t="str">
        <f>=HYPERLINK("https://m.tb.cn/h.7S1mQCz?tk=i3ZVU0skVrU", "https://m.tb.cn/h.7S1mQCz?tk=i3ZVU0skVrU")</f>
        <v>https://m.tb.cn/h.7S1mQCz?tk=i3ZVU0skVrU</v>
      </c>
    </row>
    <row r="94" ht="25.5" customHeight="1">
      <c r="A94">
        <v>2008</v>
      </c>
      <c r="B94" s="2" t="str">
        <f>=HYPERLINK("https://m.tb.cn/h.7S1Ndge?tk=dklvU0s9SDY", "https://m.tb.cn/h.7S1Ndge?tk=dklvU0s9SDY")</f>
        <v>https://m.tb.cn/h.7S1Ndge?tk=dklvU0s9SDY</v>
      </c>
    </row>
    <row r="95" ht="25.5" customHeight="1">
      <c r="A95">
        <v>2009</v>
      </c>
      <c r="B95" s="2" t="str">
        <f>=HYPERLINK("https://m.tb.cn/h.7S1MT7a?tk=TWbPU0s9BFg", "https://m.tb.cn/h.7S1MT7a?tk=TWbPU0s9BFg")</f>
        <v>https://m.tb.cn/h.7S1MT7a?tk=TWbPU0s9BFg</v>
      </c>
    </row>
    <row r="96" ht="25.5" customHeight="1">
      <c r="A96">
        <v>2010</v>
      </c>
      <c r="B96" s="2" t="str">
        <f>=HYPERLINK("https://m.tb.cn/h.77GkR48?tk=QDSMU0sPNSt", "https://m.tb.cn/h.77GkR48?tk=QDSMU0sPNSt")</f>
        <v>https://m.tb.cn/h.77GkR48?tk=QDSMU0sPNSt</v>
      </c>
    </row>
    <row r="97" ht="25.5" customHeight="1">
      <c r="A97">
        <v>2011</v>
      </c>
      <c r="B97" s="2" t="str">
        <f>=HYPERLINK("https://m.tb.cn/h.7SwhfXc?tk=NnGDU0sOSX2", "https://m.tb.cn/h.7SwhfXc?tk=NnGDU0sOSX2")</f>
        <v>https://m.tb.cn/h.7SwhfXc?tk=NnGDU0sOSX2</v>
      </c>
    </row>
    <row r="98" ht="25.5" customHeight="1">
      <c r="A98">
        <v>2012</v>
      </c>
      <c r="B98" s="2" t="str">
        <f>=HYPERLINK("https://m.tb.cn/h.7S1DZJg?tk=30njU0sG2tk", "https://m.tb.cn/h.7S1DZJg?tk=30njU0sG2tk")</f>
        <v>https://m.tb.cn/h.7S1DZJg?tk=30njU0sG2tk</v>
      </c>
    </row>
    <row r="99" ht="25.5" customHeight="1">
      <c r="A99">
        <v>2013</v>
      </c>
      <c r="B99" s="2" t="str">
        <f>=HYPERLINK("https://m.tb.cn/h.7SwLtw1?tk=Pz5xU0suk1W", "https://m.tb.cn/h.7SwLtw1?tk=Pz5xU0suk1W")</f>
        <v>https://m.tb.cn/h.7SwLtw1?tk=Pz5xU0suk1W</v>
      </c>
    </row>
    <row r="100" ht="25.5" customHeight="1">
      <c r="A100">
        <v>2014</v>
      </c>
      <c r="B100" s="2" t="str">
        <f>=HYPERLINK("https://m.tb.cn/h.7S1C9VJ?tk=10YvU0svkiG", "https://m.tb.cn/h.7S1C9VJ?tk=10YvU0svkiG")</f>
        <v>https://m.tb.cn/h.7S1C9VJ?tk=10YvU0svkiG</v>
      </c>
    </row>
    <row r="101" ht="25.5" customHeight="1">
      <c r="A101">
        <v>2015</v>
      </c>
      <c r="B101" s="2" t="str">
        <f>=HYPERLINK("https://m.tb.cn/h.7Sm2ORO?tk=I4QaU0H1XIQ", "https://m.tb.cn/h.7Sm2ORO?tk=I4QaU0H1XIQ")</f>
        <v>https://m.tb.cn/h.7Sm2ORO?tk=I4QaU0H1XIQ</v>
      </c>
    </row>
    <row r="102" ht="25.5" customHeight="1">
      <c r="A102">
        <v>2016</v>
      </c>
      <c r="B102" s="2" t="str">
        <f>=HYPERLINK("https://m.tb.cn/h.7S74PVe?tk=g15TU0nWxuR", "https://m.tb.cn/h.7S74PVe?tk=g15TU0nWxuR")</f>
        <v>https://m.tb.cn/h.7S74PVe?tk=g15TU0nWxuR</v>
      </c>
    </row>
    <row r="103" ht="25.5" customHeight="1">
      <c r="A103">
        <v>2017</v>
      </c>
      <c r="B103" s="2" t="str">
        <f>=HYPERLINK("https://m.tb.cn/h.7hyxVDN?tk=WjsdU0MvMgO", "https://m.tb.cn/h.7hyxVDN?tk=WjsdU0MvMgO")</f>
        <v>https://m.tb.cn/h.7hyxVDN?tk=WjsdU0MvMgO</v>
      </c>
    </row>
    <row r="104" ht="25.5" customHeight="1">
      <c r="A104">
        <v>2018</v>
      </c>
      <c r="B104" s="2" t="str">
        <f>=HYPERLINK("https://m.tb.cn/h.7SPeqnX?tk=WB0XU0rZDBE", "https://m.tb.cn/h.7SPeqnX?tk=WB0XU0rZDBE")</f>
        <v>https://m.tb.cn/h.7SPeqnX?tk=WB0XU0rZDBE</v>
      </c>
    </row>
    <row r="105" ht="25.5" customHeight="1">
      <c r="A105">
        <v>2019</v>
      </c>
      <c r="B105" s="2" t="str">
        <f>=HYPERLINK("https://m.tb.cn/h.77sCDLO?tk=uWg3U0rcaao", "https://m.tb.cn/h.77sCDLO?tk=uWg3U0rcaao")</f>
        <v>https://m.tb.cn/h.77sCDLO?tk=uWg3U0rcaao</v>
      </c>
    </row>
    <row r="106" ht="25.5" customHeight="1">
      <c r="A106">
        <v>2020</v>
      </c>
      <c r="B106" s="2" t="str">
        <f>=HYPERLINK("https://m.tb.cn/h.76mYPYp?tk=8feZfAmMCLm", "https://m.tb.cn/h.76mYPYp?tk=8feZfAmMCLm")</f>
        <v>https://m.tb.cn/h.76mYPYp?tk=8feZfAmMCLm</v>
      </c>
    </row>
    <row r="107" ht="25.5" customHeight="1">
      <c r="A107">
        <v>2021</v>
      </c>
      <c r="B107" s="2" t="str">
        <f>=HYPERLINK("https://m.tb.cn/h.77tgR2r?tk=BQw8U0I7s7m", "https://m.tb.cn/h.77tgR2r?tk=BQw8U0I7s7m")</f>
        <v>https://m.tb.cn/h.77tgR2r?tk=BQw8U0I7s7m</v>
      </c>
    </row>
    <row r="108" ht="25.5" customHeight="1">
      <c r="A108">
        <v>2022</v>
      </c>
      <c r="B108" s="2" t="str">
        <f>=HYPERLINK("https://m.tb.cn/h.7SlN5bW?tk=kJNWU0IiOu9", "https://m.tb.cn/h.7SlN5bW?tk=kJNWU0IiOu9")</f>
        <v>https://m.tb.cn/h.7SlN5bW?tk=kJNWU0IiOu9</v>
      </c>
    </row>
    <row r="109" ht="25.5" customHeight="1">
      <c r="A109">
        <v>2023</v>
      </c>
      <c r="B109" s="2" t="str">
        <f>=HYPERLINK("https://m.tb.cn/h.7Sloghl?tk=soYvU0IQHDG", "https://m.tb.cn/h.7Sloghl?tk=soYvU0IQHDG")</f>
        <v>https://m.tb.cn/h.7Sloghl?tk=soYvU0IQHDG</v>
      </c>
    </row>
    <row r="110" ht="25.5" customHeight="1">
      <c r="A110">
        <v>2024</v>
      </c>
      <c r="B110" s="2" t="str">
        <f>=HYPERLINK("https://m.tb.cn/h.7Slp4xY?tk=k3mWU0IkR4j", "https://m.tb.cn/h.7Slp4xY?tk=k3mWU0IkR4j")</f>
        <v>https://m.tb.cn/h.7Slp4xY?tk=k3mWU0IkR4j</v>
      </c>
    </row>
    <row r="111" ht="25.5" customHeight="1">
      <c r="A111">
        <v>2025</v>
      </c>
      <c r="B111" s="2" t="str">
        <f>=HYPERLINK("https://m.tb.cn/h.7S1d0kj?tk=iEPdU0sYeKc", "https://m.tb.cn/h.7S1d0kj?tk=iEPdU0sYeKc")</f>
        <v>https://m.tb.cn/h.7S1d0kj?tk=iEPdU0sYeKc</v>
      </c>
    </row>
    <row r="112" ht="25.5" customHeight="1">
      <c r="A112">
        <v>2026</v>
      </c>
      <c r="B112" s="2" t="str">
        <f>=HYPERLINK("https://m.tb.cn/h.7SO8FUF?tk=vayXU0sTBMA", "https://m.tb.cn/h.7SO8FUF?tk=vayXU0sTBMA")</f>
        <v>https://m.tb.cn/h.7SO8FUF?tk=vayXU0sTBMA</v>
      </c>
    </row>
    <row r="113" ht="25.5" customHeight="1">
      <c r="A113">
        <v>2027</v>
      </c>
      <c r="B113" s="2" t="str">
        <f>=HYPERLINK("https://m.tb.cn/h.7S1Rf1k?tk=QxRQU0shcsL", "https://m.tb.cn/h.7S1Rf1k?tk=QxRQU0shcsL")</f>
        <v>https://m.tb.cn/h.7S1Rf1k?tk=QxRQU0shcsL</v>
      </c>
    </row>
    <row r="114" ht="25.5" customHeight="1">
      <c r="A114">
        <v>2028</v>
      </c>
      <c r="B114" s="2" t="str">
        <f>=HYPERLINK("https://m.tb.cn/h.7SOP8mN?tk=poJ4U0simSg", "https://m.tb.cn/h.7SOP8mN?tk=poJ4U0simSg")</f>
        <v>https://m.tb.cn/h.7SOP8mN?tk=poJ4U0simSg</v>
      </c>
    </row>
    <row r="115" ht="25.5" customHeight="1">
      <c r="A115">
        <v>2029</v>
      </c>
      <c r="B115" s="2" t="str">
        <f>=HYPERLINK("https://m.tb.cn/h.77NGvUl?tk=4120U0Od1hx", "https://m.tb.cn/h.77NGvUl?tk=4120U0Od1hx")</f>
        <v>https://m.tb.cn/h.77NGvUl?tk=4120U0Od1hx</v>
      </c>
    </row>
    <row r="116" ht="25.5" customHeight="1">
      <c r="A116">
        <v>2030</v>
      </c>
      <c r="B116" s="2" t="str">
        <f>=HYPERLINK("https://m.tb.cn/h.77NFhXx?tk=r2YtU0OdySF", "https://m.tb.cn/h.77NFhXx?tk=r2YtU0OdySF")</f>
        <v>https://m.tb.cn/h.77NFhXx?tk=r2YtU0OdySF</v>
      </c>
    </row>
    <row r="117" ht="25.5" customHeight="1">
      <c r="A117">
        <v>2031</v>
      </c>
      <c r="B117" s="2" t="str">
        <f>=HYPERLINK("https://m.tb.cn/h.7hwgRYe?tk=h1qgU0OU6eT", "https://m.tb.cn/h.7hwgRYe?tk=h1qgU0OU6eT")</f>
        <v>https://m.tb.cn/h.7hwgRYe?tk=h1qgU0OU6eT</v>
      </c>
    </row>
    <row r="118" ht="25.5" customHeight="1">
      <c r="A118">
        <v>2032</v>
      </c>
      <c r="B118" s="2" t="str">
        <f>=HYPERLINK("https://m.tb.cn/h.7S6TTpS?tk=Aj75U0OT3um", "https://m.tb.cn/h.7S6TTpS?tk=Aj75U0OT3um")</f>
        <v>https://m.tb.cn/h.7S6TTpS?tk=Aj75U0OT3um</v>
      </c>
    </row>
    <row r="119" ht="25.5" customHeight="1">
      <c r="A119">
        <v>2033</v>
      </c>
      <c r="B119" s="2" t="str">
        <f>=HYPERLINK("https://m.tb.cn/h.7SKzYEg?tk=kXpfU0m2fyq", "https://m.tb.cn/h.7SKzYEg?tk=kXpfU0m2fyq")</f>
        <v>https://m.tb.cn/h.7SKzYEg?tk=kXpfU0m2fyq</v>
      </c>
    </row>
    <row r="120" ht="25.5" customHeight="1">
      <c r="A120">
        <v>2034</v>
      </c>
      <c r="B120" s="2" t="str">
        <f>=HYPERLINK("https://m.tb.cn/h.7Sq5Bv7?tk=DzsrU0m80Zf", "https://m.tb.cn/h.7Sq5Bv7?tk=DzsrU0m80Zf")</f>
        <v>https://m.tb.cn/h.7Sq5Bv7?tk=DzsrU0m80Zf</v>
      </c>
    </row>
    <row r="121" ht="25.5" customHeight="1">
      <c r="A121">
        <v>2035</v>
      </c>
      <c r="B121" s="2" t="str">
        <f>=HYPERLINK("https://m.tb.cn/h.7Sh9NCX?tk=yd5MU0mj9fK", "https://m.tb.cn/h.7Sh9NCX?tk=yd5MU0mj9fK")</f>
        <v>https://m.tb.cn/h.7Sh9NCX?tk=yd5MU0mj9fK</v>
      </c>
    </row>
    <row r="122" ht="25.5" customHeight="1">
      <c r="A122">
        <v>2036</v>
      </c>
      <c r="B122" s="2" t="str">
        <f>=HYPERLINK("https://m.tb.cn/h.7hDmJh3?tk=W4vkU0m9lPG", "https://m.tb.cn/h.7hDmJh3?tk=W4vkU0m9lPG")</f>
        <v>https://m.tb.cn/h.7hDmJh3?tk=W4vkU0m9lPG</v>
      </c>
    </row>
    <row r="123" ht="25.5" customHeight="1">
      <c r="A123">
        <v>2037</v>
      </c>
      <c r="B123" s="2" t="str">
        <f>=HYPERLINK("https://m.tb.cn/h.7hDpTy0?tk=VfurU0mn6pB", "https://m.tb.cn/h.7hDpTy0?tk=VfurU0mn6pB")</f>
        <v>https://m.tb.cn/h.7hDpTy0?tk=VfurU0mn6pB</v>
      </c>
    </row>
    <row r="124" ht="25.5" customHeight="1">
      <c r="A124">
        <v>2038</v>
      </c>
      <c r="B124" s="2" t="str">
        <f>=HYPERLINK("https://m.tb.cn/h.7hxe9iG?tk=2wmBU0N22tL", "https://m.tb.cn/h.7hxe9iG?tk=2wmBU0N22tL")</f>
        <v>https://m.tb.cn/h.7hxe9iG?tk=2wmBU0N22tL</v>
      </c>
    </row>
    <row r="125" ht="25.5" customHeight="1">
      <c r="A125">
        <v>2039</v>
      </c>
      <c r="B125" s="2" t="str">
        <f>=HYPERLINK("https://m.tb.cn/h.7ST246P?tk=r4avU0lV4Q3", "https://m.tb.cn/h.7ST246P?tk=r4avU0lV4Q3")</f>
        <v>https://m.tb.cn/h.7ST246P?tk=r4avU0lV4Q3</v>
      </c>
    </row>
    <row r="126" ht="25.5" customHeight="1">
      <c r="A126">
        <v>2040</v>
      </c>
      <c r="B126" s="2" t="str">
        <f>=HYPERLINK("https://m.tb.cn/h.77mVgz3?tk=YqSvU0PkILc", "https://m.tb.cn/h.77mVgz3?tk=YqSvU0PkILc")</f>
        <v>https://m.tb.cn/h.77mVgz3?tk=YqSvU0PkILc</v>
      </c>
    </row>
    <row r="127" ht="25.5" customHeight="1">
      <c r="A127">
        <v>2041</v>
      </c>
      <c r="B127" s="2" t="str">
        <f>=HYPERLINK("https://m.tb.cn/h.77NSpqd?tk=Mgv6U0lJBPe", "https://m.tb.cn/h.77NSpqd?tk=Mgv6U0lJBPe")</f>
        <v>https://m.tb.cn/h.77NSpqd?tk=Mgv6U0lJBPe</v>
      </c>
    </row>
    <row r="128" ht="25.5" customHeight="1">
      <c r="A128">
        <v>2042</v>
      </c>
      <c r="B128" s="2" t="str">
        <f>=HYPERLINK("https://m.tb.cn/h.7STGHhr?tk=WhNlU0luOWC", "https://m.tb.cn/h.7STGHhr?tk=WhNlU0luOWC")</f>
        <v>https://m.tb.cn/h.7STGHhr?tk=WhNlU0luOWC</v>
      </c>
    </row>
    <row r="129" ht="25.5" customHeight="1">
      <c r="A129">
        <v>2043</v>
      </c>
      <c r="B129" s="2" t="str">
        <f>=HYPERLINK("https://m.tb.cn/h.7SpyONk?tk=PsBxU0O1iVg", "https://m.tb.cn/h.7SpyONk?tk=PsBxU0O1iVg")</f>
        <v>https://m.tb.cn/h.7SpyONk?tk=PsBxU0O1iVg</v>
      </c>
    </row>
    <row r="130" ht="25.5" customHeight="1">
      <c r="A130">
        <v>2044</v>
      </c>
      <c r="B130" s="2" t="str">
        <f>=HYPERLINK("https://m.tb.cn/h.7hv8cSG?tk=334VU0PQ0fT", "https://m.tb.cn/h.7hv8cSG?tk=334VU0PQ0fT")</f>
        <v>https://m.tb.cn/h.7hv8cSG?tk=334VU0PQ0fT</v>
      </c>
    </row>
    <row r="131" ht="25.5" customHeight="1">
      <c r="A131">
        <v>2045</v>
      </c>
      <c r="B131" s="2" t="str">
        <f>=HYPERLINK("https://m.tb.cn/h.77mdtpo?tk=C8XkU0PQxSj", "https://m.tb.cn/h.77mdtpo?tk=C8XkU0PQxSj")</f>
        <v>https://m.tb.cn/h.77mdtpo?tk=C8XkU0PQxSj</v>
      </c>
    </row>
    <row r="132" ht="25.5" customHeight="1">
      <c r="A132">
        <v>2046</v>
      </c>
      <c r="B132" s="2" t="str">
        <f>=HYPERLINK("https://m.tb.cn/h.7SghDy4?tk=IYnrU0Pkbn2", "https://m.tb.cn/h.7SghDy4?tk=IYnrU0Pkbn2")</f>
        <v>https://m.tb.cn/h.7SghDy4?tk=IYnrU0Pkbn2</v>
      </c>
    </row>
    <row r="133" ht="25.5" customHeight="1">
      <c r="A133">
        <v>2047</v>
      </c>
      <c r="B133" s="2" t="str">
        <f>=HYPERLINK("https://m.tb.cn/h.77mUAwN?tk=skEjU0PNbyB", "https://m.tb.cn/h.77mUAwN?tk=skEjU0PNbyB")</f>
        <v>https://m.tb.cn/h.77mUAwN?tk=skEjU0PNbyB</v>
      </c>
    </row>
    <row r="134" ht="25.5" customHeight="1">
      <c r="A134">
        <v>2048</v>
      </c>
      <c r="B134" s="2" t="str">
        <f>=HYPERLINK("https://m.tb.cn/h.7SLNwnT?tk=cN5xU0PHWSC", "https://m.tb.cn/h.7SLNwnT?tk=cN5xU0PHWSC")</f>
        <v>https://m.tb.cn/h.7SLNwnT?tk=cN5xU0PHWSC</v>
      </c>
    </row>
    <row r="135" ht="25.5" customHeight="1">
      <c r="A135">
        <v>2049</v>
      </c>
      <c r="B135" s="2" t="str">
        <f>=HYPERLINK("https://m.tb.cn/h.77mMbJ4?tk=vt7kU0PxduH", "https://m.tb.cn/h.77mMbJ4?tk=vt7kU0PxduH")</f>
        <v>https://m.tb.cn/h.77mMbJ4?tk=vt7kU0PxduH</v>
      </c>
    </row>
    <row r="136" ht="25.5" customHeight="1">
      <c r="A136">
        <v>2050</v>
      </c>
      <c r="B136" s="2" t="str">
        <f>=HYPERLINK("https://m.tb.cn/h.7Sgx0BG?tk=kRTiU0la41B", "https://m.tb.cn/h.7Sgx0BG?tk=kRTiU0la41B")</f>
        <v>https://m.tb.cn/h.7Sgx0BG?tk=kRTiU0la41B</v>
      </c>
    </row>
    <row r="137" ht="25.5" customHeight="1">
      <c r="A137">
        <v>2051</v>
      </c>
      <c r="B137" s="2" t="str">
        <f>=HYPERLINK("https://m.tb.cn/h.7Sw59X7?tk=ARBDU0s9iYb", "https://m.tb.cn/h.7Sw59X7?tk=ARBDU0s9iYb")</f>
        <v>https://m.tb.cn/h.7Sw59X7?tk=ARBDU0s9iYb</v>
      </c>
    </row>
    <row r="138" ht="25.5" customHeight="1">
      <c r="A138">
        <v>2052</v>
      </c>
      <c r="B138" s="2" t="str">
        <f>=HYPERLINK("https://m.tb.cn/h.77GOyOO?tk=ELWtU0sn3w1", "https://m.tb.cn/h.77GOyOO?tk=ELWtU0sn3w1")</f>
        <v>https://m.tb.cn/h.77GOyOO?tk=ELWtU0sn3w1</v>
      </c>
    </row>
    <row r="139" ht="25.5" customHeight="1">
      <c r="A139">
        <v>2053</v>
      </c>
      <c r="B139" s="2" t="str">
        <f>=HYPERLINK("https://m.tb.cn/h.7S1tNb6?tk=zAk2U0sK0vh", "https://m.tb.cn/h.7S1tNb6?tk=zAk2U0sK0vh")</f>
        <v>https://m.tb.cn/h.7S1tNb6?tk=zAk2U0sK0vh</v>
      </c>
    </row>
    <row r="140" ht="25.5" customHeight="1">
      <c r="A140">
        <v>2054</v>
      </c>
      <c r="B140" s="2" t="str">
        <f>=HYPERLINK("https://m.tb.cn/h.7SwlpCl?tk=kyqkU0sJSEM", "https://m.tb.cn/h.7SwlpCl?tk=kyqkU0sJSEM")</f>
        <v>https://m.tb.cn/h.7SwlpCl?tk=kyqkU0sJSEM</v>
      </c>
    </row>
    <row r="141" ht="25.5" customHeight="1">
      <c r="A141">
        <v>2055</v>
      </c>
      <c r="B141" s="2" t="str">
        <f>=HYPERLINK("https://m.tb.cn/h.7Scb8yj?tk=rmHoU0syYeu", "https://m.tb.cn/h.7Scb8yj?tk=rmHoU0syYeu")</f>
        <v>https://m.tb.cn/h.7Scb8yj?tk=rmHoU0syYeu</v>
      </c>
    </row>
    <row r="142" ht="25.5" customHeight="1">
      <c r="A142">
        <v>2056</v>
      </c>
      <c r="B142" s="2" t="str">
        <f>=HYPERLINK("https://m.tb.cn/h.7SmaDu5?tk=BLwDU0syqXc", "https://m.tb.cn/h.7SmaDu5?tk=BLwDU0syqXc")</f>
        <v>https://m.tb.cn/h.7SmaDu5?tk=BLwDU0syqXc</v>
      </c>
    </row>
    <row r="143" ht="25.5" customHeight="1">
      <c r="A143">
        <v>2057</v>
      </c>
      <c r="B143" s="2" t="str">
        <f>=HYPERLINK("https://m.tb.cn/h.7SwttRt?tk=HoVnU0syOqY", "https://m.tb.cn/h.7SwttRt?tk=HoVnU0syOqY")</f>
        <v>https://m.tb.cn/h.7SwttRt?tk=HoVnU0syOqY</v>
      </c>
    </row>
    <row r="144" ht="25.5" customHeight="1">
      <c r="A144">
        <v>2058</v>
      </c>
      <c r="B144" s="2" t="str">
        <f>=HYPERLINK("https://m.tb.cn/h.77lBObL?tk=Q4YIU0k6IqI", "https://m.tb.cn/h.77lBObL?tk=Q4YIU0k6IqI")</f>
        <v>https://m.tb.cn/h.77lBObL?tk=Q4YIU0k6IqI</v>
      </c>
    </row>
    <row r="145" ht="25.5" customHeight="1">
      <c r="A145">
        <v>2059</v>
      </c>
      <c r="B145" s="2" t="str">
        <f>=HYPERLINK("https://m.tb.cn/h.7SO8FUF?tk=vayXU0sTBMA", "https://m.tb.cn/h.7SO8FUF?tk=vayXU0sTBMA")</f>
        <v>https://m.tb.cn/h.7SO8FUF?tk=vayXU0sTBMA</v>
      </c>
    </row>
    <row r="146" ht="25.5" customHeight="1">
      <c r="A146">
        <v>2060</v>
      </c>
      <c r="B146" s="2" t="str">
        <f>=HYPERLINK("https://m.tb.cn/h.7SwENU4?tk=FvRcU0HZtnp", "https://m.tb.cn/h.7SwENU4?tk=FvRcU0HZtnp")</f>
        <v>https://m.tb.cn/h.7SwENU4?tk=FvRcU0HZtnp</v>
      </c>
    </row>
    <row r="147" ht="25.5" customHeight="1">
      <c r="A147">
        <v>2061</v>
      </c>
      <c r="B147" s="2" t="str">
        <f>=HYPERLINK("https://m.tb.cn/h.77u2Qav?tk=IE0XU0H2hwC", "https://m.tb.cn/h.77u2Qav?tk=IE0XU0H2hwC")</f>
        <v>https://m.tb.cn/h.77u2Qav?tk=IE0XU0H2hwC</v>
      </c>
    </row>
    <row r="148" ht="25.5" customHeight="1">
      <c r="A148">
        <v>2062</v>
      </c>
      <c r="B148" s="2" t="str">
        <f>=HYPERLINK("https://m.tb.cn/h.7Sm8AvF?tk=CLorU0H6j35", "https://m.tb.cn/h.7Sm8AvF?tk=CLorU0H6j35")</f>
        <v>https://m.tb.cn/h.7Sm8AvF?tk=CLorU0H6j35</v>
      </c>
    </row>
    <row r="149" ht="25.5" customHeight="1">
      <c r="A149">
        <v>2063</v>
      </c>
      <c r="B149" s="2" t="str">
        <f>=HYPERLINK("https://m.tb.cn/h.7ScSuBz?tk=4rOYU0HUerh", "https://m.tb.cn/h.7ScSuBz?tk=4rOYU0HUerh")</f>
        <v>https://m.tb.cn/h.7ScSuBz?tk=4rOYU0HUerh</v>
      </c>
    </row>
    <row r="150" ht="25.5" customHeight="1">
      <c r="A150">
        <v>2064</v>
      </c>
      <c r="B150" s="2" t="str">
        <f>=HYPERLINK("https://m.tb.cn/h.7SDUDD5?tk=7M6IU0HQUB2", "https://m.tb.cn/h.7SDUDD5?tk=7M6IU0HQUB2")</f>
        <v>https://m.tb.cn/h.7SDUDD5?tk=7M6IU0HQUB2</v>
      </c>
    </row>
    <row r="151" ht="25.5" customHeight="1">
      <c r="A151">
        <v>2065</v>
      </c>
      <c r="B151" s="2" t="str">
        <f>=HYPERLINK("https://m.tb.cn/h.7ScMU3E?tk=fspeU0HlMp6", "https://m.tb.cn/h.7ScMU3E?tk=fspeU0HlMp6")</f>
        <v>https://m.tb.cn/h.7ScMU3E?tk=fspeU0HlMp6</v>
      </c>
    </row>
    <row r="152" ht="25.5" customHeight="1">
      <c r="A152">
        <v>2066</v>
      </c>
      <c r="B152" s="2" t="str">
        <f>=HYPERLINK("https://m.tb.cn/h.7UeFWID?tk=WMkyfyxXCBX", "https://m.tb.cn/h.7UeFWID?tk=WMkyfyxXCBX")</f>
        <v>https://m.tb.cn/h.7UeFWID?tk=WMkyfyxXCBX</v>
      </c>
    </row>
    <row r="153" ht="25.5" customHeight="1">
      <c r="A153">
        <v>2067</v>
      </c>
      <c r="B153" s="2" t="str">
        <f>=HYPERLINK("https://m.tb.cn/h.7S1QuH9?tk=D3b4U0gqKwI", "https://m.tb.cn/h.7S1QuH9?tk=D3b4U0gqKwI")</f>
        <v>https://m.tb.cn/h.7S1QuH9?tk=D3b4U0gqKwI</v>
      </c>
    </row>
    <row r="154" ht="25.5" customHeight="1">
      <c r="A154">
        <v>2068</v>
      </c>
      <c r="B154" s="2" t="str">
        <f>=HYPERLINK("https://m.tb.cn/h.7S1C9VJ?tk=10YvU0svkiG", "https://m.tb.cn/h.7S1C9VJ?tk=10YvU0svkiG")</f>
        <v>https://m.tb.cn/h.7S1C9VJ?tk=10YvU0svkiG</v>
      </c>
    </row>
    <row r="155" ht="25.5" customHeight="1">
      <c r="A155">
        <v>2069</v>
      </c>
      <c r="B155" s="2" t="str">
        <f>=HYPERLINK("https://m.tb.cn/h.7SmDXRq?tk=ntc4U0HF7WP", "https://m.tb.cn/h.7SmDXRq?tk=ntc4U0HF7WP")</f>
        <v>https://m.tb.cn/h.7SmDXRq?tk=ntc4U0HF7WP</v>
      </c>
    </row>
    <row r="156" ht="25.5" customHeight="1">
      <c r="A156">
        <v>2070</v>
      </c>
      <c r="B156" s="2" t="str">
        <f>=HYPERLINK("https://m.tb.cn/h.7SX4E0U?tk=JpktU0tXQcN", "https://m.tb.cn/h.7SX4E0U?tk=JpktU0tXQcN")</f>
        <v>https://m.tb.cn/h.7SX4E0U?tk=JpktU0tXQcN</v>
      </c>
    </row>
    <row r="157" ht="25.5" customHeight="1">
      <c r="A157">
        <v>2071</v>
      </c>
      <c r="B157" s="2" t="str">
        <f>=HYPERLINK("https://m.tb.cn/h.7SN5yvH?tk=K6jtU0tfwqO", "https://m.tb.cn/h.7SN5yvH?tk=K6jtU0tfwqO")</f>
        <v>https://m.tb.cn/h.7SN5yvH?tk=K6jtU0tfwqO</v>
      </c>
    </row>
    <row r="158" ht="25.5" customHeight="1">
      <c r="A158">
        <v>2072</v>
      </c>
      <c r="B158" s="2" t="str">
        <f>=HYPERLINK("https://m.tb.cn/h.7SXS16b?tk=UwYIU0t4DAV", "https://m.tb.cn/h.7SXS16b?tk=UwYIU0t4DAV")</f>
        <v>https://m.tb.cn/h.7SXS16b?tk=UwYIU0t4DAV</v>
      </c>
    </row>
    <row r="159" ht="25.5" customHeight="1">
      <c r="A159">
        <v>2073</v>
      </c>
      <c r="B159" s="2" t="str">
        <f>=HYPERLINK("https://m.tb.cn/h.77FSmTS?tk=NUglU0thqdl", "https://m.tb.cn/h.77FSmTS?tk=NUglU0thqdl")</f>
        <v>https://m.tb.cn/h.77FSmTS?tk=NUglU0thqdl</v>
      </c>
    </row>
    <row r="160" ht="25.5" customHeight="1">
      <c r="A160">
        <v>2074</v>
      </c>
      <c r="B160" s="2" t="str">
        <f>=HYPERLINK("https://m.tb.cn/h.7S22ftw?tk=m6peU0GZWax", "https://m.tb.cn/h.7S22ftw?tk=m6peU0GZWax")</f>
        <v>https://m.tb.cn/h.7S22ftw?tk=m6peU0GZWax</v>
      </c>
    </row>
    <row r="161" ht="25.5" customHeight="1">
      <c r="A161">
        <v>2075</v>
      </c>
      <c r="B161" s="2" t="str">
        <f>=HYPERLINK("https://m.tb.cn/h.7S2MJEQ?tk=9n4JU0GQPJ9", "https://m.tb.cn/h.7S2MJEQ?tk=9n4JU0GQPJ9")</f>
        <v>https://m.tb.cn/h.7S2MJEQ?tk=9n4JU0GQPJ9</v>
      </c>
    </row>
    <row r="162" ht="25.5" customHeight="1">
      <c r="A162">
        <v>2076</v>
      </c>
      <c r="B162" s="2" t="str">
        <f>=HYPERLINK("https://m.tb.cn/h.77vqzfl?tk=CmnPU0GrPUi", "https://m.tb.cn/h.77vqzfl?tk=CmnPU0GrPUi")</f>
        <v>https://m.tb.cn/h.77vqzfl?tk=CmnPU0GrPUi</v>
      </c>
    </row>
    <row r="163" ht="25.5" customHeight="1">
      <c r="A163">
        <v>2077</v>
      </c>
      <c r="B163" s="2" t="str">
        <f>=HYPERLINK("https://m.tb.cn/h.77EMtev?tk=pRauU0uNP7M", "https://m.tb.cn/h.77EMtev?tk=pRauU0uNP7M")</f>
        <v>https://m.tb.cn/h.77EMtev?tk=pRauU0uNP7M</v>
      </c>
    </row>
    <row r="164" ht="25.5" customHeight="1">
      <c r="A164">
        <v>2078</v>
      </c>
      <c r="B164" s="2" t="str">
        <f>=HYPERLINK("https://m.tb.cn/h.7SyL8yN?tk=OjUYU0urWGP", "https://m.tb.cn/h.7SyL8yN?tk=OjUYU0urWGP")</f>
        <v>https://m.tb.cn/h.7SyL8yN?tk=OjUYU0urWGP</v>
      </c>
    </row>
    <row r="165" ht="25.5" customHeight="1">
      <c r="A165">
        <v>2079</v>
      </c>
      <c r="B165" s="2" t="str">
        <f>=HYPERLINK("https://m.tb.cn/h.77lBObL?tk=Q4YIU0k6IqI", "https://m.tb.cn/h.77lBObL?tk=Q4YIU0k6IqI")</f>
        <v>https://m.tb.cn/h.77lBObL?tk=Q4YIU0k6IqI</v>
      </c>
    </row>
    <row r="166" ht="25.5" customHeight="1">
      <c r="A166">
        <v>2080</v>
      </c>
      <c r="B166" s="2" t="str">
        <f>=HYPERLINK("https://m.tb.cn/h.7SdDvMZ?tk=WqgFU0uHNly", "https://m.tb.cn/h.7SdDvMZ?tk=WqgFU0uHNly")</f>
        <v>https://m.tb.cn/h.7SdDvMZ?tk=WqgFU0uHNly</v>
      </c>
    </row>
    <row r="167" ht="25.5" customHeight="1">
      <c r="A167">
        <v>2081</v>
      </c>
      <c r="B167" s="2" t="str">
        <f>=HYPERLINK("https://m.tb.cn/h.7SWa2U4?tk=2uIZU0uvxjJ", "https://m.tb.cn/h.7SWa2U4?tk=2uIZU0uvxjJ")</f>
        <v>https://m.tb.cn/h.7SWa2U4?tk=2uIZU0uvxjJ</v>
      </c>
    </row>
    <row r="168" ht="25.5" customHeight="1">
      <c r="A168">
        <v>2082</v>
      </c>
      <c r="B168" s="2" t="str">
        <f>=HYPERLINK("https://m.tb.cn/h.77vHR1p?tk=3e0gU0GtMIS", "https://m.tb.cn/h.77vHR1p?tk=3e0gU0GtMIS")</f>
        <v>https://m.tb.cn/h.77vHR1p?tk=3e0gU0GtMIS</v>
      </c>
    </row>
    <row r="169" ht="25.5" customHeight="1">
      <c r="A169">
        <v>2083</v>
      </c>
      <c r="B169" s="2" t="str">
        <f>=HYPERLINK("https://m.tb.cn/h.7VEtntA?tk=vdQzfxXvYU3", "https://m.tb.cn/h.7VEtntA?tk=vdQzfxXvYU3")</f>
        <v>https://m.tb.cn/h.7VEtntA?tk=vdQzfxXvYU3</v>
      </c>
    </row>
    <row r="170" ht="25.5" customHeight="1">
      <c r="A170">
        <v>2084</v>
      </c>
      <c r="B170" s="2" t="str">
        <f>=HYPERLINK("https://m.tb.cn/h.7SBlRrV?tk=HUIUU0FOEP3", "https://m.tb.cn/h.7SBlRrV?tk=HUIUU0FOEP3")</f>
        <v>https://m.tb.cn/h.7SBlRrV?tk=HUIUU0FOEP3</v>
      </c>
    </row>
    <row r="171" ht="25.5" customHeight="1">
      <c r="A171">
        <v>2085</v>
      </c>
      <c r="B171" s="2" t="str">
        <f>=HYPERLINK("https://m.tb.cn/h.77lBObL?tk=Q4YIU0k6IqI", "https://m.tb.cn/h.77lBObL?tk=Q4YIU0k6IqI")</f>
        <v>https://m.tb.cn/h.77lBObL?tk=Q4YIU0k6IqI</v>
      </c>
    </row>
    <row r="172" ht="25.5" customHeight="1">
      <c r="A172">
        <v>2086</v>
      </c>
      <c r="B172" s="2" t="str">
        <f>=HYPERLINK("https://m.tb.cn/h.7SWsGzE?tk=2YAWU0FpkFw", "https://m.tb.cn/h.7SWsGzE?tk=2YAWU0FpkFw")</f>
        <v>https://m.tb.cn/h.7SWsGzE?tk=2YAWU0FpkFw</v>
      </c>
    </row>
    <row r="173" ht="25.5" customHeight="1">
      <c r="A173">
        <v>2087</v>
      </c>
      <c r="B173" s="2" t="str">
        <f>=HYPERLINK("https://m.tb.cn/h.7SoJaQX?tk=uM57U0FKI1B", "https://m.tb.cn/h.7SoJaQX?tk=uM57U0FKI1B")</f>
        <v>https://m.tb.cn/h.7SoJaQX?tk=uM57U0FKI1B</v>
      </c>
    </row>
    <row r="174" ht="25.5" customHeight="1">
      <c r="A174">
        <v>2088</v>
      </c>
      <c r="B174" s="2" t="str">
        <f>=HYPERLINK("https://m.tb.cn/h.7SBKIWl?tk=rTNJU0FqQwi", "https://m.tb.cn/h.7SBKIWl?tk=rTNJU0FqQwi")</f>
        <v>https://m.tb.cn/h.7SBKIWl?tk=rTNJU0FqQwi</v>
      </c>
    </row>
    <row r="175" ht="25.5" customHeight="1">
      <c r="A175">
        <v>2089</v>
      </c>
      <c r="B175" s="2" t="str">
        <f>=HYPERLINK("https://m.tb.cn/h.7Sot9gr?tk=UpY1U0FGQwT", "https://m.tb.cn/h.7Sot9gr?tk=UpY1U0FGQwT")</f>
        <v>https://m.tb.cn/h.7Sot9gr?tk=UpY1U0FGQwT</v>
      </c>
    </row>
    <row r="176" ht="25.5" customHeight="1">
      <c r="A176">
        <v>2090</v>
      </c>
      <c r="B176" s="2" t="str">
        <f>=HYPERLINK("https://m.tb.cn/h.7SBvQXd?tk=iZGlU0FDckG", "https://m.tb.cn/h.7SBvQXd?tk=iZGlU0FDckG")</f>
        <v>https://m.tb.cn/h.7SBvQXd?tk=iZGlU0FDckG</v>
      </c>
    </row>
    <row r="177" ht="25.5" customHeight="1">
      <c r="A177">
        <v>2091</v>
      </c>
      <c r="B177" s="2" t="str">
        <f>=HYPERLINK("https://m.tb.cn/h.77lBObL?tk=Q4YIU0k6IqI", "https://m.tb.cn/h.77lBObL?tk=Q4YIU0k6IqI")</f>
        <v>https://m.tb.cn/h.77lBObL?tk=Q4YIU0k6IqI</v>
      </c>
    </row>
    <row r="178" ht="25.5" customHeight="1">
      <c r="A178">
        <v>2092</v>
      </c>
      <c r="B178" s="2" t="str">
        <f>=HYPERLINK("https://m.tb.cn/h.7SLc3uX?tk=q08MU0v1t79", "https://m.tb.cn/h.7SLc3uX?tk=q08MU0v1t79")</f>
        <v>https://m.tb.cn/h.7SLc3uX?tk=q08MU0v1t79</v>
      </c>
    </row>
    <row r="179" ht="25.5" customHeight="1">
      <c r="A179">
        <v>2093</v>
      </c>
      <c r="B179" s="2" t="str">
        <f>=HYPERLINK("https://m.tb.cn/h.7SzkKbY?tk=CTUrU0vmi6H", "https://m.tb.cn/h.7SzkKbY?tk=CTUrU0vmi6H")</f>
        <v>https://m.tb.cn/h.7SzkKbY?tk=CTUrU0vmi6H</v>
      </c>
    </row>
    <row r="180" ht="25.5" customHeight="1">
      <c r="A180">
        <v>2094</v>
      </c>
      <c r="B180" s="2" t="str">
        <f>=HYPERLINK("https://m.tb.cn/h.7SLLRoH?tk=H4b7U0vN7ce", "https://m.tb.cn/h.7SLLRoH?tk=H4b7U0vN7ce")</f>
        <v>https://m.tb.cn/h.7SLLRoH?tk=H4b7U0vN7ce</v>
      </c>
    </row>
    <row r="181" ht="25.5" customHeight="1">
      <c r="A181">
        <v>2095</v>
      </c>
      <c r="B181" s="2" t="str">
        <f>=HYPERLINK("https://m.tb.cn/h.7S3HiTt?tk=aNqkU0vofVQ", "https://m.tb.cn/h.7S3HiTt?tk=aNqkU0vofVQ")</f>
        <v>https://m.tb.cn/h.7S3HiTt?tk=aNqkU0vofVQ</v>
      </c>
    </row>
    <row r="182" ht="25.5" customHeight="1">
      <c r="A182">
        <v>2096</v>
      </c>
      <c r="B182" s="2" t="str">
        <f>=HYPERLINK("https://m.tb.cn/h.77Dn5B1?tk=6Oy3U0vN8fN", "https://m.tb.cn/h.77Dn5B1?tk=6Oy3U0vN8fN")</f>
        <v>https://m.tb.cn/h.77Dn5B1?tk=6Oy3U0vN8fN</v>
      </c>
    </row>
    <row r="183" ht="25.5" customHeight="1">
      <c r="A183">
        <v>2097</v>
      </c>
      <c r="B183" s="2" t="str">
        <f>=HYPERLINK("https://m.tb.cn/h.77DH0D4?tk=0JiDU0vt8o2", "https://m.tb.cn/h.77DH0D4?tk=0JiDU0vt8o2")</f>
        <v>https://m.tb.cn/h.77DH0D4?tk=0JiDU0vt8o2</v>
      </c>
    </row>
    <row r="184" ht="25.5" customHeight="1">
      <c r="A184">
        <v>2098</v>
      </c>
      <c r="B184" s="2" t="str">
        <f>=HYPERLINK("https://m.tb.cn/h.7Szyahd?tk=AQLoU0vBDkB", "https://m.tb.cn/h.7Szyahd?tk=AQLoU0vBDkB")</f>
        <v>https://m.tb.cn/h.7Szyahd?tk=AQLoU0vBDkB</v>
      </c>
    </row>
    <row r="185" ht="25.5" customHeight="1">
      <c r="A185">
        <v>2099</v>
      </c>
      <c r="B185" s="2" t="str">
        <f>=HYPERLINK("https://m.tb.cn/h.7SpZaLU?tk=20DlU0vAu2t", "https://m.tb.cn/h.7SpZaLU?tk=20DlU0vAu2t")</f>
        <v>https://m.tb.cn/h.7SpZaLU?tk=20DlU0vAu2t</v>
      </c>
    </row>
    <row r="186" ht="25.5" customHeight="1">
      <c r="A186">
        <v>2100</v>
      </c>
      <c r="B186" s="2" t="str">
        <f>=HYPERLINK("https://m.tb.cn/h.7SeWstl?tk=ZnIzU0EZ7cS", "https://m.tb.cn/h.7SeWstl?tk=ZnIzU0EZ7cS")</f>
        <v>https://m.tb.cn/h.7SeWstl?tk=ZnIzU0EZ7cS</v>
      </c>
    </row>
    <row r="187" ht="25.5" customHeight="1">
      <c r="A187">
        <v>2101</v>
      </c>
      <c r="B187" s="2" t="str">
        <f>=HYPERLINK("https://m.tb.cn/h.7Sp2g44?tk=splOU0E1xXe", "https://m.tb.cn/h.7Sp2g44?tk=splOU0E1xXe")</f>
        <v>https://m.tb.cn/h.7Sp2g44?tk=splOU0E1xXe</v>
      </c>
    </row>
    <row r="188" ht="25.5" customHeight="1">
      <c r="A188">
        <v>2102</v>
      </c>
      <c r="B188" s="2" t="str">
        <f>=HYPERLINK("https://m.tb.cn/h.7Sp5Q3k?tk=5R08U0E42zl", "https://m.tb.cn/h.7Sp5Q3k?tk=5R08U0E42zl")</f>
        <v>https://m.tb.cn/h.7Sp5Q3k?tk=5R08U0E42zl</v>
      </c>
    </row>
    <row r="189" ht="25.5" customHeight="1">
      <c r="A189">
        <v>2103</v>
      </c>
      <c r="B189" s="2" t="str">
        <f>=HYPERLINK("https://m.tb.cn/h.77a5SbB?tk=jxwlU0w62TU", "https://m.tb.cn/h.77a5SbB?tk=jxwlU0w62TU")</f>
        <v>https://m.tb.cn/h.77a5SbB?tk=jxwlU0w62TU</v>
      </c>
    </row>
    <row r="190" ht="25.5" customHeight="1">
      <c r="A190">
        <v>2104</v>
      </c>
      <c r="B190" s="2" t="str">
        <f>=HYPERLINK("https://m.tb.cn/h.7VEtntA?tk=vdQzfxXvYU3", "https://m.tb.cn/h.7VEtntA?tk=vdQzfxXvYU3")</f>
        <v>https://m.tb.cn/h.7VEtntA?tk=vdQzfxXvYU3</v>
      </c>
    </row>
    <row r="191" ht="25.5" customHeight="1">
      <c r="A191">
        <v>2105</v>
      </c>
      <c r="B191" s="2" t="str">
        <f>=HYPERLINK("https://m.tb.cn/h.7SJOlu8?tk=mtLbU0xkRk0", "https://m.tb.cn/h.7SJOlu8?tk=mtLbU0xkRk0")</f>
        <v>https://m.tb.cn/h.7SJOlu8?tk=mtLbU0xkRk0</v>
      </c>
    </row>
    <row r="192" ht="25.5" customHeight="1">
      <c r="A192">
        <v>2106</v>
      </c>
      <c r="B192" s="2" t="str">
        <f>=HYPERLINK("https://m.tb.cn/h.77BPpCn?tk=JpBSU0xOCS6", "https://m.tb.cn/h.77BPpCn?tk=JpBSU0xOCS6")</f>
        <v>https://m.tb.cn/h.77BPpCn?tk=JpBSU0xOCS6</v>
      </c>
    </row>
    <row r="193" ht="25.5" customHeight="1">
      <c r="A193">
        <v>2107</v>
      </c>
      <c r="B193" s="2" t="str">
        <f>=HYPERLINK("https://m.tb.cn/h.7Sfvfo8?tk=xxzfU0xqa9s", "https://m.tb.cn/h.7Sfvfo8?tk=xxzfU0xqa9s")</f>
        <v>https://m.tb.cn/h.7Sfvfo8?tk=xxzfU0xqa9s</v>
      </c>
    </row>
    <row r="194" ht="25.5" customHeight="1">
      <c r="A194">
        <v>2108</v>
      </c>
      <c r="B194" s="2" t="str">
        <f>=HYPERLINK("https://m.tb.cn/h.770Ltir?tk=6fAzU0xpgUk", "https://m.tb.cn/h.770Ltir?tk=6fAzU0xpgUk")</f>
        <v>https://m.tb.cn/h.770Ltir?tk=6fAzU0xpgUk</v>
      </c>
    </row>
    <row r="195" ht="25.5" customHeight="1">
      <c r="A195">
        <v>2109</v>
      </c>
      <c r="B195" s="2" t="str">
        <f>=HYPERLINK("https://m.tb.cn/h.77BJ6eo?tk=vK9CU0xrhQq", "https://m.tb.cn/h.77BJ6eo?tk=vK9CU0xrhQq")</f>
        <v>https://m.tb.cn/h.77BJ6eo?tk=vK9CU0xrhQq</v>
      </c>
    </row>
    <row r="196" ht="25.5" customHeight="1">
      <c r="A196">
        <v>2110</v>
      </c>
      <c r="B196" s="2" t="str">
        <f>=HYPERLINK("https://m.tb.cn/h.7SJGovr?tk=MJREU0xrLzB", "https://m.tb.cn/h.7SJGovr?tk=MJREU0xrLzB")</f>
        <v>https://m.tb.cn/h.7SJGovr?tk=MJREU0xrLzB</v>
      </c>
    </row>
    <row r="197" ht="25.5" customHeight="1">
      <c r="A197">
        <v>2111</v>
      </c>
      <c r="B197" s="2" t="str">
        <f>=HYPERLINK("https://m.tb.cn/h.770HPOv?tk=DBiHU0xtZ9v", "https://m.tb.cn/h.770HPOv?tk=DBiHU0xtZ9v")</f>
        <v>https://m.tb.cn/h.770HPOv?tk=DBiHU0xtZ9v</v>
      </c>
    </row>
    <row r="198" ht="25.5" customHeight="1">
      <c r="A198">
        <v>2112</v>
      </c>
      <c r="B198" s="2" t="str">
        <f>=HYPERLINK("https://m.tb.cn/h.7SfBSzf?tk=UInUU0xHBee", "https://m.tb.cn/h.7SfBSzf?tk=UInUU0xHBee")</f>
        <v>https://m.tb.cn/h.7SfBSzf?tk=UInUU0xHBee</v>
      </c>
    </row>
    <row r="199" ht="25.5" customHeight="1">
      <c r="A199">
        <v>2113</v>
      </c>
      <c r="B199" s="2" t="str">
        <f>=HYPERLINK("https://m.tb.cn/h.77BrRIk?tk=jlVcU0xItLy", "https://m.tb.cn/h.77BrRIk?tk=jlVcU0xItLy")</f>
        <v>https://m.tb.cn/h.77BrRIk?tk=jlVcU0xItLy</v>
      </c>
    </row>
    <row r="200" ht="25.5" customHeight="1">
      <c r="A200">
        <v>2114</v>
      </c>
      <c r="B200" s="2" t="str">
        <f>=HYPERLINK("https://m.tb.cn/h.770F5FE?tk=N0NZU0xF1OI", "https://m.tb.cn/h.770F5FE?tk=N0NZU0xF1OI")</f>
        <v>https://m.tb.cn/h.770F5FE?tk=N0NZU0xF1OI</v>
      </c>
    </row>
    <row r="201" ht="25.5" customHeight="1">
      <c r="A201">
        <v>2115</v>
      </c>
      <c r="B201" s="2" t="str">
        <f>=HYPERLINK("https://m.tb.cn/h.77bZSTI?tk=BeRxU0Caske", "https://m.tb.cn/h.77bZSTI?tk=BeRxU0Caske")</f>
        <v>https://m.tb.cn/h.77bZSTI?tk=BeRxU0Caske</v>
      </c>
    </row>
    <row r="202" ht="25.5" customHeight="1">
      <c r="A202">
        <v>2116</v>
      </c>
      <c r="B202" s="2" t="str">
        <f>=HYPERLINK("https://m.tb.cn/h.77zXnjR?tk=J53wU0CXgyo", "https://m.tb.cn/h.77zXnjR?tk=J53wU0CXgyo")</f>
        <v>https://m.tb.cn/h.77zXnjR?tk=J53wU0CXgyo</v>
      </c>
    </row>
    <row r="203" ht="25.5" customHeight="1">
      <c r="A203">
        <v>2117</v>
      </c>
      <c r="B203" s="2" t="str">
        <f>=HYPERLINK("https://m.tb.cn/h.7SrUhaO?tk=pt4qU0C4ZWU", "https://m.tb.cn/h.7SrUhaO?tk=pt4qU0C4ZWU")</f>
        <v>https://m.tb.cn/h.7SrUhaO?tk=pt4qU0C4ZWU</v>
      </c>
    </row>
    <row r="204" ht="25.5" customHeight="1">
      <c r="A204">
        <v>2118</v>
      </c>
      <c r="B204" s="2" t="str">
        <f>=HYPERLINK("https://m.tb.cn/h.7SUkcBr?tk=FamPU0C65Yb", "https://m.tb.cn/h.7SUkcBr?tk=FamPU0C65Yb")</f>
        <v>https://m.tb.cn/h.7SUkcBr?tk=FamPU0C65Yb</v>
      </c>
    </row>
    <row r="205" ht="25.5" customHeight="1">
      <c r="A205">
        <v>2119</v>
      </c>
      <c r="B205" s="2" t="str">
        <f>=HYPERLINK("https://m.tb.cn/h.77zhMuo?tk=zLj0U0C6MWl", "https://m.tb.cn/h.77zhMuo?tk=zLj0U0C6MWl")</f>
        <v>https://m.tb.cn/h.77zhMuo?tk=zLj0U0C6MWl</v>
      </c>
    </row>
    <row r="206" ht="25.5" customHeight="1">
      <c r="A206">
        <v>2120</v>
      </c>
      <c r="B206" s="2" t="str">
        <f>=HYPERLINK("https://m.tb.cn/h.77bhWJo?tk=BJYqU0CSdiY", "https://m.tb.cn/h.77bhWJo?tk=BJYqU0CSdiY")</f>
        <v>https://m.tb.cn/h.77bhWJo?tk=BJYqU0CSdiY</v>
      </c>
    </row>
    <row r="207" ht="25.5" customHeight="1">
      <c r="A207">
        <v>2121</v>
      </c>
      <c r="B207" s="2" t="str">
        <f>=HYPERLINK("https://m.tb.cn/h.77AYf4r?tk=HcrOU0ybavG", "https://m.tb.cn/h.77AYf4r?tk=HcrOU0ybavG")</f>
        <v>https://m.tb.cn/h.77AYf4r?tk=HcrOU0ybavG</v>
      </c>
    </row>
    <row r="208" ht="25.5" customHeight="1">
      <c r="A208">
        <v>2122</v>
      </c>
      <c r="B208" s="2" t="str">
        <f>=HYPERLINK("https://m.tb.cn/h.77zA9TC?tk=kVfNU0yaIAW", "https://m.tb.cn/h.77zA9TC?tk=kVfNU0yaIAW")</f>
        <v>https://m.tb.cn/h.77zA9TC?tk=kVfNU0yaIAW</v>
      </c>
    </row>
    <row r="209" ht="25.5" customHeight="1">
      <c r="A209">
        <v>2123</v>
      </c>
      <c r="B209" s="2" t="str">
        <f>=HYPERLINK("https://m.tb.cn/h.7717QQN?tk=26RZU0BR6TB", "https://m.tb.cn/h.7717QQN?tk=26RZU0BR6TB")</f>
        <v>https://m.tb.cn/h.7717QQN?tk=26RZU0BR6TB</v>
      </c>
    </row>
    <row r="210" ht="25.5" customHeight="1">
      <c r="A210">
        <v>2124</v>
      </c>
      <c r="B210" s="2" t="str">
        <f>=HYPERLINK("https://m.tb.cn/h.7VEtntA?tk=vdQzfxXvYU3", "https://m.tb.cn/h.7VEtntA?tk=vdQzfxXvYU3")</f>
        <v>https://m.tb.cn/h.7VEtntA?tk=vdQzfxXvYU3</v>
      </c>
    </row>
    <row r="211" ht="25.5" customHeight="1">
      <c r="A211">
        <v>2125</v>
      </c>
      <c r="B211" s="2" t="str">
        <f>=HYPERLINK("https://m.tb.cn/h.7STbOGu?tk=FSetU0BDWnw", "https://m.tb.cn/h.7STbOGu?tk=FSetU0BDWnw")</f>
        <v>https://m.tb.cn/h.7STbOGu?tk=FSetU0BDWnw</v>
      </c>
    </row>
    <row r="212" ht="25.5" customHeight="1">
      <c r="A212">
        <v>2126</v>
      </c>
      <c r="B212" s="2" t="str">
        <f>=HYPERLINK("https://m.tb.cn/h.7S62yXk?tk=YSprU0zyGuQ", "https://m.tb.cn/h.7S62yXk?tk=YSprU0zyGuQ")</f>
        <v>https://m.tb.cn/h.7S62yXk?tk=YSprU0zyGuQ</v>
      </c>
    </row>
    <row r="213" ht="25.5" customHeight="1">
      <c r="A213">
        <v>2127</v>
      </c>
      <c r="B213" s="2" t="str">
        <f>=HYPERLINK("https://m.tb.cn/h.77X4azj?tk=8sziU0AUNrj", "https://m.tb.cn/h.77X4azj?tk=8sziU0AUNrj")</f>
        <v>https://m.tb.cn/h.77X4azj?tk=8sziU0AUNrj</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