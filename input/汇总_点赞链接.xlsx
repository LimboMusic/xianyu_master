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点赞链接"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0" fontId="2" fillId="0" borderId="0" xfId="0" applyFon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s>
  <sheetData>
    <row r="1" ht="13" customHeight="1">
      <c r="A1" s="1" t="inlineStr">
        <is>
          <t>编号</t>
        </is>
      </c>
      <c r="B1" s="1" t="inlineStr">
        <is>
          <t>接龙信息</t>
        </is>
      </c>
    </row>
    <row r="2" ht="25.5" customHeight="1">
      <c r="A2">
        <v>1683</v>
      </c>
      <c r="B2" s="2" t="str">
        <f>=HYPERLINK("https://m.tb.cn/h.7h9sb8d?tk=pD8nU02z1r5", "https://m.tb.cn/h.7h9sb8d?tk=pD8nU02z1r5")</f>
        <v>https://m.tb.cn/h.7h9sb8d?tk=pD8nU02z1r5</v>
      </c>
    </row>
    <row r="3" ht="25.5" customHeight="1">
      <c r="A3">
        <v>1684</v>
      </c>
      <c r="B3" s="2" t="str">
        <f>=HYPERLINK("https://m.tb.cn/h.773TPXM?tk=pQAfU0dZzKm", "https://m.tb.cn/h.773TPXM?tk=pQAfU0dZzKm")</f>
        <v>https://m.tb.cn/h.773TPXM?tk=pQAfU0dZzKm</v>
      </c>
    </row>
    <row r="4" ht="25.5" customHeight="1">
      <c r="A4">
        <v>1685</v>
      </c>
      <c r="B4" s="2" t="str">
        <f>=HYPERLINK("https://m.tb.cn/h.7hyXXlL?tk=ItYbU0dUz5H", "https://m.tb.cn/h.7hyXXlL?tk=ItYbU0dUz5H")</f>
        <v>https://m.tb.cn/h.7hyXXlL?tk=ItYbU0dUz5H</v>
      </c>
    </row>
    <row r="5" ht="25.5" customHeight="1">
      <c r="A5">
        <v>1686</v>
      </c>
      <c r="B5" s="2" t="str">
        <f>=HYPERLINK("https://m.tb.cn/h.7SUwNHE?tk=YBJiU0d50mU", "https://m.tb.cn/h.7SUwNHE?tk=YBJiU0d50mU")</f>
        <v>https://m.tb.cn/h.7SUwNHE?tk=YBJiU0d50mU</v>
      </c>
    </row>
    <row r="6" ht="25.5" customHeight="1">
      <c r="A6">
        <v>1687</v>
      </c>
      <c r="B6" s="2" t="str">
        <f>=HYPERLINK("https://m.tb.cn/h.773t5Lz?tk=iV7oU0dk36l", "https://m.tb.cn/h.773t5Lz?tk=iV7oU0dk36l")</f>
        <v>https://m.tb.cn/h.773t5Lz?tk=iV7oU0dk36l</v>
      </c>
    </row>
    <row r="7" ht="25.5" customHeight="1">
      <c r="A7">
        <v>1688</v>
      </c>
      <c r="B7" s="2" t="str">
        <f>=HYPERLINK("https://m.tb.cn/h.7S5TWXx?tk=z5zmU0dr8Bf", "https://m.tb.cn/h.7S5TWXx?tk=z5zmU0dr8Bf")</f>
        <v>https://m.tb.cn/h.7S5TWXx?tk=z5zmU0dr8Bf</v>
      </c>
    </row>
    <row r="8" ht="25.5" customHeight="1">
      <c r="A8">
        <v>1689</v>
      </c>
      <c r="B8" s="2" t="str">
        <f>=HYPERLINK("https://m.tb.cn/h.77dACBL?tk=ABK8U0Xu5E9", "https://m.tb.cn/h.77dACBL?tk=ABK8U0Xu5E9")</f>
        <v>https://m.tb.cn/h.77dACBL?tk=ABK8U0Xu5E9</v>
      </c>
    </row>
    <row r="9" ht="25.5" customHeight="1">
      <c r="A9">
        <v>1690</v>
      </c>
      <c r="B9" s="2" t="str">
        <f>=HYPERLINK("https://m.tb.cn/h.7hxqxwp?tk=fvEgU0XuLkV", "https://m.tb.cn/h.7hxqxwp?tk=fvEgU0XuLkV")</f>
        <v>https://m.tb.cn/h.7hxqxwp?tk=fvEgU0XuLkV</v>
      </c>
    </row>
    <row r="10" ht="25.5" customHeight="1">
      <c r="A10">
        <v>1691</v>
      </c>
      <c r="B10" s="2" t="str">
        <f>=HYPERLINK("https://m.tb.cn/h.7SfnCHu?tk=X1gvU0XAmOf", "https://m.tb.cn/h.7SfnCHu?tk=X1gvU0XAmOf")</f>
        <v>https://m.tb.cn/h.7SfnCHu?tk=X1gvU0XAmOf</v>
      </c>
    </row>
    <row r="11" ht="25.5" customHeight="1">
      <c r="A11">
        <v>1692</v>
      </c>
      <c r="B11" s="2" t="str">
        <f>=HYPERLINK("https://m.tb.cn/h.77W71rf?tk=bYkaU022ETw", "https://m.tb.cn/h.77W71rf?tk=bYkaU022ETw")</f>
        <v>https://m.tb.cn/h.77W71rf?tk=bYkaU022ETw</v>
      </c>
    </row>
    <row r="12" ht="25.5" customHeight="1">
      <c r="A12">
        <v>1693</v>
      </c>
      <c r="B12" s="2" t="str">
        <f>=HYPERLINK("https://m.tb.cn/h.7gNUQVM?tk=9H09fBMDtki", "https://m.tb.cn/h.7gNUQVM?tk=9H09fBMDtki")</f>
        <v>https://m.tb.cn/h.7gNUQVM?tk=9H09fBMDtki</v>
      </c>
    </row>
    <row r="13" ht="25.5" customHeight="1">
      <c r="A13">
        <v>1694</v>
      </c>
      <c r="B13" s="2" t="str">
        <f>=HYPERLINK("https://m.tb.cn/h.77WorXj?tk=kYIAU02i5Sd", "https://m.tb.cn/h.77WorXj?tk=kYIAU02i5Sd")</f>
        <v>https://m.tb.cn/h.77WorXj?tk=kYIAU02i5Sd</v>
      </c>
    </row>
    <row r="14" ht="25.5" customHeight="1">
      <c r="A14">
        <v>1695</v>
      </c>
      <c r="B14" s="2" t="str">
        <f>=HYPERLINK("https://m.tb.cn/h.77WLIZW?tk=sYhqU028jOl", "https://m.tb.cn/h.77WLIZW?tk=sYhqU028jOl")</f>
        <v>https://m.tb.cn/h.77WLIZW?tk=sYhqU028jOl</v>
      </c>
    </row>
    <row r="15" ht="25.5" customHeight="1">
      <c r="A15">
        <v>1696</v>
      </c>
      <c r="B15" s="2" t="str">
        <f>=HYPERLINK("https://m.tb.cn/h.77WH5VH?tk=LS0kU02O0Tk", "https://m.tb.cn/h.77WH5VH?tk=LS0kU02O0Tk")</f>
        <v>https://m.tb.cn/h.77WH5VH?tk=LS0kU02O0Tk</v>
      </c>
    </row>
    <row r="16" ht="25.5" customHeight="1">
      <c r="A16">
        <v>1697</v>
      </c>
      <c r="B16" s="2" t="str">
        <f>=HYPERLINK("https://m.tb.cn/h.7Tz0g1Z?tk=rllRfAERIDH", "https://m.tb.cn/h.7Tz0g1Z?tk=rllRfAERIDH")</f>
        <v>https://m.tb.cn/h.7Tz0g1Z?tk=rllRfAERIDH</v>
      </c>
    </row>
    <row r="17" ht="25.5" customHeight="1">
      <c r="A17">
        <v>1698</v>
      </c>
      <c r="B17" s="2" t="str">
        <f>=HYPERLINK("https://m.tb.cn/h.7h7807Z?tk=tV1NUZU1uF6", "https://m.tb.cn/h.7h7807Z?tk=tV1NUZU1uF6")</f>
        <v>https://m.tb.cn/h.7h7807Z?tk=tV1NUZU1uF6</v>
      </c>
    </row>
    <row r="18" ht="25.5" customHeight="1">
      <c r="A18">
        <v>1699</v>
      </c>
      <c r="B18" s="2" t="str">
        <f>=HYPERLINK("https://m.tb.cn/h.77Wxa0H?tk=RsRLU02pWhF", "https://m.tb.cn/h.77Wxa0H?tk=RsRLU02pWhF")</f>
        <v>https://m.tb.cn/h.77Wxa0H?tk=RsRLU02pWhF</v>
      </c>
    </row>
    <row r="19" ht="25.5" customHeight="1">
      <c r="A19">
        <v>1700</v>
      </c>
      <c r="B19" s="2" t="str">
        <f>=HYPERLINK("https://m.tb.cn/h.7hC9H41?tk=ieHpU02pObX", "https://m.tb.cn/h.7hC9H41?tk=ieHpU02pObX")</f>
        <v>https://m.tb.cn/h.7hC9H41?tk=ieHpU02pObX</v>
      </c>
    </row>
    <row r="20" ht="25.5" customHeight="1">
      <c r="A20">
        <v>1701</v>
      </c>
      <c r="B20" s="2" t="str">
        <f>=HYPERLINK("https://m.tb.cn/h.7SVDMH7?tk=plYlU0cYGmp", "https://m.tb.cn/h.7SVDMH7?tk=plYlU0cYGmp")</f>
        <v>https://m.tb.cn/h.7SVDMH7?tk=plYlU0cYGmp</v>
      </c>
    </row>
    <row r="21" ht="25.5" customHeight="1">
      <c r="A21">
        <v>1702</v>
      </c>
      <c r="B21" s="2" t="str">
        <f>=HYPERLINK("https://m.tb.cn/h.77XkcoB?tk=08fOU0cYGmt", "https://m.tb.cn/h.77XkcoB?tk=08fOU0cYGmt")</f>
        <v>https://m.tb.cn/h.77XkcoB?tk=08fOU0cYGmt</v>
      </c>
    </row>
    <row r="22" ht="25.5" customHeight="1">
      <c r="A22">
        <v>1703</v>
      </c>
      <c r="B22" s="2" t="str">
        <f>=HYPERLINK("https://m.tb.cn/h.7hDwuvu?tk=mWM1U0XaLYR", "https://m.tb.cn/h.7hDwuvu?tk=mWM1U0XaLYR")</f>
        <v>https://m.tb.cn/h.7hDwuvu?tk=mWM1U0XaLYR</v>
      </c>
    </row>
    <row r="23" ht="25.5" customHeight="1">
      <c r="A23">
        <v>1704</v>
      </c>
      <c r="B23" s="2" t="str">
        <f>=HYPERLINK("https://m.tb.cn/h.7S4J0oH?tk=Z9cmU0XYgBy", "https://m.tb.cn/h.7S4J0oH?tk=Z9cmU0XYgBy")</f>
        <v>https://m.tb.cn/h.7S4J0oH?tk=Z9cmU0XYgBy</v>
      </c>
    </row>
    <row r="24" ht="25.5" customHeight="1">
      <c r="A24">
        <v>1705</v>
      </c>
      <c r="B24" s="2" t="str">
        <f>=HYPERLINK("https://m.tb.cn/h.7S4uvKY?tk=krPjU0XePMu", "https://m.tb.cn/h.7S4uvKY?tk=krPjU0XePMu")</f>
        <v>https://m.tb.cn/h.7S4uvKY?tk=krPjU0XePMu</v>
      </c>
    </row>
    <row r="25" ht="25.5" customHeight="1">
      <c r="A25">
        <v>1706</v>
      </c>
      <c r="B25" s="2" t="str">
        <f>=HYPERLINK("https://m.tb.cn/h.7hxhSLo?tk=ROV6U0Xk9WX", "https://m.tb.cn/h.7hxhSLo?tk=ROV6U0Xk9WX")</f>
        <v>https://m.tb.cn/h.7hxhSLo?tk=ROV6U0Xk9WX</v>
      </c>
    </row>
    <row r="26" ht="25.5" customHeight="1">
      <c r="A26">
        <v>1707</v>
      </c>
      <c r="B26" s="2" t="str">
        <f>=HYPERLINK("https://m.tb.cn/h.7hxSJqE?tk=iz3eU0X9BYE", "https://m.tb.cn/h.7hxSJqE?tk=iz3eU0X9BYE")</f>
        <v>https://m.tb.cn/h.7hxSJqE?tk=iz3eU0X9BYE</v>
      </c>
    </row>
    <row r="27" ht="25.5" customHeight="1">
      <c r="A27">
        <v>1708</v>
      </c>
      <c r="B27" s="2" t="str">
        <f>=HYPERLINK("https://m.tb.cn/h.77dHYJM?tk=Rl86U0Xm9Rv", "https://m.tb.cn/h.77dHYJM?tk=Rl86U0Xm9Rv")</f>
        <v>https://m.tb.cn/h.77dHYJM?tk=Rl86U0Xm9Rv</v>
      </c>
    </row>
    <row r="28" ht="25.5" customHeight="1">
      <c r="A28">
        <v>1709</v>
      </c>
      <c r="B28" s="2" t="str">
        <f>=HYPERLINK("https://m.tb.cn/h.7hx9Pdo?tk=2E5DU0XoWtI", "https://m.tb.cn/h.7hx9Pdo?tk=2E5DU0XoWtI")</f>
        <v>https://m.tb.cn/h.7hx9Pdo?tk=2E5DU0XoWtI</v>
      </c>
    </row>
    <row r="29" ht="25.5" customHeight="1">
      <c r="A29">
        <v>1710</v>
      </c>
      <c r="B29" s="2" t="str">
        <f>=HYPERLINK("https://m.tb.cn/h.77duocy?tk=1DzWU0XoJxL", "https://m.tb.cn/h.77duocy?tk=1DzWU0XoJxL")</f>
        <v>https://m.tb.cn/h.77duocy?tk=1DzWU0XoJxL</v>
      </c>
    </row>
    <row r="30" ht="25.5" customHeight="1">
      <c r="A30">
        <v>1711</v>
      </c>
      <c r="B30" s="2" t="str">
        <f>=HYPERLINK("https://m.tb.cn/h.7hQiI5z?tk=mZhWU0XKVxA", "https://m.tb.cn/h.7hQiI5z?tk=mZhWU0XKVxA")</f>
        <v>https://m.tb.cn/h.7hQiI5z?tk=mZhWU0XKVxA</v>
      </c>
    </row>
    <row r="31" ht="25.5" customHeight="1">
      <c r="A31">
        <v>1712</v>
      </c>
      <c r="B31" s="2" t="str">
        <f>=HYPERLINK("https://m.tb.cn/h.77dyWTC?tk=C2HxU0XsMjz", "https://m.tb.cn/h.77dyWTC?tk=C2HxU0XsMjz")</f>
        <v>https://m.tb.cn/h.77dyWTC?tk=C2HxU0XsMjz</v>
      </c>
    </row>
    <row r="32" ht="25.5" customHeight="1">
      <c r="A32">
        <v>1713</v>
      </c>
      <c r="B32" s="2" t="str">
        <f>=HYPERLINK("https://m.tb.cn/h.7hxLkPI?tk=w9dNU0XtfJc", "https://m.tb.cn/h.7hxLkPI?tk=w9dNU0XtfJc")</f>
        <v>https://m.tb.cn/h.7hxLkPI?tk=w9dNU0XtfJc</v>
      </c>
    </row>
    <row r="33" ht="25.5" customHeight="1">
      <c r="A33">
        <v>1714</v>
      </c>
      <c r="B33" s="2" t="str">
        <f>=HYPERLINK("https://m.tb.cn/h.77dAheA?tk=PyW6U0XG2bp", "https://m.tb.cn/h.77dAheA?tk=PyW6U0XG2bp")</f>
        <v>https://m.tb.cn/h.77dAheA?tk=PyW6U0XG2bp</v>
      </c>
    </row>
    <row r="34" ht="25.5" customHeight="1">
      <c r="A34">
        <v>1715</v>
      </c>
      <c r="B34" s="2" t="str">
        <f>=HYPERLINK("https://m.tb.cn/h.7hxKxTs?tk=1PCiU0Xtm5E", "https://m.tb.cn/h.7hxKxTs?tk=1PCiU0Xtm5E")</f>
        <v>https://m.tb.cn/h.7hxKxTs?tk=1PCiU0Xtm5E</v>
      </c>
    </row>
    <row r="35" ht="25.5" customHeight="1">
      <c r="A35">
        <v>1716</v>
      </c>
      <c r="B35" s="2" t="str">
        <f>=HYPERLINK("https://m.tb.cn/h.7hwhf6D?tk=ahoAU01lDVo", "https://m.tb.cn/h.7hwhf6D?tk=ahoAU01lDVo")</f>
        <v>https://m.tb.cn/h.7hwhf6D?tk=ahoAU01lDVo</v>
      </c>
    </row>
    <row r="36" ht="25.5" customHeight="1">
      <c r="A36">
        <v>1717</v>
      </c>
      <c r="B36" s="2" t="str">
        <f>=HYPERLINK("https://m.tb.cn/h.7h8kueA?tk=EgvZU01JyRo", "https://m.tb.cn/h.7h8kueA?tk=EgvZU01JyRo")</f>
        <v>https://m.tb.cn/h.7h8kueA?tk=EgvZU01JyRo</v>
      </c>
    </row>
    <row r="37" ht="25.5" customHeight="1">
      <c r="A37">
        <v>1718</v>
      </c>
      <c r="B37" s="2" t="str">
        <f>=HYPERLINK("https://m.tb.cn/h.7SVqymh?tk=4Hf5U0cc5z3", "https://m.tb.cn/h.7SVqymh?tk=4Hf5U0cc5z3")</f>
        <v>https://m.tb.cn/h.7SVqymh?tk=4Hf5U0cc5z3</v>
      </c>
    </row>
    <row r="38" ht="25.5" customHeight="1">
      <c r="A38">
        <v>1719</v>
      </c>
      <c r="B38" s="2" t="str">
        <f>=HYPERLINK("https://m.tb.cn/h.7SVHiR6?tk=AQ6RU0cdU6A", "https://m.tb.cn/h.7SVHiR6?tk=AQ6RU0cdU6A")</f>
        <v>https://m.tb.cn/h.7SVHiR6?tk=AQ6RU0cdU6A</v>
      </c>
    </row>
    <row r="39" ht="25.5" customHeight="1">
      <c r="A39">
        <v>1720</v>
      </c>
      <c r="B39" s="2" t="str">
        <f>=HYPERLINK("https://m.tb.cn/h.7S4ZNzT?tk=edhxU0cii3Y", "https://m.tb.cn/h.7S4ZNzT?tk=edhxU0cii3Y")</f>
        <v>https://m.tb.cn/h.7S4ZNzT?tk=edhxU0cii3Y</v>
      </c>
    </row>
    <row r="40" ht="25.5" customHeight="1">
      <c r="A40">
        <v>1721</v>
      </c>
      <c r="B40" s="2" t="str">
        <f>=HYPERLINK("https://m.tb.cn/h.772MxrG?tk=uGwSU0cjcx1", "https://m.tb.cn/h.772MxrG?tk=uGwSU0cjcx1")</f>
        <v>https://m.tb.cn/h.772MxrG?tk=uGwSU0cjcx1</v>
      </c>
    </row>
    <row r="41" ht="25.5" customHeight="1">
      <c r="A41">
        <v>1722</v>
      </c>
      <c r="B41" s="2" t="str">
        <f>=HYPERLINK("https://m.tb.cn/h.7S4fHmf?tk=0GatU0cp2YI", "https://m.tb.cn/h.7S4fHmf?tk=0GatU0cp2YI")</f>
        <v>https://m.tb.cn/h.7S4fHmf?tk=0GatU0cp2YI</v>
      </c>
    </row>
    <row r="42" ht="25.5" customHeight="1">
      <c r="A42">
        <v>1723</v>
      </c>
      <c r="B42" s="2" t="str">
        <f>=HYPERLINK("https://m.tb.cn/h.77XkcnH?tk=Ixo8U01zw4k", "https://m.tb.cn/h.77XkcnH?tk=Ixo8U01zw4k")</f>
        <v>https://m.tb.cn/h.77XkcnH?tk=Ixo8U01zw4k</v>
      </c>
    </row>
    <row r="43" ht="25.5" customHeight="1">
      <c r="A43">
        <v>1724</v>
      </c>
      <c r="B43" s="2" t="str">
        <f>=HYPERLINK("https://m.tb.cn/h.7SVDMsj?tk=0B0aU01zw4w", "https://m.tb.cn/h.7SVDMsj?tk=0B0aU01zw4w")</f>
        <v>https://m.tb.cn/h.7SVDMsj?tk=0B0aU01zw4w</v>
      </c>
    </row>
    <row r="44" ht="25.5" customHeight="1">
      <c r="A44">
        <v>1725</v>
      </c>
      <c r="B44" s="2" t="str">
        <f>=HYPERLINK("https://m.tb.cn/h.7hD3UQU?tk=V1LoU0cYGmi", "https://m.tb.cn/h.7hD3UQU?tk=V1LoU0cYGmi")</f>
        <v>https://m.tb.cn/h.7hD3UQU?tk=V1LoU0cYGmi</v>
      </c>
    </row>
    <row r="45" ht="25.5" customHeight="1">
      <c r="A45">
        <v>1726</v>
      </c>
      <c r="B45" s="2" t="str">
        <f>=HYPERLINK("https://m.tb.cn/h.7SYe1tC?tk=qQNqUZyJ2Nw", "https://m.tb.cn/h.7SYe1tC?tk=qQNqUZyJ2Nw")</f>
        <v>https://m.tb.cn/h.7SYe1tC?tk=qQNqUZyJ2Nw</v>
      </c>
    </row>
    <row r="46" ht="25.5" customHeight="1">
      <c r="A46">
        <v>1727</v>
      </c>
      <c r="B46" s="2" t="str">
        <f>=HYPERLINK("https://m.tb.cn/h.7SAWhdO?tk=BGBlUZBdmLS", "https://m.tb.cn/h.7SAWhdO?tk=BGBlUZBdmLS")</f>
        <v>https://m.tb.cn/h.7SAWhdO?tk=BGBlUZBdmLS</v>
      </c>
    </row>
    <row r="47" ht="25.5" customHeight="1">
      <c r="A47">
        <v>1728</v>
      </c>
      <c r="B47" s="2" t="str">
        <f>=HYPERLINK("https://m.tb.cn/h.7hsBLlc?tk=FYTDUZzbHUA", "https://m.tb.cn/h.7hsBLlc?tk=FYTDUZzbHUA")</f>
        <v>https://m.tb.cn/h.7hsBLlc?tk=FYTDUZzbHUA</v>
      </c>
    </row>
    <row r="48" ht="25.5" customHeight="1">
      <c r="A48">
        <v>1729</v>
      </c>
      <c r="B48" s="2" t="str">
        <f>=HYPERLINK("https://m.tb.cn/h.77b5JfP?tk=HhhCU0ZgOsw", "https://m.tb.cn/h.77b5JfP?tk=HhhCU0ZgOsw")</f>
        <v>https://m.tb.cn/h.77b5JfP?tk=HhhCU0ZgOsw</v>
      </c>
    </row>
    <row r="49" ht="25.5" customHeight="1">
      <c r="A49">
        <v>1730</v>
      </c>
      <c r="B49" s="2" t="str">
        <f>=HYPERLINK("https://m.tb.cn/h.7hFgP3T?tk=G9qQU00R3Pt", "https://m.tb.cn/h.7hFgP3T?tk=G9qQU00R3Pt")</f>
        <v>https://m.tb.cn/h.7hFgP3T?tk=G9qQU00R3Pt</v>
      </c>
    </row>
    <row r="50" ht="25.5" customHeight="1">
      <c r="A50">
        <v>1731</v>
      </c>
      <c r="B50" s="2" t="str">
        <f>=HYPERLINK("https://m.tb.cn/h.7h7lBJN?tk=dkGoU00FIfl", "https://m.tb.cn/h.7h7lBJN?tk=dkGoU00FIfl")</f>
        <v>https://m.tb.cn/h.7h7lBJN?tk=dkGoU00FIfl</v>
      </c>
    </row>
    <row r="51" ht="25.5" customHeight="1">
      <c r="A51">
        <v>1732</v>
      </c>
      <c r="B51" s="2" t="str">
        <f>=HYPERLINK("https://m.tb.cn/h.7hvGfeh?tk=dEL5U0bByJs", "https://m.tb.cn/h.7hvGfeh?tk=dEL5U0bByJs")</f>
        <v>https://m.tb.cn/h.7hvGfeh?tk=dEL5U0bByJs</v>
      </c>
    </row>
    <row r="52" ht="25.5" customHeight="1">
      <c r="A52">
        <v>1733</v>
      </c>
      <c r="B52" s="2" t="str">
        <f>=HYPERLINK("https://m.tb.cn/h.7hEVnCp?tk=OdKXU0Y7gCz", "https://m.tb.cn/h.7hEVnCp?tk=OdKXU0Y7gCz")</f>
        <v>https://m.tb.cn/h.7hEVnCp?tk=OdKXU0Y7gCz</v>
      </c>
    </row>
    <row r="53" ht="25.5" customHeight="1">
      <c r="A53">
        <v>1734</v>
      </c>
      <c r="B53" s="2" t="str">
        <f>=HYPERLINK("https://m.tb.cn/h.77cqy2C?tk=QC9TU0YO4ea", "https://m.tb.cn/h.77cqy2C?tk=QC9TU0YO4ea")</f>
        <v>https://m.tb.cn/h.77cqy2C?tk=QC9TU0YO4ea</v>
      </c>
    </row>
    <row r="54" ht="25.5" customHeight="1">
      <c r="A54">
        <v>1735</v>
      </c>
      <c r="B54" s="2" t="str">
        <f>=HYPERLINK("https://m.tb.cn/h.77cPj0v?tk=ArNzU0Y7nPB", "https://m.tb.cn/h.77cPj0v?tk=ArNzU0Y7nPB")</f>
        <v>https://m.tb.cn/h.77cPj0v?tk=ArNzU0Y7nPB</v>
      </c>
    </row>
    <row r="55" ht="25.5" customHeight="1">
      <c r="A55">
        <v>1736</v>
      </c>
      <c r="B55" s="2" t="str">
        <f>=HYPERLINK("https://m.tb.cn/h.7hRg06v?tk=PkJBU0YOuSC", "https://m.tb.cn/h.7hRg06v?tk=PkJBU0YOuSC")</f>
        <v>https://m.tb.cn/h.7hRg06v?tk=PkJBU0YOuSC</v>
      </c>
    </row>
    <row r="56" ht="25.5" customHeight="1">
      <c r="A56">
        <v>1737</v>
      </c>
      <c r="B56" s="2" t="str">
        <f>=HYPERLINK("https://m.tb.cn/h.77X6tQ9?tk=Ag96U01V4LP", "https://m.tb.cn/h.77X6tQ9?tk=Ag96U01V4LP")</f>
        <v>https://m.tb.cn/h.77X6tQ9?tk=Ag96U01V4LP</v>
      </c>
    </row>
    <row r="57" ht="25.5" customHeight="1">
      <c r="A57">
        <v>1738</v>
      </c>
      <c r="B57" s="2" t="str">
        <f>=HYPERLINK("https://m.tb.cn/h.77X6OM5?tk=ZXDzU01eJVM", "https://m.tb.cn/h.77X6OM5?tk=ZXDzU01eJVM")</f>
        <v>https://m.tb.cn/h.77X6OM5?tk=ZXDzU01eJVM</v>
      </c>
    </row>
    <row r="58" ht="25.5" customHeight="1">
      <c r="A58">
        <v>1739</v>
      </c>
      <c r="B58" s="2" t="str">
        <f>=HYPERLINK("https://m.tb.cn/h.7hEPLoE?tk=u3xxU0Yqql2", "https://m.tb.cn/h.7hEPLoE?tk=u3xxU0Yqql2")</f>
        <v>https://m.tb.cn/h.7hEPLoE?tk=u3xxU0Yqql2</v>
      </c>
    </row>
    <row r="59" ht="25.5" customHeight="1">
      <c r="A59">
        <v>1740</v>
      </c>
      <c r="B59" s="2" t="str">
        <f>=HYPERLINK("https://m.tb.cn/h.7h8aylx?tk=dvLzU01fs4q", "https://m.tb.cn/h.7h8aylx?tk=dvLzU01fs4q")</f>
        <v>https://m.tb.cn/h.7h8aylx?tk=dvLzU01fs4q</v>
      </c>
    </row>
    <row r="60" ht="25.5" customHeight="1">
      <c r="A60">
        <v>1741</v>
      </c>
      <c r="B60" s="2" t="str">
        <f>=HYPERLINK("https://m.tb.cn/h.77XokFu?tk=YUcvU019luY", "https://m.tb.cn/h.77XokFu?tk=YUcvU019luY")</f>
        <v>https://m.tb.cn/h.77XokFu?tk=YUcvU019luY</v>
      </c>
    </row>
    <row r="61" ht="25.5" customHeight="1">
      <c r="A61">
        <v>1742</v>
      </c>
      <c r="B61" s="2" t="str">
        <f>=HYPERLINK("https://m.tb.cn/h.77XLv9L?tk=RUvWU019LB2", "https://m.tb.cn/h.77XLv9L?tk=RUvWU019LB2")</f>
        <v>https://m.tb.cn/h.77XLv9L?tk=RUvWU019LB2</v>
      </c>
    </row>
    <row r="62" ht="25.5" customHeight="1">
      <c r="A62">
        <v>1743</v>
      </c>
      <c r="B62" s="2" t="str">
        <f>=HYPERLINK("https://m.tb.cn/h.7h8UIZK?tk=zSSnU01PC0u", "https://m.tb.cn/h.7h8UIZK?tk=zSSnU01PC0u")</f>
        <v>https://m.tb.cn/h.7h8UIZK?tk=zSSnU01PC0u</v>
      </c>
    </row>
    <row r="63" ht="25.5" customHeight="1">
      <c r="A63">
        <v>1744</v>
      </c>
      <c r="B63" s="2" t="str">
        <f>=HYPERLINK("https://m.tb.cn/h.7hw6dT7?tk=eDriU01Pzru", "https://m.tb.cn/h.7hw6dT7?tk=eDriU01Pzru")</f>
        <v>https://m.tb.cn/h.7hw6dT7?tk=eDriU01Pzru</v>
      </c>
    </row>
    <row r="64" ht="25.5" customHeight="1">
      <c r="A64">
        <v>1745</v>
      </c>
      <c r="B64" s="2" t="str">
        <f>=HYPERLINK("https://m.tb.cn/h.7hKqjtB?tk=MoJVUZwvRDa", "https://m.tb.cn/h.7hKqjtB?tk=MoJVUZwvRDa")</f>
        <v>https://m.tb.cn/h.7hKqjtB?tk=MoJVUZwvRDa</v>
      </c>
    </row>
    <row r="65" ht="25.5" customHeight="1">
      <c r="A65">
        <v>1746</v>
      </c>
      <c r="B65" s="2" t="str">
        <f>=HYPERLINK("https://m.tb.cn/h.7hVkBiG?tk=TANIUZwC6NH", "https://m.tb.cn/h.7hVkBiG?tk=TANIUZwC6NH")</f>
        <v>https://m.tb.cn/h.7hVkBiG?tk=TANIUZwC6NH</v>
      </c>
    </row>
    <row r="66" ht="25.5" customHeight="1">
      <c r="A66">
        <v>1747</v>
      </c>
      <c r="B66" s="2" t="str">
        <f>=HYPERLINK("https://m.tb.cn/h.7SxzOUI?tk=claGUZwyqus", "https://m.tb.cn/h.7SxzOUI?tk=claGUZwyqus")</f>
        <v>https://m.tb.cn/h.7SxzOUI?tk=claGUZwyqus</v>
      </c>
    </row>
    <row r="67" ht="25.5" customHeight="1">
      <c r="A67">
        <v>1748</v>
      </c>
      <c r="B67" s="2" t="str">
        <f>=HYPERLINK("https://m.tb.cn/h.7Sa6P7G?tk=OLuKUZwEiNr", "https://m.tb.cn/h.7Sa6P7G?tk=OLuKUZwEiNr")</f>
        <v>https://m.tb.cn/h.7Sa6P7G?tk=OLuKUZwEiNr</v>
      </c>
    </row>
    <row r="68" ht="25.5" customHeight="1">
      <c r="A68">
        <v>1749</v>
      </c>
      <c r="B68" s="2" t="str">
        <f>=HYPERLINK("https://m.tb.cn/h.7h4dfXV?tk=iMbDUZDPPd3", "https://m.tb.cn/h.7h4dfXV?tk=iMbDUZDPPd3")</f>
        <v>https://m.tb.cn/h.7h4dfXV?tk=iMbDUZDPPd3</v>
      </c>
    </row>
    <row r="69" ht="25.5" customHeight="1">
      <c r="A69">
        <v>1750</v>
      </c>
      <c r="B69" s="2" t="str">
        <f>=HYPERLINK("https://m.tb.cn/h.7hq9B1P?tk=reXeUZDJt9e", "https://m.tb.cn/h.7hq9B1P?tk=reXeUZDJt9e")</f>
        <v>https://m.tb.cn/h.7hq9B1P?tk=reXeUZDJt9e</v>
      </c>
    </row>
    <row r="70" ht="25.5" customHeight="1">
      <c r="A70">
        <v>1751</v>
      </c>
      <c r="B70" s="2" t="str">
        <f>=HYPERLINK("https://m.tb.cn/h.7Tuf07Z?tk=tMIifzFrEGD", "https://m.tb.cn/h.7Tuf07Z?tk=tMIifzFrEGD")</f>
        <v>https://m.tb.cn/h.7Tuf07Z?tk=tMIifzFrEGD</v>
      </c>
    </row>
    <row r="71" ht="25.5" customHeight="1">
      <c r="A71">
        <v>1752</v>
      </c>
      <c r="B71" s="2" t="str">
        <f>=HYPERLINK("https://m.tb.cn/h.7SZRXsM?tk=QxLAUZDwkMv", "https://m.tb.cn/h.7SZRXsM?tk=QxLAUZDwkMv")</f>
        <v>https://m.tb.cn/h.7SZRXsM?tk=QxLAUZDwkMv</v>
      </c>
    </row>
    <row r="72" ht="25.5" customHeight="1">
      <c r="A72">
        <v>1753</v>
      </c>
      <c r="B72" s="2" t="str">
        <f>=HYPERLINK("https://m.tb.cn/h.7SZnexx?tk=SmwrUZx0IPQ", "https://m.tb.cn/h.7SZnexx?tk=SmwrUZx0IPQ")</f>
        <v>https://m.tb.cn/h.7SZnexx?tk=SmwrUZx0IPQ</v>
      </c>
    </row>
    <row r="73" ht="25.5" customHeight="1">
      <c r="A73">
        <v>1754</v>
      </c>
      <c r="B73" s="2" t="str">
        <f>=HYPERLINK("https://m.tb.cn/h.7h4uyLa?tk=jUPyUZxdbc9", "https://m.tb.cn/h.7h4uyLa?tk=jUPyUZxdbc9")</f>
        <v>https://m.tb.cn/h.7h4uyLa?tk=jUPyUZxdbc9</v>
      </c>
    </row>
    <row r="74" ht="25.5" customHeight="1">
      <c r="A74">
        <v>1755</v>
      </c>
      <c r="B74" s="2" t="str">
        <f>=HYPERLINK("https://m.tb.cn/h.7UqIf0i?tk=N7l2fyyeqBg", "https://m.tb.cn/h.7UqIf0i?tk=N7l2fyyeqBg")</f>
        <v>https://m.tb.cn/h.7UqIf0i?tk=N7l2fyyeqBg</v>
      </c>
    </row>
    <row r="75" ht="25.5" customHeight="1">
      <c r="A75">
        <v>1756</v>
      </c>
      <c r="B75" s="2" t="str">
        <f>=HYPERLINK("https://m.tb.cn/h.7hJqg6k?tk=tzoTUZxEKvA", "https://m.tb.cn/h.7hJqg6k?tk=tzoTUZxEKvA")</f>
        <v>https://m.tb.cn/h.7hJqg6k?tk=tzoTUZxEKvA</v>
      </c>
    </row>
    <row r="76" ht="25.5" customHeight="1">
      <c r="A76">
        <v>1757</v>
      </c>
      <c r="B76" s="2" t="str">
        <f>=HYPERLINK("https://m.tb.cn/h.7S0tDr3?tk=csfaUZCgnu2", "https://m.tb.cn/h.7S0tDr3?tk=csfaUZCgnu2")</f>
        <v>https://m.tb.cn/h.7S0tDr3?tk=csfaUZCgnu2</v>
      </c>
    </row>
    <row r="77" ht="25.5" customHeight="1">
      <c r="A77">
        <v>1758</v>
      </c>
      <c r="B77" s="2" t="str">
        <f>=HYPERLINK("https://m.tb.cn/h.7SDw2R8?tk=CNc3UZEDQwE", "https://m.tb.cn/h.7SDw2R8?tk=CNc3UZEDQwE")</f>
        <v>https://m.tb.cn/h.7SDw2R8?tk=CNc3UZEDQwE</v>
      </c>
    </row>
    <row r="78" ht="25.5" customHeight="1">
      <c r="A78">
        <v>1759</v>
      </c>
      <c r="B78" s="2" t="str">
        <f>=HYPERLINK("https://m.tb.cn/h.7hASPHo?tk=aMwNUZEBRUW", "https://m.tb.cn/h.7hASPHo?tk=aMwNUZEBRUW")</f>
        <v>https://m.tb.cn/h.7hASPHo?tk=aMwNUZEBRUW</v>
      </c>
    </row>
    <row r="79" ht="25.5" customHeight="1">
      <c r="A79">
        <v>1760</v>
      </c>
      <c r="B79" s="2" t="str">
        <f>=HYPERLINK("https://m.tb.cn/h.7Sx0BoQ?tk=mXpDUZw0Fij", "https://m.tb.cn/h.7Sx0BoQ?tk=mXpDUZw0Fij")</f>
        <v>https://m.tb.cn/h.7Sx0BoQ?tk=mXpDUZw0Fij</v>
      </c>
    </row>
    <row r="80" ht="25.5" customHeight="1">
      <c r="A80">
        <v>1761</v>
      </c>
      <c r="B80" s="2" t="str">
        <f>=HYPERLINK("https://m.tb.cn/h.7hKR4Fc?tk=FXXkUZwmtkN", "https://m.tb.cn/h.7hKR4Fc?tk=FXXkUZwmtkN")</f>
        <v>https://m.tb.cn/h.7hKR4Fc?tk=FXXkUZwmtkN</v>
      </c>
    </row>
    <row r="81" ht="25.5" customHeight="1">
      <c r="A81">
        <v>1762</v>
      </c>
      <c r="B81" s="2" t="str">
        <f>=HYPERLINK("https://m.tb.cn/h.7SaTNt1?tk=lm8vUZwuKDU", "https://m.tb.cn/h.7SaTNt1?tk=lm8vUZwuKDU")</f>
        <v>https://m.tb.cn/h.7SaTNt1?tk=lm8vUZwuKDU</v>
      </c>
    </row>
    <row r="82" ht="25.5" customHeight="1">
      <c r="A82">
        <v>1763</v>
      </c>
      <c r="B82" s="2" t="str">
        <f>=HYPERLINK("https://m.tb.cn/h.7SwB6GM?tk=vtPQUZvA8y7", "https://m.tb.cn/h.7SwB6GM?tk=vtPQUZvA8y7")</f>
        <v>https://m.tb.cn/h.7SwB6GM?tk=vtPQUZvA8y7</v>
      </c>
    </row>
    <row r="83" ht="25.5" customHeight="1">
      <c r="A83">
        <v>1764</v>
      </c>
      <c r="B83" s="2" t="str">
        <f>=HYPERLINK("https://m.tb.cn/h.7SDYO88?tk=TKRQUZEc2Qj", "https://m.tb.cn/h.7SDYO88?tk=TKRQUZEc2Qj")</f>
        <v>https://m.tb.cn/h.7SDYO88?tk=TKRQUZEc2Qj</v>
      </c>
    </row>
    <row r="84" ht="25.5" customHeight="1">
      <c r="A84">
        <v>1765</v>
      </c>
      <c r="B84" s="2" t="str">
        <f>=HYPERLINK("https://m.tb.cn/h.7hzqX54?tk=L886UZEUiY9", "https://m.tb.cn/h.7hzqX54?tk=L886UZEUiY9")</f>
        <v>https://m.tb.cn/h.7hzqX54?tk=L886UZEUiY9</v>
      </c>
    </row>
    <row r="85" ht="25.5" customHeight="1">
      <c r="A85">
        <v>1766</v>
      </c>
      <c r="B85" s="2" t="str">
        <f>=HYPERLINK("https://m.tb.cn/h.7hzpERA?tk=aILWUZEfReZ", "https://m.tb.cn/h.7hzpERA?tk=aILWUZEfReZ")</f>
        <v>https://m.tb.cn/h.7hzpERA?tk=aILWUZEfReZ</v>
      </c>
    </row>
    <row r="86" ht="25.5" customHeight="1">
      <c r="A86">
        <v>1767</v>
      </c>
      <c r="B86" s="2" t="str">
        <f>=HYPERLINK("https://m.tb.cn/h.7hAajhO?tk=v1VFUZEoC2g", "https://m.tb.cn/h.7hAajhO?tk=v1VFUZEoC2g")</f>
        <v>https://m.tb.cn/h.7hAajhO?tk=v1VFUZEoC2g</v>
      </c>
    </row>
    <row r="87" ht="25.5" customHeight="1">
      <c r="A87">
        <v>1768</v>
      </c>
      <c r="B87" s="2" t="str">
        <f>=HYPERLINK("https://m.tb.cn/h.7SDrxob?tk=aIE4UZEslt8", "https://m.tb.cn/h.7SDrxob?tk=aIE4UZEslt8")</f>
        <v>https://m.tb.cn/h.7SDrxob?tk=aIE4UZEslt8</v>
      </c>
    </row>
    <row r="88" ht="25.5" customHeight="1">
      <c r="A88">
        <v>1769</v>
      </c>
      <c r="B88" s="2" t="str">
        <f>=HYPERLINK("https://m.tb.cn/h.7hAdYuK?tk=MBecUZEsC0X", "https://m.tb.cn/h.7hAdYuK?tk=MBecUZEsC0X")</f>
        <v>https://m.tb.cn/h.7hAdYuK?tk=MBecUZEsC0X</v>
      </c>
    </row>
    <row r="89" ht="25.5" customHeight="1">
      <c r="A89">
        <v>1770</v>
      </c>
      <c r="B89" s="2" t="str">
        <f>=HYPERLINK("https://m.tb.cn/h.7hA57Wg?tk=T2vrUZEElko", "https://m.tb.cn/h.7hA57Wg?tk=T2vrUZEElko")</f>
        <v>https://m.tb.cn/h.7hA57Wg?tk=T2vrUZEElko</v>
      </c>
    </row>
    <row r="90" ht="25.5" customHeight="1">
      <c r="A90">
        <v>1771</v>
      </c>
      <c r="B90" s="2" t="str">
        <f>=HYPERLINK("https://m.tb.cn/h.7hA57Bb?tk=deR3UZEEhdT", "https://m.tb.cn/h.7hA57Bb?tk=deR3UZEEhdT")</f>
        <v>https://m.tb.cn/h.7hA57Bb?tk=deR3UZEEhdT</v>
      </c>
    </row>
    <row r="91" ht="25.5" customHeight="1">
      <c r="A91">
        <v>1772</v>
      </c>
      <c r="B91" s="2" t="str">
        <f>=HYPERLINK("https://m.tb.cn/h.7hAggC2?tk=CDs5UZEDqd0", "https://m.tb.cn/h.7hAggC2?tk=CDs5UZEDqd0")</f>
        <v>https://m.tb.cn/h.7hAggC2?tk=CDs5UZEDqd0</v>
      </c>
    </row>
    <row r="92" ht="25.5" customHeight="1">
      <c r="A92">
        <v>1773</v>
      </c>
      <c r="B92" s="2" t="str">
        <f>=HYPERLINK("https://m.tb.cn/h.7hpIMjb?tk=VTxcUZEwNmK", "https://m.tb.cn/h.7hpIMjb?tk=VTxcUZEwNmK")</f>
        <v>https://m.tb.cn/h.7hpIMjb?tk=VTxcUZEwNmK</v>
      </c>
    </row>
    <row r="93" ht="25.5" customHeight="1">
      <c r="A93">
        <v>1774</v>
      </c>
      <c r="B93" s="2" t="str">
        <f>=HYPERLINK("https://m.tb.cn/h.7SDEDQV?tk=ck6YUZEx0Ge", "https://m.tb.cn/h.7SDEDQV?tk=ck6YUZEx0Ge")</f>
        <v>https://m.tb.cn/h.7SDEDQV?tk=ck6YUZEx0Ge</v>
      </c>
    </row>
    <row r="94" ht="25.5" customHeight="1">
      <c r="A94">
        <v>1775</v>
      </c>
      <c r="B94" s="2" t="str">
        <f>=HYPERLINK("https://m.tb.cn/h.7hWwTNV?tk=o9AtUZv5DuE", "https://m.tb.cn/h.7hWwTNV?tk=o9AtUZv5DuE")</f>
        <v>https://m.tb.cn/h.7hWwTNV?tk=o9AtUZv5DuE</v>
      </c>
    </row>
    <row r="95" ht="25.5" customHeight="1">
      <c r="A95">
        <v>1776</v>
      </c>
      <c r="B95" s="2" t="str">
        <f>=HYPERLINK("https://m.tb.cn/h.7SwflkA?tk=CT0xUZv5EI4", "https://m.tb.cn/h.7SwflkA?tk=CT0xUZv5EI4")</f>
        <v>https://m.tb.cn/h.7SwflkA?tk=CT0xUZv5EI4</v>
      </c>
    </row>
    <row r="96" ht="25.5" customHeight="1">
      <c r="A96">
        <v>1777</v>
      </c>
      <c r="B96" s="2" t="str">
        <f>=HYPERLINK("https://m.tb.cn/h.7hBx9c4?tk=8LukUZvOsEZ", "https://m.tb.cn/h.7hBx9c4?tk=8LukUZvOsEZ")</f>
        <v>https://m.tb.cn/h.7hBx9c4?tk=8LukUZvOsEZ</v>
      </c>
    </row>
    <row r="97" ht="25.5" customHeight="1">
      <c r="A97">
        <v>1778</v>
      </c>
      <c r="B97" s="2" t="str">
        <f>=HYPERLINK("https://m.tb.cn/h.7SwP7Hx?tk=KpyFUZvmB7y", "https://m.tb.cn/h.7SwP7Hx?tk=KpyFUZvmB7y")</f>
        <v>https://m.tb.cn/h.7SwP7Hx?tk=KpyFUZvmB7y</v>
      </c>
    </row>
    <row r="98" ht="25.5" customHeight="1">
      <c r="A98">
        <v>1779</v>
      </c>
      <c r="B98" s="2" t="str">
        <f>=HYPERLINK("https://m.tb.cn/h.7hLjuPj?tk=EX7IUZvoqtt", "https://m.tb.cn/h.7hLjuPj?tk=EX7IUZvoqtt")</f>
        <v>https://m.tb.cn/h.7hLjuPj?tk=EX7IUZvoqtt</v>
      </c>
    </row>
    <row r="99" ht="25.5" customHeight="1">
      <c r="A99">
        <v>1780</v>
      </c>
      <c r="B99" s="2" t="str">
        <f>=HYPERLINK("https://m.tb.cn/h.7hz0UiU?tk=t2kmUZvK1uh", "https://m.tb.cn/h.7hz0UiU?tk=t2kmUZvK1uh")</f>
        <v>https://m.tb.cn/h.7hz0UiU?tk=t2kmUZvK1uh</v>
      </c>
    </row>
    <row r="100" ht="25.5" customHeight="1">
      <c r="A100">
        <v>1781</v>
      </c>
      <c r="B100" s="2" t="str">
        <f>=HYPERLINK("https://m.tb.cn/h.7h6e2wC?tk=wTz7UZeCp5d", "https://m.tb.cn/h.7h6e2wC?tk=wTz7UZeCp5d")</f>
        <v>https://m.tb.cn/h.7h6e2wC?tk=wTz7UZeCp5d</v>
      </c>
    </row>
    <row r="101" ht="25.5" customHeight="1">
      <c r="A101">
        <v>1782</v>
      </c>
      <c r="B101" s="2" t="str">
        <f>=HYPERLINK("https://m.tb.cn/h.7SwJgrX?tk=3sBxUZvIFP3", "https://m.tb.cn/h.7SwJgrX?tk=3sBxUZvIFP3")</f>
        <v>https://m.tb.cn/h.7SwJgrX?tk=3sBxUZvIFP3</v>
      </c>
    </row>
    <row r="102" ht="25.5" customHeight="1">
      <c r="A102">
        <v>1783</v>
      </c>
      <c r="B102" s="2" t="str">
        <f>=HYPERLINK("https://m.tb.cn/h.7hzcOOb?tk=GPZVUZvrFd2", "https://m.tb.cn/h.7hzcOOb?tk=GPZVUZvrFd2")</f>
        <v>https://m.tb.cn/h.7hzcOOb?tk=GPZVUZvrFd2</v>
      </c>
    </row>
    <row r="103" ht="25.5" customHeight="1">
      <c r="A103">
        <v>1784</v>
      </c>
      <c r="B103" s="2" t="str">
        <f>=HYPERLINK("https://m.tb.cn/h.7h3SUzJ?tk=dVmFUZvuekk", "https://m.tb.cn/h.7h3SUzJ?tk=dVmFUZvuekk")</f>
        <v>https://m.tb.cn/h.7h3SUzJ?tk=dVmFUZvuekk</v>
      </c>
    </row>
    <row r="104" ht="25.5" customHeight="1">
      <c r="A104">
        <v>1785</v>
      </c>
      <c r="B104" s="2" t="str">
        <f>=HYPERLINK("https://m.tb.cn/h.7hLrxAe?tk=oHP6UZvvXvw", "https://m.tb.cn/h.7hLrxAe?tk=oHP6UZvvXvw")</f>
        <v>https://m.tb.cn/h.7hLrxAe?tk=oHP6UZvvXvw</v>
      </c>
    </row>
    <row r="105" ht="25.5" customHeight="1">
      <c r="A105">
        <v>1786</v>
      </c>
      <c r="B105" s="2" t="str">
        <f>=HYPERLINK("https://m.tb.cn/h.7h3SSVd?tk=jHwAUZvuTlX", "https://m.tb.cn/h.7h3SSVd?tk=jHwAUZvuTlX")</f>
        <v>https://m.tb.cn/h.7h3SSVd?tk=jHwAUZvuTlX</v>
      </c>
    </row>
    <row r="106" ht="25.5" customHeight="1">
      <c r="A106">
        <v>1787</v>
      </c>
      <c r="B106" s="2" t="str">
        <f>=HYPERLINK("https://m.tb.cn/h.75faZV5?tk=Oe57fBWXXrl", "https://m.tb.cn/h.75faZV5?tk=Oe57fBWXXrl")</f>
        <v>https://m.tb.cn/h.75faZV5?tk=Oe57fBWXXrl</v>
      </c>
    </row>
    <row r="107" ht="25.5" customHeight="1">
      <c r="A107">
        <v>1788</v>
      </c>
      <c r="B107" s="2" t="str">
        <f>=HYPERLINK("https://m.tb.cn/h.7hoTpAq?tk=3T1RUZFPKHr", "https://m.tb.cn/h.7hoTpAq?tk=3T1RUZFPKHr")</f>
        <v>https://m.tb.cn/h.7hoTpAq?tk=3T1RUZFPKHr</v>
      </c>
    </row>
    <row r="108" ht="25.5" customHeight="1">
      <c r="A108">
        <v>1789</v>
      </c>
      <c r="B108" s="2" t="str">
        <f>=HYPERLINK("https://m.tb.cn/h.7hotCr9?tk=y0woUZFzbFK", "https://m.tb.cn/h.7hotCr9?tk=y0woUZFzbFK")</f>
        <v>https://m.tb.cn/h.7hotCr9?tk=y0woUZFzbFK</v>
      </c>
    </row>
    <row r="109" ht="25.5" customHeight="1">
      <c r="A109">
        <v>1790</v>
      </c>
      <c r="B109" s="2" t="str">
        <f>=HYPERLINK("https://m.tb.cn/h.7houlJT?tk=UJEDUZFABxs", "https://m.tb.cn/h.7houlJT?tk=UJEDUZFABxs")</f>
        <v>https://m.tb.cn/h.7houlJT?tk=UJEDUZFABxs</v>
      </c>
    </row>
    <row r="110" ht="25.5" customHeight="1">
      <c r="A110">
        <v>1791</v>
      </c>
      <c r="B110" s="2" t="str">
        <f>=HYPERLINK("https://m.tb.cn/h.7hWuzY7?tk=24zRUZv4M7P", "https://m.tb.cn/h.7hWuzY7?tk=24zRUZv4M7P")</f>
        <v>https://m.tb.cn/h.7hWuzY7?tk=24zRUZv4M7P</v>
      </c>
    </row>
    <row r="111" ht="25.5" customHeight="1">
      <c r="A111">
        <v>1792</v>
      </c>
      <c r="B111" s="2" t="str">
        <f>=HYPERLINK("https://m.tb.cn/h.7hWv2Am?tk=NxlmUZv5H66", "https://m.tb.cn/h.7hWv2Am?tk=NxlmUZv5H66")</f>
        <v>https://m.tb.cn/h.7hWv2Am?tk=NxlmUZv5H66</v>
      </c>
    </row>
    <row r="112" ht="25.5" customHeight="1">
      <c r="A112">
        <v>1793</v>
      </c>
      <c r="B112" s="2" t="str">
        <f>=HYPERLINK("https://m.tb.cn/h.7hCvFaU?tk=31phUZukVZh", "https://m.tb.cn/h.7hCvFaU?tk=31phUZukVZh")</f>
        <v>https://m.tb.cn/h.7hCvFaU?tk=31phUZukVZh</v>
      </c>
    </row>
    <row r="113" ht="25.5" customHeight="1">
      <c r="A113">
        <v>1794</v>
      </c>
      <c r="B113" s="2" t="str">
        <f>=HYPERLINK("https://m.tb.cn/h.7SvJPrU?tk=q7oFUZurwqT", "https://m.tb.cn/h.7SvJPrU?tk=q7oFUZurwqT")</f>
        <v>https://m.tb.cn/h.7SvJPrU?tk=q7oFUZurwqT</v>
      </c>
    </row>
    <row r="114" ht="25.5" customHeight="1">
      <c r="A114">
        <v>1795</v>
      </c>
      <c r="B114" s="2" t="str">
        <f>=HYPERLINK("https://m.tb.cn/h.7Ssp6b9?tk=eijcUZrvKqK", "https://m.tb.cn/h.7Ssp6b9?tk=eijcUZrvKqK")</f>
        <v>https://m.tb.cn/h.7Ssp6b9?tk=eijcUZrvKqK</v>
      </c>
    </row>
    <row r="115" ht="25.5" customHeight="1">
      <c r="A115">
        <v>1796</v>
      </c>
      <c r="B115" s="2" t="str">
        <f>=HYPERLINK("https://m.tb.cn/h.7hyUK0y?tk=HlAXUZuxogh", "https://m.tb.cn/h.7hyUK0y?tk=HlAXUZuxogh")</f>
        <v>https://m.tb.cn/h.7hyUK0y?tk=HlAXUZuxogh</v>
      </c>
    </row>
    <row r="116" ht="25.5" customHeight="1">
      <c r="A116">
        <v>1797</v>
      </c>
      <c r="B116" s="2" t="str">
        <f>=HYPERLINK("https://m.tb.cn/h.7SEaY1j?tk=VuizUZFbuAQ", "https://m.tb.cn/h.7SEaY1j?tk=VuizUZFbuAQ")</f>
        <v>https://m.tb.cn/h.7SEaY1j?tk=VuizUZFbuAQ</v>
      </c>
    </row>
    <row r="117" ht="25.5" customHeight="1">
      <c r="A117">
        <v>1798</v>
      </c>
      <c r="B117" s="2" t="str">
        <f>=HYPERLINK("https://m.tb.cn/h.76AVvQG?tk=kqm9UZeNycu", "https://m.tb.cn/h.76AVvQG?tk=kqm9UZeNycu")</f>
        <v>https://m.tb.cn/h.76AVvQG?tk=kqm9UZeNycu</v>
      </c>
    </row>
    <row r="118" ht="25.5" customHeight="1">
      <c r="A118">
        <v>1799</v>
      </c>
      <c r="B118" s="2" t="str">
        <f>=HYPERLINK("https://m.tb.cn/h.7SEYM7h?tk=Vvu4UZFWoxh", "https://m.tb.cn/h.7SEYM7h?tk=Vvu4UZFWoxh")</f>
        <v>https://m.tb.cn/h.7SEYM7h?tk=Vvu4UZFWoxh</v>
      </c>
    </row>
    <row r="119" ht="25.5" customHeight="1">
      <c r="A119">
        <v>1800</v>
      </c>
      <c r="B119" s="2" t="str">
        <f>=HYPERLINK("https://m.tb.cn/h.7hobjHf?tk=VxxnUZFVor5", "https://m.tb.cn/h.7hobjHf?tk=VxxnUZFVor5")</f>
        <v>https://m.tb.cn/h.7hobjHf?tk=VxxnUZFVor5</v>
      </c>
    </row>
    <row r="120" ht="25.5" customHeight="1">
      <c r="A120">
        <v>1801</v>
      </c>
      <c r="B120" s="2" t="str">
        <f>=HYPERLINK("https://m.tb.cn/h.7hdFShE?tk=7rd7UZF5QPW", "https://m.tb.cn/h.7hdFShE?tk=7rd7UZF5QPW")</f>
        <v>https://m.tb.cn/h.7hdFShE?tk=7rd7UZF5QPW</v>
      </c>
    </row>
    <row r="121" ht="25.5" customHeight="1">
      <c r="A121">
        <v>1802</v>
      </c>
      <c r="B121" s="2" t="str">
        <f>=HYPERLINK("https://m.tb.cn/h.7h2eYtE?tk=ySdPUZGrgoE", "https://m.tb.cn/h.7h2eYtE?tk=ySdPUZGrgoE")</f>
        <v>https://m.tb.cn/h.7h2eYtE?tk=ySdPUZGrgoE</v>
      </c>
    </row>
    <row r="122" ht="25.5" customHeight="1">
      <c r="A122">
        <v>1803</v>
      </c>
      <c r="B122" s="2" t="str">
        <f>=HYPERLINK("https://m.tb.cn/h.7h2S4mW?tk=lmMNUZGx0L9", "https://m.tb.cn/h.7h2S4mW?tk=lmMNUZGx0L9")</f>
        <v>https://m.tb.cn/h.7h2S4mW?tk=lmMNUZGx0L9</v>
      </c>
    </row>
    <row r="123" ht="25.5" customHeight="1">
      <c r="A123">
        <v>1804</v>
      </c>
      <c r="B123" s="2" t="str">
        <f>=HYPERLINK("https://m.tb.cn/h.7hCUu89?tk=JfksUZGDMAj", "https://m.tb.cn/h.7hCUu89?tk=JfksUZGDMAj")</f>
        <v>https://m.tb.cn/h.7hCUu89?tk=JfksUZGDMAj</v>
      </c>
    </row>
    <row r="124" ht="25.5" customHeight="1">
      <c r="A124">
        <v>1805</v>
      </c>
      <c r="B124" s="2" t="str">
        <f>=HYPERLINK("https://m.tb.cn/h.7hC7qG7?tk=MyP6UZuZYdH", "https://m.tb.cn/h.7hC7qG7?tk=MyP6UZuZYdH")</f>
        <v>https://m.tb.cn/h.7hC7qG7?tk=MyP6UZuZYdH</v>
      </c>
    </row>
    <row r="125" ht="25.5" customHeight="1">
      <c r="A125">
        <v>1806</v>
      </c>
      <c r="B125" s="2" t="str">
        <f>=HYPERLINK("https://m.tb.cn/h.7h2OTqF?tk=cAxAUZu1eCS", "https://m.tb.cn/h.7h2OTqF?tk=cAxAUZu1eCS")</f>
        <v>https://m.tb.cn/h.7h2OTqF?tk=cAxAUZu1eCS</v>
      </c>
    </row>
    <row r="126" ht="25.5" customHeight="1">
      <c r="A126">
        <v>1807</v>
      </c>
      <c r="B126" s="2" t="str">
        <f>=HYPERLINK("https://m.tb.cn/h.7h2sbI1?tk=1h33UZu4wV3", "https://m.tb.cn/h.7h2sbI1?tk=1h33UZu4wV3")</f>
        <v>https://m.tb.cn/h.7h2sbI1?tk=1h33UZu4wV3</v>
      </c>
    </row>
    <row r="127" ht="25.5" customHeight="1">
      <c r="A127">
        <v>1808</v>
      </c>
      <c r="B127" s="2" t="str">
        <f>=HYPERLINK("https://m.tb.cn/h.7hCHtsr?tk=vbdFUZu8m9e", "https://m.tb.cn/h.7hCHtsr?tk=vbdFUZu8m9e")</f>
        <v>https://m.tb.cn/h.7hCHtsr?tk=vbdFUZu8m9e</v>
      </c>
    </row>
    <row r="128" ht="25.5" customHeight="1">
      <c r="A128">
        <v>1809</v>
      </c>
      <c r="B128" s="2" t="str">
        <f>=HYPERLINK("https://m.tb.cn/h.7hMfaEN?tk=7QEfUZuQ6fp", "https://m.tb.cn/h.7hMfaEN?tk=7QEfUZuQ6fp")</f>
        <v>https://m.tb.cn/h.7hMfaEN?tk=7QEfUZuQ6fp</v>
      </c>
    </row>
    <row r="129" ht="25.5" customHeight="1">
      <c r="A129">
        <v>1810</v>
      </c>
      <c r="B129" s="2" t="str">
        <f>=HYPERLINK("https://m.tb.cn/h.7Suv2nK?tk=cMLQUZtDszm", "https://m.tb.cn/h.7Suv2nK?tk=cMLQUZtDszm")</f>
        <v>https://m.tb.cn/h.7Suv2nK?tk=cMLQUZtDszm</v>
      </c>
    </row>
    <row r="130" ht="25.5" customHeight="1">
      <c r="A130">
        <v>1811</v>
      </c>
      <c r="B130" s="2" t="str">
        <f>=HYPERLINK("https://m.tb.cn/h.7hgHyUu?tk=Z5YFUZ3m3PW", "https://m.tb.cn/h.7hgHyUu?tk=Z5YFUZ3m3PW")</f>
        <v>https://m.tb.cn/h.7hgHyUu?tk=Z5YFUZ3m3PW</v>
      </c>
    </row>
    <row r="131" ht="25.5" customHeight="1">
      <c r="A131">
        <v>1812</v>
      </c>
      <c r="B131" s="2" t="str">
        <f>=HYPERLINK("https://m.tb.cn/h.7hxNqBy?tk=rJIrUZG49i2", "https://m.tb.cn/h.7hxNqBy?tk=rJIrUZG49i2")</f>
        <v>https://m.tb.cn/h.7hxNqBy?tk=rJIrUZG49i2</v>
      </c>
    </row>
    <row r="132" ht="25.5" customHeight="1">
      <c r="A132">
        <v>1813</v>
      </c>
      <c r="B132" s="2" t="str">
        <f>=HYPERLINK("https://m.tb.cn/h.7hxGO6Q?tk=DqHMUZGjbWN", "https://m.tb.cn/h.7hxGO6Q?tk=DqHMUZGjbWN")</f>
        <v>https://m.tb.cn/h.7hxGO6Q?tk=DqHMUZGjbWN</v>
      </c>
    </row>
    <row r="133" ht="25.5" customHeight="1">
      <c r="A133">
        <v>1814</v>
      </c>
      <c r="B133" s="2" t="str">
        <f>=HYPERLINK("https://m.tb.cn/h.7SFjNTo?tk=0gQmUZGlB5E", "https://m.tb.cn/h.7SFjNTo?tk=0gQmUZGlB5E")</f>
        <v>https://m.tb.cn/h.7SFjNTo?tk=0gQmUZGlB5E</v>
      </c>
    </row>
    <row r="134" ht="25.5" customHeight="1">
      <c r="A134">
        <v>1815</v>
      </c>
      <c r="B134" s="2" t="str">
        <f>=HYPERLINK("https://m.tb.cn/h.7hxDI7A?tk=JG9nUZGOeta", "https://m.tb.cn/h.7hxDI7A?tk=JG9nUZGOeta")</f>
        <v>https://m.tb.cn/h.7hxDI7A?tk=JG9nUZGOeta</v>
      </c>
    </row>
    <row r="135" ht="25.5" customHeight="1">
      <c r="A135">
        <v>1816</v>
      </c>
      <c r="B135" s="2" t="str">
        <f>=HYPERLINK("https://m.tb.cn/h.7hxxYGT?tk=E0NbUZGN021", "https://m.tb.cn/h.7hxxYGT?tk=E0NbUZGN021")</f>
        <v>https://m.tb.cn/h.7hxxYGT?tk=E0NbUZGN021</v>
      </c>
    </row>
    <row r="136" ht="25.5" customHeight="1">
      <c r="A136">
        <v>1817</v>
      </c>
      <c r="B136" s="2" t="str">
        <f>=HYPERLINK("https://m.tb.cn/h.76PKl6z?tk=ulhNUZ3Oy7q", "https://m.tb.cn/h.76PKl6z?tk=ulhNUZ3Oy7q")</f>
        <v>https://m.tb.cn/h.76PKl6z?tk=ulhNUZ3Oy7q</v>
      </c>
    </row>
    <row r="137" ht="25.5" customHeight="1">
      <c r="A137">
        <v>1818</v>
      </c>
      <c r="B137" s="2" t="str">
        <f>=HYPERLINK("https://m.tb.cn/h.7Su2pFd?tk=p8AKUZtfTEs", "https://m.tb.cn/h.7Su2pFd?tk=p8AKUZtfTEs")</f>
        <v>https://m.tb.cn/h.7Su2pFd?tk=p8AKUZtfTEs</v>
      </c>
    </row>
    <row r="138" ht="25.5" customHeight="1">
      <c r="A138">
        <v>1819</v>
      </c>
      <c r="B138" s="2" t="str">
        <f>=HYPERLINK("https://m.tb.cn/h.7hNZDvP?tk=TQvJUZtUqDi", "https://m.tb.cn/h.7hNZDvP?tk=TQvJUZtUqDi")</f>
        <v>https://m.tb.cn/h.7hNZDvP?tk=TQvJUZtUqDi</v>
      </c>
    </row>
    <row r="139" ht="25.5" customHeight="1">
      <c r="A139">
        <v>1820</v>
      </c>
      <c r="B139" s="2" t="str">
        <f>=HYPERLINK("https://m.tb.cn/h.7hcsgdO?tk=FHBaUZt6act", "https://m.tb.cn/h.7hcsgdO?tk=FHBaUZt6act")</f>
        <v>https://m.tb.cn/h.7hcsgdO?tk=FHBaUZt6act</v>
      </c>
    </row>
    <row r="140" ht="25.5" customHeight="1">
      <c r="A140">
        <v>1821</v>
      </c>
      <c r="B140" s="2" t="str">
        <f>=HYPERLINK("https://m.tb.cn/h.7hDssFT?tk=HyhpUZt7WEW", "https://m.tb.cn/h.7hDssFT?tk=HyhpUZt7WEW")</f>
        <v>https://m.tb.cn/h.7hDssFT?tk=HyhpUZt7WEW</v>
      </c>
    </row>
    <row r="141" ht="25.5" customHeight="1">
      <c r="A141">
        <v>1822</v>
      </c>
      <c r="B141" s="2" t="str">
        <f>=HYPERLINK("https://m.tb.cn/h.7SuiHCq?tk=gp6VUZtPi1B", "https://m.tb.cn/h.7SuiHCq?tk=gp6VUZtPi1B")</f>
        <v>https://m.tb.cn/h.7SuiHCq?tk=gp6VUZtPi1B</v>
      </c>
    </row>
    <row r="142" ht="25.5" customHeight="1">
      <c r="A142">
        <v>1823</v>
      </c>
      <c r="B142" s="2" t="str">
        <f>=HYPERLINK("https://m.tb.cn/h.7hXa43N?tk=notyUZtmqet", "https://m.tb.cn/h.7hXa43N?tk=notyUZtmqet")</f>
        <v>https://m.tb.cn/h.7hXa43N?tk=notyUZtmqet</v>
      </c>
    </row>
    <row r="143" ht="25.5" customHeight="1">
      <c r="A143">
        <v>1824</v>
      </c>
      <c r="B143" s="2" t="str">
        <f>=HYPERLINK("https://m.tb.cn/h.7hX3uP4?tk=VHo6UZtsgPy", "https://m.tb.cn/h.7hX3uP4?tk=VHo6UZtsgPy")</f>
        <v>https://m.tb.cn/h.7hX3uP4?tk=VHo6UZtsgPy</v>
      </c>
    </row>
    <row r="144" ht="25.5" customHeight="1">
      <c r="A144">
        <v>1825</v>
      </c>
      <c r="B144" s="2" t="str">
        <f>=HYPERLINK("https://m.tb.cn/h.7SuqdRo?tk=qG9xUZttPIK", "https://m.tb.cn/h.7SuqdRo?tk=qG9xUZttPIK")</f>
        <v>https://m.tb.cn/h.7SuqdRo?tk=qG9xUZttPIK</v>
      </c>
    </row>
    <row r="145" ht="25.5" customHeight="1">
      <c r="A145">
        <v>1826</v>
      </c>
      <c r="B145" s="2" t="str">
        <f>=HYPERLINK("https://m.tb.cn/h.7hx2f7z?tk=y0kQUZtsEqM", "https://m.tb.cn/h.7hx2f7z?tk=y0kQUZtsEqM")</f>
        <v>https://m.tb.cn/h.7hx2f7z?tk=y0kQUZtsEqM</v>
      </c>
    </row>
    <row r="146" ht="25.5" customHeight="1">
      <c r="A146">
        <v>1827</v>
      </c>
      <c r="B146" s="2" t="str">
        <f>=HYPERLINK("https://m.tb.cn/h.7SuJDw9?tk=7rYOUZtt1nh", "https://m.tb.cn/h.7SuJDw9?tk=7rYOUZtt1nh")</f>
        <v>https://m.tb.cn/h.7SuJDw9?tk=7rYOUZtt1nh</v>
      </c>
    </row>
    <row r="147" ht="25.5" customHeight="1">
      <c r="A147">
        <v>1828</v>
      </c>
      <c r="B147" s="2" t="str">
        <f>=HYPERLINK("https://m.tb.cn/h.7SurRMX?tk=CUbSUZtt51B", "https://m.tb.cn/h.7SurRMX?tk=CUbSUZtt51B")</f>
        <v>https://m.tb.cn/h.7SurRMX?tk=CUbSUZtt51B</v>
      </c>
    </row>
    <row r="148" ht="25.5" customHeight="1">
      <c r="A148">
        <v>1829</v>
      </c>
      <c r="B148" s="2" t="str">
        <f>=HYPERLINK("https://m.tb.cn/h.7hNqfBL?tk=LiIwUZtx8s1", "https://m.tb.cn/h.7hNqfBL?tk=LiIwUZtx8s1")</f>
        <v>https://m.tb.cn/h.7hNqfBL?tk=LiIwUZtx8s1</v>
      </c>
    </row>
    <row r="149" ht="25.5" customHeight="1">
      <c r="A149">
        <v>1830</v>
      </c>
      <c r="B149" s="2" t="str">
        <f>=HYPERLINK("https://m.tb.cn/h.7hOmMdE?tk=jvKzUZsHlzP", "https://m.tb.cn/h.7hOmMdE?tk=jvKzUZsHlzP")</f>
        <v>https://m.tb.cn/h.7hOmMdE?tk=jvKzUZsHlzP</v>
      </c>
    </row>
    <row r="150" ht="25.5" customHeight="1">
      <c r="A150">
        <v>1831</v>
      </c>
      <c r="B150" s="2" t="str">
        <f>=HYPERLINK("https://m.tb.cn/h.7StsuH2?tk=R4QgUZswpCj", "https://m.tb.cn/h.7StsuH2?tk=R4QgUZswpCj")</f>
        <v>https://m.tb.cn/h.7StsuH2?tk=R4QgUZswpCj</v>
      </c>
    </row>
    <row r="151" ht="25.5" customHeight="1">
      <c r="A151">
        <v>1832</v>
      </c>
      <c r="B151" s="2" t="str">
        <f>=HYPERLINK("https://m.tb.cn/h.7StHR2O?tk=MpdBUZsDk2q", "https://m.tb.cn/h.7StHR2O?tk=MpdBUZsDk2q")</f>
        <v>https://m.tb.cn/h.7StHR2O?tk=MpdBUZsDk2q</v>
      </c>
    </row>
    <row r="152" ht="25.5" customHeight="1">
      <c r="A152">
        <v>1833</v>
      </c>
      <c r="B152" s="2" t="str">
        <f>=HYPERLINK("https://m.tb.cn/h.7SGNWOj?tk=rjzIUZHKYlR", "https://m.tb.cn/h.7SGNWOj?tk=rjzIUZHKYlR")</f>
        <v>https://m.tb.cn/h.7SGNWOj?tk=rjzIUZHKYlR</v>
      </c>
    </row>
    <row r="153" ht="25.5" customHeight="1">
      <c r="A153">
        <v>1834</v>
      </c>
      <c r="B153" s="2" t="str">
        <f>=HYPERLINK("https://m.tb.cn/h.7hDVlPj?tk=DDIlUZHD7kM", "https://m.tb.cn/h.7hDVlPj?tk=DDIlUZHD7kM")</f>
        <v>https://m.tb.cn/h.7hDVlPj?tk=DDIlUZHD7kM</v>
      </c>
    </row>
    <row r="154" ht="25.5" customHeight="1">
      <c r="A154">
        <v>1835</v>
      </c>
      <c r="B154" s="2" t="str">
        <f>=HYPERLINK("https://m.tb.cn/h.7hc7weP?tk=GFjRUZHyXuY", "https://m.tb.cn/h.7hc7weP?tk=GFjRUZHyXuY")</f>
        <v>https://m.tb.cn/h.7hc7weP?tk=GFjRUZHyXuY</v>
      </c>
    </row>
    <row r="155" ht="25.5" customHeight="1">
      <c r="A155">
        <v>1836</v>
      </c>
      <c r="B155" s="2" t="str">
        <f>=HYPERLINK("https://m.tb.cn/h.7hmDKtn?tk=dVuDUZtXbLq", "https://m.tb.cn/h.7hmDKtn?tk=dVuDUZtXbLq")</f>
        <v>https://m.tb.cn/h.7hmDKtn?tk=dVuDUZtXbLq</v>
      </c>
    </row>
    <row r="156" ht="25.5" customHeight="1">
      <c r="A156">
        <v>1837</v>
      </c>
      <c r="B156" s="2" t="str">
        <f>=HYPERLINK("https://m.tb.cn/h.7StbckX?tk=P86VUZsVvud", "https://m.tb.cn/h.7StbckX?tk=P86VUZsVvud")</f>
        <v>https://m.tb.cn/h.7StbckX?tk=P86VUZsVvud</v>
      </c>
    </row>
    <row r="157" ht="25.5" customHeight="1">
      <c r="A157">
        <v>1838</v>
      </c>
      <c r="B157" s="2" t="str">
        <f>=HYPERLINK("https://m.tb.cn/h.7hO1TZR?tk=anvUUZs5qlk", "https://m.tb.cn/h.7hO1TZR?tk=anvUUZs5qlk")</f>
        <v>https://m.tb.cn/h.7hO1TZR?tk=anvUUZs5qlk</v>
      </c>
    </row>
    <row r="158" ht="25.5" customHeight="1">
      <c r="A158">
        <v>1839</v>
      </c>
      <c r="B158" s="2" t="str">
        <f>=HYPERLINK("https://m.tb.cn/h.7hEGu8P?tk=B5aFUZs8yrO", "https://m.tb.cn/h.7hEGu8P?tk=B5aFUZs8yrO")</f>
        <v>https://m.tb.cn/h.7hEGu8P?tk=B5aFUZs8yrO</v>
      </c>
    </row>
    <row r="159" ht="25.5" customHeight="1">
      <c r="A159">
        <v>1840</v>
      </c>
      <c r="B159" s="2" t="str">
        <f>=HYPERLINK("https://m.tb.cn/h.7hEAsXp?tk=KgGpUZspFTZ", "https://m.tb.cn/h.7hEAsXp?tk=KgGpUZspFTZ")</f>
        <v>https://m.tb.cn/h.7hEAsXp?tk=KgGpUZspFTZ</v>
      </c>
    </row>
    <row r="160" ht="25.5" customHeight="1">
      <c r="A160">
        <v>1841</v>
      </c>
      <c r="B160" s="2" t="str">
        <f>=HYPERLINK("https://m.tb.cn/h.7hw0Wjq?tk=HH7TUZsqNHu", "https://m.tb.cn/h.7hw0Wjq?tk=HH7TUZsqNHu")</f>
        <v>https://m.tb.cn/h.7hw0Wjq?tk=HH7TUZsqNHu</v>
      </c>
    </row>
    <row r="161" ht="25.5" customHeight="1">
      <c r="A161">
        <v>1842</v>
      </c>
      <c r="B161" s="2" t="str">
        <f>=HYPERLINK("https://m.tb.cn/h.7h1eem1?tk=BnZDUZsIq5Y", "https://m.tb.cn/h.7h1eem1?tk=BnZDUZsIq5Y")</f>
        <v>https://m.tb.cn/h.7h1eem1?tk=BnZDUZsIq5Y</v>
      </c>
    </row>
    <row r="162" ht="25.5" customHeight="1">
      <c r="A162">
        <v>1843</v>
      </c>
      <c r="B162" s="2" t="str">
        <f>=HYPERLINK("https://m.tb.cn/h.7hP4Cxk?tk=oezzUZrPK0D", "https://m.tb.cn/h.7hP4Cxk?tk=oezzUZrPK0D")</f>
        <v>https://m.tb.cn/h.7hP4Cxk?tk=oezzUZrPK0D</v>
      </c>
    </row>
    <row r="163" ht="25.5" customHeight="1">
      <c r="A163">
        <v>1844</v>
      </c>
      <c r="B163" s="2" t="str">
        <f>=HYPERLINK("https://m.tb.cn/h.7hbd4Ub?tk=oNe5UZrrK6a", "https://m.tb.cn/h.7hbd4Ub?tk=oNe5UZrrK6a")</f>
        <v>https://m.tb.cn/h.7hbd4Ub?tk=oNe5UZrrK6a</v>
      </c>
    </row>
    <row r="164" ht="25.5" customHeight="1">
      <c r="A164">
        <v>1845</v>
      </c>
      <c r="B164" s="2" t="str">
        <f>=HYPERLINK("https://m.tb.cn/h.7hPQvBd?tk=zP5ZUZrsbPx", "https://m.tb.cn/h.7hPQvBd?tk=zP5ZUZrsbPx")</f>
        <v>https://m.tb.cn/h.7hPQvBd?tk=zP5ZUZrsbPx</v>
      </c>
    </row>
    <row r="165" ht="25.5" customHeight="1">
      <c r="A165">
        <v>1846</v>
      </c>
      <c r="B165" s="2" t="str">
        <f>=HYPERLINK("https://m.tb.cn/h.7hPQ3Gx?tk=FmnJUZrIa43", "https://m.tb.cn/h.7hPQ3Gx?tk=FmnJUZrIa43")</f>
        <v>https://m.tb.cn/h.7hPQ3Gx?tk=FmnJUZrIa43</v>
      </c>
    </row>
    <row r="166" ht="25.5" customHeight="1">
      <c r="A166">
        <v>1847</v>
      </c>
      <c r="B166" s="2" t="str">
        <f>=HYPERLINK("https://m.tb.cn/h.7SsJa6D?tk=PcHtUZrDi5h", "https://m.tb.cn/h.7SsJa6D?tk=PcHtUZrDi5h")</f>
        <v>https://m.tb.cn/h.7SsJa6D?tk=PcHtUZrDi5h</v>
      </c>
    </row>
    <row r="167" ht="25.5" customHeight="1">
      <c r="A167">
        <v>1848</v>
      </c>
      <c r="B167" s="2" t="str">
        <f>=HYPERLINK("https://m.tb.cn/h.7hPp31z?tk=19UtUZrCs9r", "https://m.tb.cn/h.7hPp31z?tk=19UtUZrCs9r")</f>
        <v>https://m.tb.cn/h.7hPp31z?tk=19UtUZrCs9r</v>
      </c>
    </row>
    <row r="168" ht="25.5" customHeight="1">
      <c r="A168">
        <v>1849</v>
      </c>
      <c r="B168" s="2" t="str">
        <f>=HYPERLINK("https://m.tb.cn/h.7SHWeGh?tk=RoGYUZI6OQh", "https://m.tb.cn/h.7SHWeGh?tk=RoGYUZI6OQh")</f>
        <v>https://m.tb.cn/h.7SHWeGh?tk=RoGYUZI6OQh</v>
      </c>
    </row>
    <row r="169" ht="25.5" customHeight="1">
      <c r="A169">
        <v>1850</v>
      </c>
      <c r="B169" s="2" t="str">
        <f>=HYPERLINK("https://m.tb.cn/h.7hYZMyx?tk=tRQkUZINWga", "https://m.tb.cn/h.7hYZMyx?tk=tRQkUZINWga")</f>
        <v>https://m.tb.cn/h.7hYZMyx?tk=tRQkUZINWga</v>
      </c>
    </row>
    <row r="170" ht="25.5" customHeight="1">
      <c r="A170">
        <v>1851</v>
      </c>
      <c r="B170" s="2" t="str">
        <f>=HYPERLINK("https://m.tb.cn/h.76mYPYp?tk=8feZfAmMCLm", "https://m.tb.cn/h.76mYPYp?tk=8feZfAmMCLm")</f>
        <v>https://m.tb.cn/h.76mYPYp?tk=8feZfAmMCLm</v>
      </c>
    </row>
    <row r="171" ht="25.5" customHeight="1">
      <c r="A171">
        <v>1852</v>
      </c>
      <c r="B171" s="2" t="str">
        <f>=HYPERLINK("https://m.tb.cn/h.7hE06bI?tk=RWetUZIpG9E", "https://m.tb.cn/h.7hE06bI?tk=RWetUZIpG9E")</f>
        <v>https://m.tb.cn/h.7hE06bI?tk=RWetUZIpG9E</v>
      </c>
    </row>
    <row r="172" ht="25.5" customHeight="1">
      <c r="A172">
        <v>1853</v>
      </c>
      <c r="B172" s="2" t="str">
        <f>=HYPERLINK("https://m.tb.cn/h.7hlQ7aX?tk=j3hRUZIIi55", "https://m.tb.cn/h.7hlQ7aX?tk=j3hRUZIIi55")</f>
        <v>https://m.tb.cn/h.7hlQ7aX?tk=j3hRUZIIi55</v>
      </c>
    </row>
    <row r="173" ht="25.5" customHeight="1">
      <c r="A173">
        <v>1854</v>
      </c>
      <c r="B173" s="2" t="str">
        <f>=HYPERLINK("https://m.tb.cn/h.7h0YyN6?tk=RAYjUZJqpCY", "https://m.tb.cn/h.7h0YyN6?tk=RAYjUZJqpCY")</f>
        <v>https://m.tb.cn/h.7h0YyN6?tk=RAYjUZJqpCY</v>
      </c>
    </row>
    <row r="174" ht="25.5" customHeight="1">
      <c r="A174">
        <v>1855</v>
      </c>
      <c r="B174" s="2" t="str">
        <f>=HYPERLINK("https://m.tb.cn/h.7hkNVFd?tk=Gu1UUZJuk83", "https://m.tb.cn/h.7hkNVFd?tk=Gu1UUZJuk83")</f>
        <v>https://m.tb.cn/h.7hkNVFd?tk=Gu1UUZJuk83</v>
      </c>
    </row>
    <row r="175" ht="25.5" customHeight="1">
      <c r="A175">
        <v>1856</v>
      </c>
      <c r="B175" s="2" t="str">
        <f>=HYPERLINK("https://m.tb.cn/h.7hkJMjf?tk=6XNmUZJy9Io", "https://m.tb.cn/h.7hkJMjf?tk=6XNmUZJy9Io")</f>
        <v>https://m.tb.cn/h.7hkJMjf?tk=6XNmUZJy9Io</v>
      </c>
    </row>
    <row r="176" ht="25.5" customHeight="1">
      <c r="A176">
        <v>1857</v>
      </c>
      <c r="B176" s="2" t="str">
        <f>=HYPERLINK("https://m.tb.cn/h.7h0liWJ?tk=D4zVUZr1mWV", "https://m.tb.cn/h.7h0liWJ?tk=D4zVUZr1mWV")</f>
        <v>https://m.tb.cn/h.7h0liWJ?tk=D4zVUZr1mWV</v>
      </c>
    </row>
    <row r="177" ht="25.5" customHeight="1">
      <c r="A177">
        <v>1858</v>
      </c>
      <c r="B177" s="2" t="str">
        <f>=HYPERLINK("https://m.tb.cn/h.7SIyZhZ?tk=5aSCUZrdDxY", "https://m.tb.cn/h.7SIyZhZ?tk=5aSCUZrdDxY")</f>
        <v>https://m.tb.cn/h.7SIyZhZ?tk=5aSCUZrdDxY</v>
      </c>
    </row>
    <row r="178" ht="25.5" customHeight="1">
      <c r="A178">
        <v>1859</v>
      </c>
      <c r="B178" s="2" t="str">
        <f>=HYPERLINK("https://m.tb.cn/h.7hFKiWA?tk=lYIfUZrUJoz", "https://m.tb.cn/h.7hFKiWA?tk=lYIfUZrUJoz")</f>
        <v>https://m.tb.cn/h.7hFKiWA?tk=lYIfUZrUJoz</v>
      </c>
    </row>
    <row r="179" ht="25.5" customHeight="1">
      <c r="A179">
        <v>1860</v>
      </c>
      <c r="B179" s="2" t="str">
        <f>=HYPERLINK("https://m.tb.cn/h.7hZTlyl?tk=cICWUZqCJvA", "https://m.tb.cn/h.7hZTlyl?tk=cICWUZqCJvA")</f>
        <v>https://m.tb.cn/h.7hZTlyl?tk=cICWUZqCJvA</v>
      </c>
    </row>
    <row r="180" ht="25.5" customHeight="1">
      <c r="A180">
        <v>1861</v>
      </c>
      <c r="B180" s="2" t="str">
        <f>=HYPERLINK("https://m.tb.cn/h.7hZ6MC8?tk=f95TUZqyjvG", "https://m.tb.cn/h.7hZ6MC8?tk=f95TUZqyjvG")</f>
        <v>https://m.tb.cn/h.7hZ6MC8?tk=f95TUZqyjvG</v>
      </c>
    </row>
    <row r="181" ht="25.5" customHeight="1">
      <c r="A181">
        <v>1862</v>
      </c>
      <c r="B181" s="2" t="str">
        <f>=HYPERLINK("https://m.tb.cn/h.7h9DMQF?tk=GWFXUZJ2mUY", "https://m.tb.cn/h.7h9DMQF?tk=GWFXUZJ2mUY")</f>
        <v>https://m.tb.cn/h.7h9DMQF?tk=GWFXUZJ2mUY</v>
      </c>
    </row>
    <row r="182" ht="25.5" customHeight="1">
      <c r="A182">
        <v>1863</v>
      </c>
      <c r="B182" s="2" t="str">
        <f>=HYPERLINK("https://m.tb.cn/h.7hQfDoK?tk=FTyeUZqHBt5", "https://m.tb.cn/h.7hQfDoK?tk=FTyeUZqHBt5")</f>
        <v>https://m.tb.cn/h.7hQfDoK?tk=FTyeUZqHBt5</v>
      </c>
    </row>
    <row r="183" ht="25.5" customHeight="1">
      <c r="A183">
        <v>1864</v>
      </c>
      <c r="B183" s="2" t="str">
        <f>=HYPERLINK("https://m.tb.cn/h.7huK2KP?tk=bQc2UZJUEHZ", "https://m.tb.cn/h.7huK2KP?tk=bQc2UZJUEHZ")</f>
        <v>https://m.tb.cn/h.7huK2KP?tk=bQc2UZJUEHZ</v>
      </c>
    </row>
    <row r="184" ht="25.5" customHeight="1">
      <c r="A184">
        <v>1865</v>
      </c>
      <c r="B184" s="2" t="str">
        <f>=HYPERLINK("https://m.tb.cn/h.7hZSLXg?tk=AkA8UZqAbDn", "https://m.tb.cn/h.7hZSLXg?tk=AkA8UZqAbDn")</f>
        <v>https://m.tb.cn/h.7hZSLXg?tk=AkA8UZqAbDn</v>
      </c>
    </row>
    <row r="185" ht="25.5" customHeight="1">
      <c r="A185">
        <v>1866</v>
      </c>
      <c r="B185" s="2" t="str">
        <f>=HYPERLINK("https://m.tb.cn/h.7SmJksM?tk=ZomsUZOg9tc", "https://m.tb.cn/h.7SmJksM?tk=ZomsUZOg9tc")</f>
        <v>https://m.tb.cn/h.7SmJksM?tk=ZomsUZOg9tc</v>
      </c>
    </row>
    <row r="186" ht="25.5" customHeight="1">
      <c r="A186">
        <v>1867</v>
      </c>
      <c r="B186" s="2" t="str">
        <f>=HYPERLINK("https://m.tb.cn/h.7SI5VH4?tk=US7pUZJPBuS", "https://m.tb.cn/h.7SI5VH4?tk=US7pUZJPBuS")</f>
        <v>https://m.tb.cn/h.7SI5VH4?tk=US7pUZJPBuS</v>
      </c>
    </row>
    <row r="187" ht="25.5" customHeight="1">
      <c r="A187">
        <v>1868</v>
      </c>
      <c r="B187" s="2" t="str">
        <f>=HYPERLINK("https://m.tb.cn/h.7hZz9jf?tk=lCfRUZJNVp1", "https://m.tb.cn/h.7hZz9jf?tk=lCfRUZJNVp1")</f>
        <v>https://m.tb.cn/h.7hZz9jf?tk=lCfRUZJNVp1</v>
      </c>
    </row>
    <row r="188" ht="25.5" customHeight="1">
      <c r="A188">
        <v>1869</v>
      </c>
      <c r="B188" s="2" t="str">
        <f>=HYPERLINK("https://m.tb.cn/h.7hQLV4t?tk=1VZzUZKEE4B", "https://m.tb.cn/h.7hQLV4t?tk=1VZzUZKEE4B")</f>
        <v>https://m.tb.cn/h.7hQLV4t?tk=1VZzUZKEE4B</v>
      </c>
    </row>
    <row r="189" ht="25.5" customHeight="1">
      <c r="A189">
        <v>1870</v>
      </c>
      <c r="B189" s="2" t="str">
        <f>=HYPERLINK("https://m.tb.cn/h.7hQpbXe?tk=1mPfUZKxaZL", "https://m.tb.cn/h.7hQpbXe?tk=1mPfUZKxaZL")</f>
        <v>https://m.tb.cn/h.7hQpbXe?tk=1mPfUZKxaZL</v>
      </c>
    </row>
    <row r="190" ht="25.5" customHeight="1">
      <c r="A190">
        <v>1871</v>
      </c>
      <c r="B190" s="2" t="str">
        <f>=HYPERLINK("https://m.tb.cn/h.7haT15E?tk=Ss2dUZKy4Ru", "https://m.tb.cn/h.7haT15E?tk=Ss2dUZKy4Ru")</f>
        <v>https://m.tb.cn/h.7haT15E?tk=Ss2dUZKy4Ru</v>
      </c>
    </row>
    <row r="191" ht="25.5" customHeight="1">
      <c r="A191">
        <v>1872</v>
      </c>
      <c r="B191" s="2" t="str">
        <f>=HYPERLINK("https://m.tb.cn/h.7SJsd8C?tk=mmYDUZKBqCX", "https://m.tb.cn/h.7SJsd8C?tk=mmYDUZKBqCX")</f>
        <v>https://m.tb.cn/h.7SJsd8C?tk=mmYDUZKBqCX</v>
      </c>
    </row>
    <row r="192" ht="25.5" customHeight="1">
      <c r="A192">
        <v>1873</v>
      </c>
      <c r="B192" s="2" t="str">
        <f>=HYPERLINK("https://m.tb.cn/h.7hgG503?tk=A5IUUZ3OfxQ", "https://m.tb.cn/h.7hgG503?tk=A5IUUZ3OfxQ")</f>
        <v>https://m.tb.cn/h.7hgG503?tk=A5IUUZ3OfxQ</v>
      </c>
    </row>
    <row r="193" ht="25.5" customHeight="1">
      <c r="A193">
        <v>1874</v>
      </c>
      <c r="B193" s="2" t="str">
        <f>=HYPERLINK("https://m.tb.cn/h.7hGkJOh?tk=Oqn0UZqX1kP", "https://m.tb.cn/h.7hGkJOh?tk=Oqn0UZqX1kP")</f>
        <v>https://m.tb.cn/h.7hGkJOh?tk=Oqn0UZqX1kP</v>
      </c>
    </row>
    <row r="194" ht="25.5" customHeight="1">
      <c r="A194">
        <v>1875</v>
      </c>
      <c r="B194" s="2" t="str">
        <f>=HYPERLINK("https://m.tb.cn/h.7h9c6BM?tk=NcCOUZq79S4", "https://m.tb.cn/h.7h9c6BM?tk=NcCOUZq79S4")</f>
        <v>https://m.tb.cn/h.7h9c6BM?tk=NcCOUZq79S4</v>
      </c>
    </row>
    <row r="195" ht="25.5" customHeight="1">
      <c r="A195">
        <v>1876</v>
      </c>
      <c r="B195" s="2" t="str">
        <f>=HYPERLINK("https://m.tb.cn/h.7hLAqPy?tk=JhrLUZln3Dj", "https://m.tb.cn/h.7hLAqPy?tk=JhrLUZln3Dj")</f>
        <v>https://m.tb.cn/h.7hLAqPy?tk=JhrLUZln3Dj</v>
      </c>
    </row>
    <row r="196" ht="25.5" customHeight="1">
      <c r="A196">
        <v>1877</v>
      </c>
      <c r="B196" s="2" t="str">
        <f>=HYPERLINK("https://m.tb.cn/h.76Upjhm?tk=FDxQUak99X6", "https://m.tb.cn/h.76Upjhm?tk=FDxQUak99X6")</f>
        <v>https://m.tb.cn/h.76Upjhm?tk=FDxQUak99X6</v>
      </c>
    </row>
    <row r="197" ht="25.5" customHeight="1">
      <c r="A197">
        <v>1878</v>
      </c>
      <c r="B197" s="2" t="str">
        <f>=HYPERLINK("https://m.tb.cn/h.7Sr8eSF?tk=8J8QUZqoPUE", "https://m.tb.cn/h.7Sr8eSF?tk=8J8QUZqoPUE")</f>
        <v>https://m.tb.cn/h.7Sr8eSF?tk=8J8QUZqoPUE</v>
      </c>
    </row>
    <row r="198" ht="25.5" customHeight="1">
      <c r="A198">
        <v>1879</v>
      </c>
      <c r="B198" s="2" t="str">
        <f>=HYPERLINK("https://m.tb.cn/h.7hi3IwH?tk=fNhEU0bPqxp", "https://m.tb.cn/h.7hi3IwH?tk=fNhEU0bPqxp")</f>
        <v>https://m.tb.cn/h.7hi3IwH?tk=fNhEU0bPqxp</v>
      </c>
    </row>
    <row r="199" ht="25.5" customHeight="1">
      <c r="A199">
        <v>1898</v>
      </c>
      <c r="B199" s="2" t="str">
        <f>=HYPERLINK("https://m.tb.cn/h.7SVHiR6?tk=AQ6RU0cdU6A", "https://m.tb.cn/h.7SVHiR6?tk=AQ6RU0cdU6A")</f>
        <v>https://m.tb.cn/h.7SVHiR6?tk=AQ6RU0cdU6A</v>
      </c>
    </row>
    <row r="200" ht="25.5" customHeight="1">
      <c r="A200">
        <v>1899</v>
      </c>
      <c r="B200" s="2" t="str">
        <f>=HYPERLINK("https://m.tb.cn/h.772MxrG?tk=uGwSU0cjcx1", "https://m.tb.cn/h.772MxrG?tk=uGwSU0cjcx1")</f>
        <v>https://m.tb.cn/h.772MxrG?tk=uGwSU0cjcx1</v>
      </c>
    </row>
    <row r="201" ht="25.5" customHeight="1">
      <c r="A201">
        <v>1900</v>
      </c>
      <c r="B201" s="2" t="str">
        <f>=HYPERLINK("https://m.tb.cn/h.772qS7P?tk=X6UbU0cPhd6", "https://m.tb.cn/h.772qS7P?tk=X6UbU0cPhd6")</f>
        <v>https://m.tb.cn/h.772qS7P?tk=X6UbU0cPhd6</v>
      </c>
    </row>
    <row r="202" ht="25.5" customHeight="1">
      <c r="A202">
        <v>1901</v>
      </c>
      <c r="B202" s="2" t="str">
        <f>=HYPERLINK("https://m.tb.cn/h.7hjTsmu?tk=NvcDU0cNgRj", "https://m.tb.cn/h.7hjTsmu?tk=NvcDU0cNgRj")</f>
        <v>https://m.tb.cn/h.7hjTsmu?tk=NvcDU0cNgRj</v>
      </c>
    </row>
    <row r="203" ht="25.5" customHeight="1">
      <c r="A203">
        <v>1902</v>
      </c>
      <c r="B203" s="2" t="str">
        <f>=HYPERLINK("https://m.tb.cn/h.7hDjbPj?tk=ABToU0cMHhd", "https://m.tb.cn/h.7hDjbPj?tk=ABToU0cMHhd")</f>
        <v>https://m.tb.cn/h.7hDjbPj?tk=ABToU0cMHhd</v>
      </c>
    </row>
    <row r="204" ht="25.5" customHeight="1">
      <c r="A204">
        <v>1903</v>
      </c>
      <c r="B204" s="2" t="str">
        <f>=HYPERLINK("https://m.tb.cn/h.7hD9uim?tk=6ejRU0cnyZz", "https://m.tb.cn/h.7hD9uim?tk=6ejRU0cnyZz")</f>
        <v>https://m.tb.cn/h.7hD9uim?tk=6ejRU0cnyZz</v>
      </c>
    </row>
    <row r="205" ht="25.5" customHeight="1">
      <c r="A205">
        <v>1904</v>
      </c>
      <c r="B205" s="2" t="str">
        <f>=HYPERLINK("https://m.tb.cn/h.7S4fHmf?tk=0GatU0cp2YI", "https://m.tb.cn/h.7S4fHmf?tk=0GatU0cp2YI")</f>
        <v>https://m.tb.cn/h.7S4fHmf?tk=0GatU0cp2YI</v>
      </c>
    </row>
    <row r="206" ht="25.5" customHeight="1">
      <c r="A206">
        <v>1905</v>
      </c>
      <c r="B206" s="2" t="str">
        <f>=HYPERLINK("https://m.tb.cn/h.77dHYJM?tk=Rl86U0Xm9Rv", "https://m.tb.cn/h.77dHYJM?tk=Rl86U0Xm9Rv")</f>
        <v>https://m.tb.cn/h.77dHYJM?tk=Rl86U0Xm9Rv</v>
      </c>
    </row>
    <row r="207" ht="25.5" customHeight="1">
      <c r="A207">
        <v>1906</v>
      </c>
      <c r="B207" s="2" t="str">
        <f>=HYPERLINK("https://m.tb.cn/h.7hCvUVU?tk=lkJVU02AFOI", "https://m.tb.cn/h.7hCvUVU?tk=lkJVU02AFOI")</f>
        <v>https://m.tb.cn/h.7hCvUVU?tk=lkJVU02AFOI</v>
      </c>
    </row>
    <row r="208" ht="25.5" customHeight="1">
      <c r="A208">
        <v>1907</v>
      </c>
      <c r="B208" s="2" t="str">
        <f>=HYPERLINK("https://m.tb.cn/h.7hCwaBD?tk=2i4tU0da9SQ", "https://m.tb.cn/h.7hCwaBD?tk=2i4tU0da9SQ")</f>
        <v>https://m.tb.cn/h.7hCwaBD?tk=2i4tU0da9SQ</v>
      </c>
    </row>
    <row r="209" ht="25.5" customHeight="1">
      <c r="A209">
        <v>1908</v>
      </c>
      <c r="B209" s="2" t="str">
        <f>=HYPERLINK("https://m.tb.cn/h.7Tz0g1Z?tk=rllRfAERIDH", "https://m.tb.cn/h.7Tz0g1Z?tk=rllRfAERIDH")</f>
        <v>https://m.tb.cn/h.7Tz0g1Z?tk=rllRfAERIDH</v>
      </c>
    </row>
    <row r="210" ht="25.5" customHeight="1">
      <c r="A210">
        <v>1909</v>
      </c>
      <c r="B210" s="2" t="str">
        <f>=HYPERLINK("https://m.tb.cn/h.7SUKIiT?tk=9vcJU0dYSz7", "https://m.tb.cn/h.7SUKIiT?tk=9vcJU0dYSz7")</f>
        <v>https://m.tb.cn/h.7SUKIiT?tk=9vcJU0dYSz7</v>
      </c>
    </row>
    <row r="211" ht="25.5" customHeight="1">
      <c r="A211">
        <v>1910</v>
      </c>
      <c r="B211" s="2" t="str">
        <f>=HYPERLINK("https://m.tb.cn/h.7hyaf5H?tk=HdMMU0ddRLk", "https://m.tb.cn/h.7hyaf5H?tk=HdMMU0ddRLk")</f>
        <v>https://m.tb.cn/h.7hyaf5H?tk=HdMMU0ddRLk</v>
      </c>
    </row>
    <row r="212" ht="25.5" customHeight="1">
      <c r="A212">
        <v>1911</v>
      </c>
      <c r="B212" s="2" t="str">
        <f>=HYPERLINK("https://m.tb.cn/h.7hyXXlL?tk=ItYbU0dUz5H", "https://m.tb.cn/h.7hyXXlL?tk=ItYbU0dUz5H")</f>
        <v>https://m.tb.cn/h.7hyXXlL?tk=ItYbU0dUz5H</v>
      </c>
    </row>
    <row r="213" ht="25.5" customHeight="1">
      <c r="A213">
        <v>1912</v>
      </c>
      <c r="B213" s="2" t="str">
        <f>=HYPERLINK("https://m.tb.cn/h.7hyov5h?tk=5WKvU0dHnL1", "https://m.tb.cn/h.7hyov5h?tk=5WKvU0dHnL1")</f>
        <v>https://m.tb.cn/h.7hyov5h?tk=5WKvU0dHnL1</v>
      </c>
    </row>
    <row r="214" ht="25.5" customHeight="1">
      <c r="A214">
        <v>1913</v>
      </c>
      <c r="B214" s="2" t="str">
        <f>=HYPERLINK("https://m.tb.cn/h.7hk9wek?tk=Ijw5U0dHSNJ", "https://m.tb.cn/h.7hk9wek?tk=Ijw5U0dHSNJ")</f>
        <v>https://m.tb.cn/h.7hk9wek?tk=Ijw5U0dHSNJ</v>
      </c>
    </row>
    <row r="215" ht="25.5" customHeight="1">
      <c r="A215">
        <v>1914</v>
      </c>
      <c r="B215" s="2" t="str">
        <f>=HYPERLINK("https://m.tb.cn/h.7hkNNUO?tk=OjmuU0dFlpC", "https://m.tb.cn/h.7hkNNUO?tk=OjmuU0dFlpC")</f>
        <v>https://m.tb.cn/h.7hkNNUO?tk=OjmuU0dFlpC</v>
      </c>
    </row>
    <row r="216" ht="25.5" customHeight="1">
      <c r="A216">
        <v>1915</v>
      </c>
      <c r="B216" s="2" t="str">
        <f>=HYPERLINK("https://m.tb.cn/h.7h7807Z?tk=tV1NUZU1uF6", "https://m.tb.cn/h.7h7807Z?tk=tV1NUZU1uF6")</f>
        <v>https://m.tb.cn/h.7h7807Z?tk=tV1NUZU1uF6</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