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资源"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0" customWidth="1"/>
    <col min="8" max="8" width="19" customWidth="1"/>
    <col min="9" max="9" width="19" customWidth="1"/>
    <col min="10" max="10" width="19" customWidth="1"/>
    <col min="11" max="11" width="19" customWidth="1"/>
    <col min="12" max="12" width="0" customWidth="1"/>
  </cols>
  <sheetData>
    <row r="1" ht="13" customHeight="1">
      <c r="A1" s="1" t="inlineStr">
        <is>
          <t>名称</t>
        </is>
      </c>
      <c r="B1" s="1" t="inlineStr">
        <is>
          <t>编码</t>
        </is>
      </c>
      <c r="C1" s="1" t="inlineStr">
        <is>
          <t>发货内容</t>
        </is>
      </c>
      <c r="D1" s="1" t="inlineStr">
        <is>
          <t>已经定时发布</t>
        </is>
      </c>
      <c r="E1" s="1" t="inlineStr">
        <is>
          <t>标题</t>
        </is>
      </c>
      <c r="F1" s="1" t="inlineStr">
        <is>
          <t>图片</t>
        </is>
      </c>
      <c r="G1" s="1" t="inlineStr">
        <is>
          <t>图片路径（影刀）</t>
        </is>
      </c>
      <c r="H1" s="1" t="inlineStr">
        <is>
          <t>链接网址</t>
        </is>
      </c>
      <c r="I1" s="1" t="inlineStr">
        <is>
          <t>id</t>
        </is>
      </c>
      <c r="J1" s="1" t="inlineStr">
        <is>
          <t>是否出单</t>
        </is>
      </c>
      <c r="K1" s="1" t="inlineStr">
        <is>
          <t>完成转存</t>
        </is>
      </c>
      <c r="L1" s="1" t="inlineStr">
        <is>
          <t>豆瓣搜索</t>
        </is>
      </c>
    </row>
    <row r="2" ht="25.5" customHeight="1">
      <c r="A2" t="inlineStr">
        <is>
          <t>【赠品】</t>
        </is>
      </c>
      <c r="B2">
        <v>1</v>
      </c>
      <c r="C2" t="inlineStr">
        <is>
          <t>赠送：
1、生活、职场、饭局等【人情世故】实用指南
【超级会员V1】通过百度网盘分享的文件：赠送2-【人情世…
链接:https://pan.baidu.com/s/1Swf2RL5wsYYbuVBk_2pJnA 
提取码:chq4
复制这段内容打开「百度网盘APP 即可获取」
2、网易云破J版
夸克：我用夸克网盘给你分享了「【赠】网易云破解...防失效）」，点击链接或复制整段内容，打开「夸克APP」即可获取。
动作瑷洺晨风凌多好
/~9e9039vF8x~:/
链接：https://pan.quark.cn/s/c70f8c62dd13
3. ai指令大全
【超级会员V1】通过百度网盘分享的文件：92-ai指令价…
链接:https://pan.baidu.com/s/1703Y2tXOzVFCXlWrSJDs0w 
提取码:6d92
复制这段内容打开「百度网盘APP 即可获取」
4. abobe软件
浏览器不限速链接:https://ai.feishu.cn/（去掉我）record/B04OrPsuLebCCFczwTocZf87nTh(一定转存后下载）
 通过网盘分享的文件：ai(一定要转存后下载，以免文件损坏）
链接: https://pan.baidu.com/s/1SDrrIVNp5Rn1rCbIu89SpA 提取码: 52d8 (一定手机转存自己网盘后下载，以免文件丢失)</t>
        </is>
      </c>
      <c r="D2" t="inlineStr">
        <is>
          <t>是</t>
        </is>
      </c>
      <c r="E2"/>
      <c r="F2" s="2"/>
      <c r="G2"/>
      <c r="H2" s="2" t="str">
        <f>=HYPERLINK("http://1", "1")</f>
        <v>1</v>
      </c>
      <c r="I2"/>
      <c r="J2"/>
      <c r="K2"/>
      <c r="L2" t="inlineStr">
        <is>
          <t>【赠品】</t>
        </is>
      </c>
    </row>
    <row r="3" ht="25.5" customHeight="1">
      <c r="A3" t="inlineStr">
        <is>
          <t>【速发】999+套经典正红主题PPT模板</t>
        </is>
      </c>
      <c r="B3">
        <v>15</v>
      </c>
      <c r="C3" t="inlineStr">
        <is>
          <t>----
您好，感谢光临小店
以下是发货内容：
「888红色主题-...以免丢失」，复制整段内容，打开最新版「夸克APP」即可获取。
畅享原画，免费5倍速播放，支持AI字幕和投屏，更有网盘TV版。
筷莱茳鹙违张夜夺郝
/~1fbf36mfkJ~:/
链接：https://pan.quark.cn/s/848cc93e47ca
通过网盘分享的文件：888红色主题-先转存在提取以免丢失
链接: https://pan.baidu.com/s/1WfkSXsMzi2z3-OGRLDcttw?pwd=6666 提取码: 6666 
--来自百度网盘超级会员v3的分享
----</t>
        </is>
      </c>
      <c r="D3" t="inlineStr">
        <is>
          <t>是</t>
        </is>
      </c>
      <c r="E3" t="inlineStr">
        <is>
          <t>【速发】999+套经典正红主题PPT模板 高端商务课件 工作总结汇报 简约大气套装
——★24小时自动发货★——
[精选分类]专题学习｜历史教育｜会议精神｜年度总结｜主题会议｜政策解读｜周年纪念｜团队建设｜职业道德｜行业发展｜传统文化｜精神传承｜纪律规范...
[亮点]主题全覆盖，即下载即使用！
【适用场景】
职场汇报｜年度总结｜市场研究｜毕业答辩｜教学课件｜学术竞赛｜高校应用｜教师教研｜创新创业｜项目展示｜
品牌推广｜新品发布｜人才招聘｜员工培训｜商业提案｜工程技术｜时尚产业｜建筑地产｜家居设计｜健康产业｜媒体传播｜餐饮文旅｜招生宣传｜庆典活动｜服务行业｜东方美学｜极简扁平｜机构应用
[核心优势]
• 百款模板一键打包，行业超高性价比
• 专业设计团队出品，品质保障
• 智能分类管理，标签清晰易查找
• 可自定义修改，高效省时</t>
        </is>
      </c>
      <c r="F3" s="2" t="str">
        <f>=HYPERLINK("http://img.alicdn.com/bao/uploaded/i4/O1CN01ooS73v2LM7moIUBKC_!!4611686018427383533-0-fleamarket.jpg_790x10000Q90.jpg_.webp", "img.alicdn.com/bao/uploaded/i4/O1CN01ooS73v2LM7moIUBKC_!!4611686018427383533-0-fleamarket.jpg_790x10000Q90.jpg_.webp")</f>
        <v>img.alicdn.com/bao/uploaded/i4/O1CN01ooS73v2LM7moIUBKC_!!4611686018427383533-0-fleamarket.jpg_790x10000Q90.jpg_.webp</v>
      </c>
      <c r="G3"/>
      <c r="H3" s="2"/>
      <c r="I3"/>
      <c r="J3"/>
      <c r="K3"/>
      <c r="L3"/>
    </row>
    <row r="4" ht="25.5" customHeight="1">
      <c r="A4" t="inlineStr">
        <is>
          <t>少儿创意美术PPT课件600个＋</t>
        </is>
      </c>
      <c r="B4">
        <v>16</v>
      </c>
      <c r="C4" t="inlineStr">
        <is>
          <t>~~~~~
您好！感谢光临本店，这是您的订单
以下为订单内容，请注意查收：
【超级会员V2】通过百度网盘分享的文件：少儿创意美术60...
链接：https://pan.baidu.com/s/12v46UsJtBQM4Dy4TlLaXZQ 
提取码：8877 
复制这段内容打开「百度网盘APP 即可获取」
记得再来哦！！
~~~~~</t>
        </is>
      </c>
      <c r="D4" t="inlineStr">
        <is>
          <t>是</t>
        </is>
      </c>
      <c r="E4" t="inlineStr">
        <is>
          <t>少儿创意美术PPT课件600个＋，适合3-16岁，中小大班通用。不用问在不在，1元即可拥有600个ppt，需要直接拍下！
内容丰富，包括步骤和范画，适合美术社团、线上自学、兴趣班等。图片精美，范画详尽，省心省力，让教学更轻松。
已开通24小时自动发货，需要的朋友直接拍下。质量信得过，适合美术教培机构。发的是网盘链接，永不失效，售出不退。
所有文件均来自网络公开渠道，仅供学习交流使用，版权归版权人所有。如有版权问题，请联系小店删除。
欢迎有兴趣的朋友点击“我想要”！</t>
        </is>
      </c>
      <c r="F4" s="2" t="str">
        <f>=HYPERLINK("http://img.alicdn.com/bao/uploaded/i3/O1CN01ehY5p822M96bIzjRX_!!4611686018427385297-53-fleamarket.heic_790x10000Q90.jpg_.webp", "img.alicdn.com/bao/uploaded/i3/O1CN01ehY5p822M96bIzjRX_!!4611686018427385297-53-fleamarket.heic_790x10000Q90.jpg_.webp")</f>
        <v>img.alicdn.com/bao/uploaded/i3/O1CN01ehY5p822M96bIzjRX_!!4611686018427385297-53-fleamarket.heic_790x10000Q90.jpg_.webp</v>
      </c>
      <c r="G4"/>
      <c r="H4" s="2"/>
      <c r="I4"/>
      <c r="J4"/>
      <c r="K4"/>
      <c r="L4"/>
    </row>
    <row r="5" ht="25.5" customHeight="1">
      <c r="A5" t="inlineStr">
        <is>
          <t>ai指令</t>
        </is>
      </c>
      <c r="B5">
        <v>18</v>
      </c>
      <c r="C5" t="inlineStr">
        <is>
          <t>【超级会员V1】通过百度网盘分享的文件：92-ai指令价…
链接:https://pan.baidu.com/s/1703Y2tXOzVFCXlWrSJDs0w 
提取码:6d92
复制这段内容打开「百度网盘APP 即可获取」</t>
        </is>
      </c>
      <c r="D5" t="inlineStr">
        <is>
          <t>是</t>
        </is>
      </c>
      <c r="E5" t="inlineStr">
        <is>
          <t>ai指令</t>
        </is>
      </c>
      <c r="F5" s="2"/>
      <c r="G5"/>
      <c r="H5" s="2"/>
      <c r="I5"/>
      <c r="J5"/>
      <c r="K5"/>
      <c r="L5"/>
    </row>
    <row r="6" ht="25.5" customHeight="1">
      <c r="A6" t="inlineStr">
        <is>
          <t>adobe软件</t>
        </is>
      </c>
      <c r="B6">
        <v>19</v>
      </c>
      <c r="C6" t="inlineStr">
        <is>
          <t>浏览器直接快速下载：
https://pcnlcoccccj0.feishu.cn/wiki/Vbb6wdSyOi9aatk9dVpc19fQnhg?from=from_copylink
百度网盘链接:
https://pan.baidu.com/s/16q-cy8OySF4Zdta1TavpHg?pwd=ajbj 提取码:ajbj 
通用安装教程链接：
https://pcnlcoccccj0.feishu.cn/wiki/Cvk4wMce8iZ6tqkzM1DctZoVnLd</t>
        </is>
      </c>
      <c r="D6" t="inlineStr">
        <is>
          <t>是</t>
        </is>
      </c>
      <c r="E6" t="inlineStr">
        <is>
          <t>adobe软件</t>
        </is>
      </c>
      <c r="F6" s="2"/>
      <c r="G6"/>
      <c r="H6" s="2"/>
      <c r="I6"/>
      <c r="J6"/>
      <c r="K6"/>
      <c r="L6"/>
    </row>
    <row r="7" ht="25.5" customHeight="1">
      <c r="A7" t="inlineStr">
        <is>
          <t>【秒发】个人简历PPT模板简</t>
        </is>
      </c>
      <c r="B7">
        <v>21</v>
      </c>
      <c r="C7" t="inlineStr">
        <is>
          <t>G 个人简历PPT模板简约大学生自我介绍工作求职面试岗位竞聘晋升ppt
链接: https://pan.baidu.com/s/1zov9tXPjLlk1Rm1eHpIXOQ?pwd=5555 提取码: 5555</t>
        </is>
      </c>
      <c r="D7" t="inlineStr">
        <is>
          <t>是</t>
        </is>
      </c>
      <c r="E7" t="inlineStr">
        <is>
          <t>【秒发】个人简历PPT模板简约大学生自我介绍工作求职面试岗位竞聘晋升ppt
自动发货，基本24小时都可以秒发，需要直接拍，发白度网盘链接</t>
        </is>
      </c>
      <c r="F7" s="2" t="str">
        <f>=HYPERLINK("http://img.alicdn.com/bao/uploaded/i4/O1CN01DURtu11oLJiyhmkBB_!!4611686018427383640-53-fleamarket.heic_790x10000Q90.jpg_.webp", "img.alicdn.com/bao/uploaded/i4/O1CN01DURtu11oLJiyhmkBB_!!4611686018427383640-53-fleamarket.heic_790x10000Q90.jpg_.webp")</f>
        <v>img.alicdn.com/bao/uploaded/i4/O1CN01DURtu11oLJiyhmkBB_!!4611686018427383640-53-fleamarket.heic_790x10000Q90.jpg_.webp</v>
      </c>
      <c r="G7"/>
      <c r="H7" s="2"/>
      <c r="I7"/>
      <c r="J7"/>
      <c r="K7"/>
      <c r="L7"/>
    </row>
    <row r="8" ht="25.5" customHeight="1">
      <c r="A8" t="inlineStr">
        <is>
          <t>ai模板科研绘图素材</t>
        </is>
      </c>
      <c r="B8">
        <v>30</v>
      </c>
      <c r="C8" t="inlineStr">
        <is>
          <t>~~~~~
您好！感谢光临本店，这是您的订单以下为订单内容，请注意查收：
素材提取链接：
链接: https://pan.baidu.com/s/10Mvts9BU6FAUVOxNqPCmIw?pwd=8888 提取码: 8888</t>
        </is>
      </c>
      <c r="D8" t="inlineStr">
        <is>
          <t>是</t>
        </is>
      </c>
      <c r="E8" t="inlineStr">
        <is>
          <t>ai模板科研绘图素材ppt医学插画器官细胞流程图片png生物作图资料
[钉子]资料拍下发佰度盘
[火]资料都是我自己工作期间，一个一个收集整理的，分类清晰，内容丰富，非常适合参考学习；
-----★24小时自动发货，直接拍秒发★-----
[1]这些资料，能让你的工作更方便，帮你提高工作效率，节省时间和精力！
[2]东西不贵，算是整理资料的一点点辛苦费，需要的朋友可以直接下单，大部分产品是秒发货！
遇到困难很需要这份资料可以随时联系我</t>
        </is>
      </c>
      <c r="F8" s="2" t="str">
        <f>=HYPERLINK("http://img.alicdn.com/bao/uploaded/i1/O1CN01OT8h9p1P2Co2yKhm7_!!4611686018427379974-0-fleamarket.jpg_790x10000Q90.jpg_.webp", "img.alicdn.com/bao/uploaded/i1/O1CN01OT8h9p1P2Co2yKhm7_!!4611686018427379974-0-fleamarket.jpg_790x10000Q90.jpg_.webp")</f>
        <v>img.alicdn.com/bao/uploaded/i1/O1CN01OT8h9p1P2Co2yKhm7_!!4611686018427379974-0-fleamarket.jpg_790x10000Q90.jpg_.webp</v>
      </c>
      <c r="G8"/>
      <c r="H8" s="2"/>
      <c r="I8"/>
      <c r="J8"/>
      <c r="K8"/>
      <c r="L8"/>
    </row>
    <row r="9" ht="25.5" customHeight="1">
      <c r="A9" t="inlineStr">
        <is>
          <t>家装室内设计软装</t>
        </is>
      </c>
      <c r="B9">
        <v>31</v>
      </c>
      <c r="C9" t="inlineStr">
        <is>
          <t>链接：https://pan.baidu.com/s/1KKcjynRfSBqeZaYHegDZCA?pwd=xvxr 提取码：xvxr
复制这段内容后打开百度网盘手机App，操作更方便哦
免解压版：
链接：https://pan.baidu.com/s/12jvCN0F06vBA6swwme8ZBQ?pwd=1kym 
提取码：1kym</t>
        </is>
      </c>
      <c r="D9" t="inlineStr">
        <is>
          <t>是</t>
        </is>
      </c>
      <c r="E9" t="inlineStr">
        <is>
          <t>家装室内设计软装ppt模板310套素材！！！！！动态装修家居现代北欧轻奢方案素材
不要问有没有，能看到就有，直接拍下就可以！拍了自动发货的！直接下单就行
产品介绍：
310套PPT
大小大约8个G
各种风格都有
拍下发网盘链接 ！！
点赞并且收藏一下，防止以后找不到我家哦。
10秒内发货，随时咨询
本素材为电子图册，因资料有可复制性，下单后不退款。介意勿拍。
素材收集于网络，不可用于商业目的，收取的费用为整理素材的辛苦费用</t>
        </is>
      </c>
      <c r="F9" s="2" t="str">
        <f>=HYPERLINK("http://img.alicdn.com/bao/uploaded/i4/O1CN01DV6E451XfbkqqQpiT_!!53-fleamarket.heic_790x10000Q90.jpg_.webp", "img.alicdn.com/bao/uploaded/i4/O1CN01DV6E451XfbkqqQpiT_!!53-fleamarket.heic_790x10000Q90.jpg_.webp")</f>
        <v>img.alicdn.com/bao/uploaded/i4/O1CN01DV6E451XfbkqqQpiT_!!53-fleamarket.heic_790x10000Q90.jpg_.webp</v>
      </c>
      <c r="G9"/>
      <c r="H9" s="2"/>
      <c r="I9"/>
      <c r="J9"/>
      <c r="K9"/>
      <c r="L9"/>
    </row>
    <row r="10" ht="25.5" customHeight="1">
      <c r="A10" t="inlineStr">
        <is>
          <t>科研学术答辩PPT</t>
        </is>
      </c>
      <c r="B10">
        <v>32</v>
      </c>
      <c r="C10" t="inlineStr">
        <is>
          <t>科研学术答辩PP...辩PPT
链接：https://pan.quark.cn/s/ead4528ebc65
-----------------------
记得保存，防止链接失效
-----------------------
转存方法： 先转存，然后在网盘下载
【手机】复制本段话，粘贴到网盘搜索栏获取文件。
【电脑】单独复制链接，通过浏览器打开获取文件。
-----------------------
由于佰度网盘不是阿里官方网盘，容易导致禁言，以及佰度网盘和谐，无法分享，就算分享出来也是空文件。</t>
        </is>
      </c>
      <c r="D10" t="inlineStr">
        <is>
          <t>是</t>
        </is>
      </c>
      <c r="E10" t="inlineStr">
        <is>
          <t>⚠️科研学术答辩PPT、毕业答辩PPT（四种配色全发，支持一|||
键换色）
[闪亮]ppt模版适用范围：国自然基金答辩、重点项目申报答辩、青年科学基金答辩、科研学术项目申报答辩、职称晋升答辩、学术论坛会议汇报、组会文献汇报答辩、开题答辩、中期答辩、毕业答辩等，工作汇报、路演汇报等。。
[蓝圆]国自然基金答辩模版ppt，精美版专业汇报
[绿圆]组会文献汇报模版ppt，秒胜同门师兄妹
[红圆]本科、硕士、博士全领域专属答辩ppt模版
[黄圆]科研、学术论坛汇报ppt模版，尽显专业
[火]职称晋升、重点实验室申报答辩ppt模版
[1]支持一键换色
[2]蓝色、绿色、红色、紫色四种配色全发
[3]ppt内所有元素均可自由编辑
～ 所见即所得 ～
需要可以直接拍下，看到马上发货哦
❤️❤️❤️自动发货，标价就是卖价，需要直接拍，24小时秒发网盘链接
[钉子]任何情况，不要申请退款，私信沟通给你处理，小店经营不易。
[钉子]所有文件均获取自网络公开渠道，仅供学习和交流使用，所有版权归版权人所有，如版权方认为侵犯了您的版权，请及时联系小店删除。</t>
        </is>
      </c>
      <c r="F10" s="2" t="str">
        <f>=HYPERLINK("http://img.alicdn.com/bao/uploaded/i2/O1CN01dmg1R21IFlIK5Cisb_!!4611686018427383856-53-fleamarket.heic_790x10000Q90.jpg_.webp", "img.alicdn.com/bao/uploaded/i2/O1CN01dmg1R21IFlIK5Cisb_!!4611686018427383856-53-fleamarket.heic_790x10000Q90.jpg_.webp")</f>
        <v>img.alicdn.com/bao/uploaded/i2/O1CN01dmg1R21IFlIK5Cisb_!!4611686018427383856-53-fleamarket.heic_790x10000Q90.jpg_.webp</v>
      </c>
      <c r="G10"/>
      <c r="H10" s="2"/>
      <c r="I10"/>
      <c r="J10"/>
      <c r="K10"/>
      <c r="L10"/>
    </row>
    <row r="11" ht="25.5" customHeight="1">
      <c r="A11" t="inlineStr">
        <is>
          <t>课题平面逻辑</t>
        </is>
      </c>
      <c r="B11">
        <v>33</v>
      </c>
      <c r="C11" t="inlineStr">
        <is>
          <t>请先转存网盘，保存数据，防止链接失效
通过网盘分享的文件：技术线路图内部资料.pptx
链接: https://pan.baidu.com/s/11EJsh2ykjfF7cU43vbFUiw?pwd=8888 提取码: 8888 
--来自百度网盘超级会员v1的分享</t>
        </is>
      </c>
      <c r="D11" t="inlineStr">
        <is>
          <t>是</t>
        </is>
      </c>
      <c r="E11" t="inlineStr">
        <is>
          <t>课题平面逻辑框架图ppt模板
可编辑课题框架图，适用于课题项目申报，答辩等
适用范围：国家重大科技专项，国家重点研发，国自然/国社科基金项目等
设计素材可自由编辑，内容完整清晰，适合做课题申报的朋友用。价格实惠。通过网盘发送，即拍即发。</t>
        </is>
      </c>
      <c r="F11" s="2" t="str">
        <f>=HYPERLINK("http://img.alicdn.com/bao/uploaded/i2/O1CN01TKBFZu1cR1KA4f7dp_!!4611686018427385644-53-fleamarket.heic_790x10000Q90.jpg_.webp", "img.alicdn.com/bao/uploaded/i2/O1CN01TKBFZu1cR1KA4f7dp_!!4611686018427385644-53-fleamarket.heic_790x10000Q90.jpg_.webp")</f>
        <v>img.alicdn.com/bao/uploaded/i2/O1CN01TKBFZu1cR1KA4f7dp_!!4611686018427385644-53-fleamarket.heic_790x10000Q90.jpg_.webp</v>
      </c>
      <c r="G11"/>
      <c r="H11" s="2"/>
      <c r="I11"/>
      <c r="J11"/>
      <c r="K11"/>
      <c r="L11"/>
    </row>
    <row r="12" ht="25.5" customHeight="1">
      <c r="A12" t="inlineStr">
        <is>
          <t>900多套ppt模板</t>
        </is>
      </c>
      <c r="B12">
        <v>34</v>
      </c>
      <c r="C12" t="inlineStr">
        <is>
          <t>----
您好，你购买的订单号：3133813623640075187 以下是给您发货的内容：
链接：https://pan.baidu.com/s/17JEAHcOsMcZHMChovcvHrQ?pwd=6666 
提取码：6666 
----</t>
        </is>
      </c>
      <c r="D12" t="inlineStr">
        <is>
          <t>是</t>
        </is>
      </c>
      <c r="E12" t="inlineStr">
        <is>
          <t>900多套ppt模板打包价2.8元，拍后再送店内其他素材1份（全店任选）俩也行~
店内所有2.8元的ppt都与这套一样滴，展示的都在这个链接里。
拍后发b.d网 盘 链 接，发后不退。
只能用电脑或者平板编辑</t>
        </is>
      </c>
      <c r="F12" s="2" t="str">
        <f>=HYPERLINK("http://img.alicdn.com/bao/uploaded/i4/O1CN01fAXSCI27GiDg6MdlX_!!0-fleamarket.jpg_790x10000Q90.jpg_.webp", "img.alicdn.com/bao/uploaded/i4/O1CN01fAXSCI27GiDg6MdlX_!!0-fleamarket.jpg_790x10000Q90.jpg_.webp")</f>
        <v>img.alicdn.com/bao/uploaded/i4/O1CN01fAXSCI27GiDg6MdlX_!!0-fleamarket.jpg_790x10000Q90.jpg_.webp</v>
      </c>
      <c r="G12"/>
      <c r="H12" s="2" t="str">
        <f>=HYPERLINK("https://www.goofish.com/item?spm=a21ybx.search.searchFeedList.6.22e26c82F4k9k2&amp;id=689853330803&amp;categoryId=201454708", "https://www.goofish.com/item?spm=a21ybx.search.searchFeedList.6.22e26c82F4k9k2&amp;id=689853330803&amp;categoryId=201454708")</f>
        <v>https://www.goofish.com/item?spm=a21ybx.search.searchFeedList.6.22e26c82F4k9k2&amp;id=689853330803&amp;categoryId=201454708</v>
      </c>
      <c r="I12"/>
      <c r="J12"/>
      <c r="K12"/>
      <c r="L12"/>
    </row>
    <row r="13" ht="25.5" customHeight="1">
      <c r="A13" t="inlineStr">
        <is>
          <t>动态PPT模板</t>
        </is>
      </c>
      <c r="B13">
        <v>35</v>
      </c>
      <c r="C13" t="inlineStr">
        <is>
          <t>PPT转盘轮播套…
链接：https://pan.quark.cn/s/bb62a9bbdcbd
-----------------------
记得保存，防止链接失效，
由于度盘和谐文件无法分享。
-----------------------
转存方法： 先转存，然后在网盘下载
【手机】复制本段话，粘贴到网盘搜索栏获取文件。
【电脑】单独复制链接，通过浏览器打开获取文件。
-----------------------
好萍赠送壁纸+上万ppt模版+学习资料等，10T+资料合集。</t>
        </is>
      </c>
      <c r="D13" t="inlineStr">
        <is>
          <t>是</t>
        </is>
      </c>
      <c r="E13" t="inlineStr">
        <is>
          <t>动态PPT模板，高级感答辩汇报用【拍下秒发货】动态高级感ppt模板平滑切换答辩工作汇报简约蓝|||色展示大气高端
——★24小时自动发货★——
【适用】
商务｜工作总结｜答辩｜工作汇报｜数据分析｜市场调研｜科技创新｜汇报展示｜企业宣传｜产品介绍｜企业招聘｜企业培训｜商业计划书｜能源科技｜时尚｜文化传媒｜教育招生｜企业年会｜产品发布
[比心] 全部都是动态的ppt
[比心]仅20份，快来捡漏吧～
[五角星]可编辑，可下载～
[五角星]分类清晰，独立文件夹标注～
[五角星]售后无忧，可放心拍～
效果图如下～（仅部分展示）</t>
        </is>
      </c>
      <c r="F13" s="2" t="str">
        <f>=HYPERLINK("http://img.alicdn.com/bao/uploaded/i1/O1CN01w8cWp71IFlGGHtkF4_!!4611686018427383856-53-fleamarket.heic_790x10000Q90.jpg_.webp", "img.alicdn.com/bao/uploaded/i1/O1CN01w8cWp71IFlGGHtkF4_!!4611686018427383856-53-fleamarket.heic_790x10000Q90.jpg_.webp")</f>
        <v>img.alicdn.com/bao/uploaded/i1/O1CN01w8cWp71IFlGGHtkF4_!!4611686018427383856-53-fleamarket.heic_790x10000Q90.jpg_.webp</v>
      </c>
      <c r="G13"/>
      <c r="H13" s="2" t="str">
        <f>=HYPERLINK("https://www.goofish.com/item?spm=a21ybx.search.searchFeedList.4.22e26c82F4k9k2&amp;id=931771158389&amp;categoryId=201454708", "https://www.goofish.com/item?spm=a21ybx.search.searchFeedList.4.22e26c82F4k9k2&amp;id=931771158389&amp;categoryId=201454708")</f>
        <v>https://www.goofish.com/item?spm=a21ybx.search.searchFeedList.4.22e26c82F4k9k2&amp;id=931771158389&amp;categoryId=201454708</v>
      </c>
      <c r="I13"/>
      <c r="J13"/>
      <c r="K13"/>
      <c r="L13"/>
    </row>
    <row r="14" ht="25.5" customHeight="1">
      <c r="A14" t="inlineStr">
        <is>
          <t>屎盆子镶金边PPT模板</t>
        </is>
      </c>
      <c r="B14">
        <v>36</v>
      </c>
      <c r="C14" t="inlineStr">
        <is>
          <t>通过网盘分享的文件：屎盆子镶金边PPT模板
链接: https://pan.baidu.com/s/16t_6O2EkFPp1U1h-bXAUHQ?pwd=7wk4 提取码: 7wk4 
手机使用：复制整段话到百度网盘自动提取
电脑使用：复制上面发您的链接在浏览器地址栏
好-平，可任选店里一个宝贝免费送哦！</t>
        </is>
      </c>
      <c r="D14" t="inlineStr">
        <is>
          <t>是</t>
        </is>
      </c>
      <c r="E14" t="inlineStr">
        <is>
          <t>屎盆子镶金边PPT模板素材高端创意平滑轮播旋转极简动态快闪汇报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is>
      </c>
      <c r="F14" s="2" t="str">
        <f>=HYPERLINK("http://img.alicdn.com/bao/uploaded/i4/O1CN01APpF6p1dZ5xE4kSzQ_!!4611686018427387605-0-fleamarket.jpg_790x10000Q90.jpg_.webp", "img.alicdn.com/bao/uploaded/i4/O1CN01APpF6p1dZ5xE4kSzQ_!!4611686018427387605-0-fleamarket.jpg_790x10000Q90.jpg_.webp")</f>
        <v>img.alicdn.com/bao/uploaded/i4/O1CN01APpF6p1dZ5xE4kSzQ_!!4611686018427387605-0-fleamarket.jpg_790x10000Q90.jpg_.webp</v>
      </c>
      <c r="G14"/>
      <c r="H14" s="2" t="str">
        <f>=HYPERLINK("https://www.goofish.com/item?spm=a21ybx.search.searchFeedList.21.22e26c82F4k9k2&amp;id=993239941201&amp;categoryId=201454708", "https://www.goofish.com/item?spm=a21ybx.search.searchFeedList.21.22e26c82F4k9k2&amp;id=993239941201&amp;categoryId=201454708")</f>
        <v>https://www.goofish.com/item?spm=a21ybx.search.searchFeedList.21.22e26c82F4k9k2&amp;id=993239941201&amp;categoryId=201454708</v>
      </c>
      <c r="I14"/>
      <c r="J14"/>
      <c r="K14"/>
      <c r="L14"/>
    </row>
    <row r="15" ht="25.5" customHeight="1">
      <c r="A15" t="inlineStr">
        <is>
          <t>大学生职业生涯规划大赛</t>
        </is>
      </c>
      <c r="B15">
        <v>37</v>
      </c>
      <c r="C15" t="inlineStr">
        <is>
          <t>通过网盘分享的文件：大学生职业生涯规划大赛PPT模板
链接: https://pan.baidu.com/s/1cA1ff0IdAkSlChvNj_XQIg?pwd=3t2x 提取码: 3t2x 
手机使用：复制整段话到百度网盘自动提取
电脑使用：复制上面发您的链接在浏览器地址栏</t>
        </is>
      </c>
      <c r="D15" t="inlineStr">
        <is>
          <t>是</t>
        </is>
      </c>
      <c r="E15" t="inlineStr">
        <is>
          <t>大学生职业生涯规划大赛PPT模版职规赛成长就业赛道指导答辩高级
——★24小时自动秒发百度网盘 ★——
——★24小时自动秒发百度网盘 ★——
——★24小时自动秒发百度网盘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is>
      </c>
      <c r="F15" s="2" t="str">
        <f>=HYPERLINK("http://img.alicdn.com/bao/uploaded/i1/O1CN01QyKCN61dZ5xXsDTvo_!!4611686018427387605-0-fleamarket.jpg_790x10000Q90.jpg_.webp", "img.alicdn.com/bao/uploaded/i1/O1CN01QyKCN61dZ5xXsDTvo_!!4611686018427387605-0-fleamarket.jpg_790x10000Q90.jpg_.webp")</f>
        <v>img.alicdn.com/bao/uploaded/i1/O1CN01QyKCN61dZ5xXsDTvo_!!4611686018427387605-0-fleamarket.jpg_790x10000Q90.jpg_.webp</v>
      </c>
      <c r="G15"/>
      <c r="H15" s="2" t="str">
        <f>=HYPERLINK("https://www.goofish.com/item?spm=a21ybx.search.searchFeedList.9.22e26c82F4k9k2&amp;id=998863131131&amp;categoryId=201454708", "https://www.goofish.com/item?spm=a21ybx.search.searchFeedList.9.22e26c82F4k9k2&amp;id=998863131131&amp;categoryId=201454708")</f>
        <v>https://www.goofish.com/item?spm=a21ybx.search.searchFeedList.9.22e26c82F4k9k2&amp;id=998863131131&amp;categoryId=201454708</v>
      </c>
      <c r="I15"/>
      <c r="J15"/>
      <c r="K15"/>
      <c r="L15"/>
    </row>
    <row r="16" ht="25.5" customHeight="1">
      <c r="A16" t="inlineStr">
        <is>
          <t>13色1950页高级感工作汇</t>
        </is>
      </c>
      <c r="B16">
        <v>38</v>
      </c>
      <c r="C16" t="inlineStr">
        <is>
          <t>13色1950页
链接：https://pan.quark.cn/s/ce9ecc66ccef
-----------------------
记得保存，防止链接失效，
由于度盘和谐文件无法分享。
-----------------------
转存方法： 先转存，然后在网盘下载
【手机】复制本段话，粘贴到网盘搜索栏获取文件。
【电脑】单独复制链接，通过浏览器打开获取文件。
-----------------------
好萍赠送壁纸+上万ppt模版+学习资料等，10T+资料合集。</t>
        </is>
      </c>
      <c r="D16" t="inlineStr">
        <is>
          <t>是</t>
        </is>
      </c>
      <c r="E16" t="inlineStr">
        <is>
          <t>13色1950页高级感工作汇报数据分析PPT模板 工作汇报||| | 数据分析 | 市场调研
格式：PPT（可编辑）
超值还赠送：
[1]500页精美通用PPT模板
[2]PPT设计小图标
[3]各类逻辑图表
13种配色，每色150页，共1950页
适用范围：日常报告，市场调研，数据分析，工作总结，工作汇报等各种场景。流程进度、数据图表、逻辑图表应有尽有
拍下24小时自动发货，拍下网盘秒发货</t>
        </is>
      </c>
      <c r="F16" s="2" t="str">
        <f>=HYPERLINK("http://img.alicdn.com/bao/uploaded/i1/O1CN01rB27Ci1IFlGmDdjQH_!!4611686018427383856-53-fleamarket.heic_790x10000Q90.jpg_.webp", "img.alicdn.com/bao/uploaded/i1/O1CN01rB27Ci1IFlGmDdjQH_!!4611686018427383856-53-fleamarket.heic_790x10000Q90.jpg_.webp")</f>
        <v>img.alicdn.com/bao/uploaded/i1/O1CN01rB27Ci1IFlGmDdjQH_!!4611686018427383856-53-fleamarket.heic_790x10000Q90.jpg_.webp</v>
      </c>
      <c r="G16"/>
      <c r="H16" s="2" t="str">
        <f>=HYPERLINK("https://www.goofish.com/item?spm=a21ybx.search.searchFeedList.23.22e26c82F4k9k2&amp;id=949004980033&amp;categoryId=201454708", "https://www.goofish.com/item?spm=a21ybx.search.searchFeedList.23.22e26c82F4k9k2&amp;id=949004980033&amp;categoryId=201454708")</f>
        <v>https://www.goofish.com/item?spm=a21ybx.search.searchFeedList.23.22e26c82F4k9k2&amp;id=949004980033&amp;categoryId=201454708</v>
      </c>
      <c r="I16"/>
      <c r="J16"/>
      <c r="K16"/>
      <c r="L16"/>
    </row>
    <row r="17" ht="25.5" customHeight="1">
      <c r="A17" t="inlineStr">
        <is>
          <t>国自然PPT模板国家自然科学基金科研</t>
        </is>
      </c>
      <c r="B17">
        <v>40</v>
      </c>
      <c r="C17" t="inlineStr">
        <is>
          <t>通过网盘分享的文件：B40-国家自然科学
链接: https://pan.baidu.com/s/1MA8WUBt2eroHC3awi0NeeA?pwd=9999 提取码: 9999 
--来自百度网盘超级会员v3的分享</t>
        </is>
      </c>
      <c r="D17" t="inlineStr">
        <is>
          <t>是</t>
        </is>
      </c>
      <c r="E17" t="inlineStr">
        <is>
          <t>国自然PPT模板国家自然科学基金科研项目申请答辩结题汇报PPT模板
24小时自动发货，直接拍秒发
主页置顶商品全店会员6.6，包含全店所有素材和以后更新的素材
每套模版都是我精挑细选出来的
每款模板都是质量高，适用于任何场合
每个模板都可以帮你节省大量时间
B40</t>
        </is>
      </c>
      <c r="F17" s="2" t="str">
        <f>=HYPERLINK("http://img.alicdn.com/bao/uploaded/i4/O1CN011S9AVE2KMIKlnhsE6_!!4611686018427383542-53-fleamarket.heic_790x10000Q90.jpg_.webp", "img.alicdn.com/bao/uploaded/i4/O1CN011S9AVE2KMIKlnhsE6_!!4611686018427383542-53-fleamarket.heic_790x10000Q90.jpg_.webp")</f>
        <v>img.alicdn.com/bao/uploaded/i4/O1CN011S9AVE2KMIKlnhsE6_!!4611686018427383542-53-fleamarket.heic_790x10000Q90.jpg_.webp</v>
      </c>
      <c r="G17"/>
      <c r="H17" s="2" t="str">
        <f>=HYPERLINK("https://www.goofish.com/item?spm=a21ybx.search.searchFeedList.16.22e26c82F4k9k2&amp;id=953863212313&amp;categoryId=201454708", "https://www.goofish.com/item?spm=a21ybx.search.searchFeedList.16.22e26c82F4k9k2&amp;id=953863212313&amp;categoryId=201454708")</f>
        <v>https://www.goofish.com/item?spm=a21ybx.search.searchFeedList.16.22e26c82F4k9k2&amp;id=953863212313&amp;categoryId=201454708</v>
      </c>
      <c r="I17"/>
      <c r="J17"/>
      <c r="K17"/>
      <c r="L17"/>
    </row>
    <row r="18" ht="25.5" customHeight="1">
      <c r="A18" t="inlineStr">
        <is>
          <t>105套国赛金奖ppt模板大学生创新创业</t>
        </is>
      </c>
      <c r="B18">
        <v>41</v>
      </c>
      <c r="C18" t="inlineStr">
        <is>
          <t>您好，您此次购物的订单编号是：3134153461078075187。
以下是给您发货的内容。
通过网盘分享的文件：105套国赛金奖ppt模板
链接: https://pan.baidu.com/s/1ft-TL7tLTcYY2nR1rqUTcw?pwd=xurc 提取码: xurc 
--来自百度网盘超级会员v6的分享:
复制上面这段话到佰度网盘即可打开，记得及时保存，避免失效！
要是宝贝合您心意，还请不吝好评。我们准备了惊喜赠品，赶紧好评解锁吧！</t>
        </is>
      </c>
      <c r="D18" t="inlineStr">
        <is>
          <t>是</t>
        </is>
      </c>
      <c r="E18" t="inlineStr">
        <is>
          <t>105套国赛金奖ppt模板大学生创新创业大赛挑战杯创赛获奖
都是可编辑修改的
拍下后另外赠送：
[1] 500+套互联网＋，大创，挑战杯，往届获奖作品等资料参考，部分附带演示视频，路演视频！
[2] 10000套大学生创新创业计划书word成品互联网+大赛ppt模板商业策划书撰。
[3] 100个专业大学生职业生涯规划书Word范文赠送PPT
需要的直接拍，拍下后网盘秒发货</t>
        </is>
      </c>
      <c r="F18" s="2" t="str">
        <f>=HYPERLINK("http://img.alicdn.com/bao/uploaded/i2/O1CN01doYnYm1bo5dNtbyQN_!!4611686018427387015-53-fleamarket.heic_790x10000Q90.jpg_.webp", "img.alicdn.com/bao/uploaded/i2/O1CN01doYnYm1bo5dNtbyQN_!!4611686018427387015-53-fleamarket.heic_790x10000Q90.jpg_.webp")</f>
        <v>img.alicdn.com/bao/uploaded/i2/O1CN01doYnYm1bo5dNtbyQN_!!4611686018427387015-53-fleamarket.heic_790x10000Q90.jpg_.webp</v>
      </c>
      <c r="G18"/>
      <c r="H18" s="2" t="str">
        <f>=HYPERLINK("https://www.goofish.com/item?spm=a21ybx.search.searchFeedList.25.22e26c82F4k9k2&amp;id=909700993980&amp;categoryId=201454708", "https://www.goofish.com/item?spm=a21ybx.search.searchFeedList.25.22e26c82F4k9k2&amp;id=909700993980&amp;categoryId=201454708")</f>
        <v>https://www.goofish.com/item?spm=a21ybx.search.searchFeedList.25.22e26c82F4k9k2&amp;id=909700993980&amp;categoryId=201454708</v>
      </c>
      <c r="I18"/>
      <c r="J18"/>
      <c r="K18"/>
      <c r="L18"/>
    </row>
    <row r="19" ht="25.5" customHeight="1">
      <c r="A19" t="inlineStr">
        <is>
          <t>高品质400+简历模</t>
        </is>
      </c>
      <c r="B19">
        <v>62</v>
      </c>
      <c r="C19" t="inlineStr">
        <is>
          <t>不好意思，这个资源丢失了，请等管理员操作~</t>
        </is>
      </c>
      <c r="D19" t="inlineStr">
        <is>
          <t>是</t>
        </is>
      </c>
      <c r="E19" t="inlineStr">
        <is>
          <t>高品质400+简历模板个人求职电子版word封面应届毕业生表格英文设计制作定制
——★24小时自动秒发百度网盘 ★——
预览图对应相应源文件名字，不是卖图片，也没有任何额外费用，如果不会使用可以咨询解决[送花][送花][送花]
拍下直接发400套高质量简历模板
单页，双页，四页，多页均有，自荐信模版，英文版，多种模板，任你选择
可以用手机直接编辑哦
不要问在不在，喜欢的直接拍下即可！秒发
您想要的各种素材都在这里 任何不满意直接退款</t>
        </is>
      </c>
      <c r="F19" s="2" t="str">
        <f>=HYPERLINK("http://img.alicdn.com/bao/uploaded/i2/O1CN01XvG7871dZ5w9EjfQX_!!4611686018427387605-0-fleamarket.jpg_790x10000Q90.jpg_.webp", "img.alicdn.com/bao/uploaded/i2/O1CN01XvG7871dZ5w9EjfQX_!!4611686018427387605-0-fleamarket.jpg_790x10000Q90.jpg_.webp")</f>
        <v>img.alicdn.com/bao/uploaded/i2/O1CN01XvG7871dZ5w9EjfQX_!!4611686018427387605-0-fleamarket.jpg_790x10000Q90.jpg_.webp</v>
      </c>
      <c r="G19"/>
      <c r="H19" s="2" t="str">
        <f>=HYPERLINK("https://www.goofish.com/item?spm=a21ybx.personal.feeds.295.12e16ac2PYxLX9&amp;id=750009782412&amp;categoryId=50023914", "https://www.goofish.com/item?spm=a21ybx.personal.feeds.295.12e16ac2PYxLX9&amp;id=750009782412&amp;categoryId=50023914")</f>
        <v>https://www.goofish.com/item?spm=a21ybx.personal.feeds.295.12e16ac2PYxLX9&amp;id=750009782412&amp;categoryId=50023914</v>
      </c>
      <c r="I19"/>
      <c r="J19"/>
      <c r="K19"/>
      <c r="L19"/>
    </row>
    <row r="20" ht="25.5" customHeight="1">
      <c r="A20" t="inlineStr">
        <is>
          <t>科研PPT模板学术汇</t>
        </is>
      </c>
      <c r="B20">
        <v>63</v>
      </c>
      <c r="C20" t="inlineStr">
        <is>
          <t>不好意思，这个资源丢失了，请等管理员操作~</t>
        </is>
      </c>
      <c r="D20" t="inlineStr">
        <is>
          <t>是</t>
        </is>
      </c>
      <c r="E20" t="inlineStr">
        <is>
          <t>科研PPT模板学术汇报项目组会论文献答辩研究生开题报告职称申报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20" s="2" t="str">
        <f>=HYPERLINK("http://img.alicdn.com/bao/uploaded/i3/O1CN01aRdK1I1dZ5wmHoKdF_!!4611686018427387605-0-fleamarket.jpg_790x10000Q90.jpg_.webp", "img.alicdn.com/bao/uploaded/i3/O1CN01aRdK1I1dZ5wmHoKdF_!!4611686018427387605-0-fleamarket.jpg_790x10000Q90.jpg_.webp")</f>
        <v>img.alicdn.com/bao/uploaded/i3/O1CN01aRdK1I1dZ5wmHoKdF_!!4611686018427387605-0-fleamarket.jpg_790x10000Q90.jpg_.webp</v>
      </c>
      <c r="G20"/>
      <c r="H20" s="2" t="str">
        <f>=HYPERLINK("https://www.goofish.com/item?spm=a21ybx.personal.feeds.360.12e16ac2PYxLX9&amp;id=986502332050&amp;categoryId=50023914", "https://www.goofish.com/item?spm=a21ybx.personal.feeds.360.12e16ac2PYxLX9&amp;id=986502332050&amp;categoryId=50023914")</f>
        <v>https://www.goofish.com/item?spm=a21ybx.personal.feeds.360.12e16ac2PYxLX9&amp;id=986502332050&amp;categoryId=50023914</v>
      </c>
      <c r="I20"/>
      <c r="J20"/>
      <c r="K20"/>
      <c r="L20"/>
    </row>
    <row r="21" ht="25.5" customHeight="1">
      <c r="A21" t="inlineStr">
        <is>
          <t>课题申报框架构图教学</t>
        </is>
      </c>
      <c r="B21">
        <v>64</v>
      </c>
      <c r="C21" t="inlineStr">
        <is>
          <t>不好意思，这个资源丢失了，请等管理员操作~</t>
        </is>
      </c>
      <c r="D21" t="inlineStr">
        <is>
          <t>是</t>
        </is>
      </c>
      <c r="E21" t="inlineStr">
        <is>
          <t>课题申报框架构图教学思政科研绘图技术路线图visoi流程图ppt模板
——★24小时自动秒发百度网盘 ★——
——★24小时自动秒发百度网盘 ★——
——★24小时自动秒发百度网盘 ★——
280款流程架构路线图 PPT + WORD +VISOI
课题申报 教学大赛 技术路线 科研论文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21" s="2" t="str">
        <f>=HYPERLINK("http://img.alicdn.com/bao/uploaded/i1/O1CN01oQTUGX1dZ5wze9757_!!4611686018427387605-0-fleamarket.jpg_790x10000Q90.jpg_.webp", "img.alicdn.com/bao/uploaded/i1/O1CN01oQTUGX1dZ5wze9757_!!4611686018427387605-0-fleamarket.jpg_790x10000Q90.jpg_.webp")</f>
        <v>img.alicdn.com/bao/uploaded/i1/O1CN01oQTUGX1dZ5wze9757_!!4611686018427387605-0-fleamarket.jpg_790x10000Q90.jpg_.webp</v>
      </c>
      <c r="G21"/>
      <c r="H21" s="2" t="str">
        <f>=HYPERLINK("https://www.goofish.com/item?spm=a21ybx.personal.feeds.108.12e16ac2PYxLX9&amp;id=990745156115&amp;categoryId=50023914", "https://www.goofish.com/item?spm=a21ybx.personal.feeds.108.12e16ac2PYxLX9&amp;id=990745156115&amp;categoryId=50023914")</f>
        <v>https://www.goofish.com/item?spm=a21ybx.personal.feeds.108.12e16ac2PYxLX9&amp;id=990745156115&amp;categoryId=50023914</v>
      </c>
      <c r="I21"/>
      <c r="J21"/>
      <c r="K21"/>
      <c r="L21"/>
    </row>
    <row r="22" ht="25.5" customHeight="1">
      <c r="A22" t="inlineStr">
        <is>
          <t>大学生国家奖学金励志</t>
        </is>
      </c>
      <c r="B22">
        <v>65</v>
      </c>
      <c r="C22" t="inlineStr">
        <is>
          <t>不好意思，这个资源丢失了，请等管理员操作~</t>
        </is>
      </c>
      <c r="D22" t="inlineStr">
        <is>
          <t>是</t>
        </is>
      </c>
      <c r="E22" t="inlineStr">
        <is>
          <t>大学生国家奖学金励志国奖答辩竞选PPT模板蓝红色主题大气高级感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22" s="2" t="str">
        <f>=HYPERLINK("http://img.alicdn.com/bao/uploaded/i2/O1CN014Sac8D1dZ5wncs34U_!!4611686018427387605-0-fleamarket.jpg_790x10000Q90.jpg_.webp", "img.alicdn.com/bao/uploaded/i2/O1CN014Sac8D1dZ5wncs34U_!!4611686018427387605-0-fleamarket.jpg_790x10000Q90.jpg_.webp")</f>
        <v>img.alicdn.com/bao/uploaded/i2/O1CN014Sac8D1dZ5wncs34U_!!4611686018427387605-0-fleamarket.jpg_790x10000Q90.jpg_.webp</v>
      </c>
      <c r="G22"/>
      <c r="H22" s="2" t="str">
        <f>=HYPERLINK("https://www.goofish.com/item?spm=a21ybx.personal.feeds.114.12e16ac2PYxLX9&amp;id=985828185520&amp;categoryId=50023914", "https://www.goofish.com/item?spm=a21ybx.personal.feeds.114.12e16ac2PYxLX9&amp;id=985828185520&amp;categoryId=50023914")</f>
        <v>https://www.goofish.com/item?spm=a21ybx.personal.feeds.114.12e16ac2PYxLX9&amp;id=985828185520&amp;categoryId=50023914</v>
      </c>
      <c r="I22"/>
      <c r="J22"/>
      <c r="K22"/>
      <c r="L22"/>
    </row>
    <row r="23" ht="25.5" customHeight="1">
      <c r="A23" t="inlineStr">
        <is>
          <t>电商详情页psd模板</t>
        </is>
      </c>
      <c r="B23">
        <v>66</v>
      </c>
      <c r="C23" t="inlineStr">
        <is>
          <t>不好意思，这个资源丢失了，请等管理员操作~</t>
        </is>
      </c>
      <c r="D23" t="inlineStr">
        <is>
          <t>是</t>
        </is>
      </c>
      <c r="E23" t="inlineStr">
        <is>
          <t>电商详情页psd模板店铺装修设计主图美工背景促销海报源文件素材
——★24小时自动秒发百度网盘 ★——
——★24小时自动秒发百度网盘 ★——
——★24小时自动秒发百度网盘 ★——
5万款全套电商素材模板 主图 详情图 首页 店招 促销 标签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23" s="2" t="str">
        <f>=HYPERLINK("http://img.alicdn.com/bao/uploaded/i4/O1CN010gRoUm1dZ5x3WeSEi_!!4611686018427387605-2-fleamarket.png_790x10000.jpg_.webp", "img.alicdn.com/bao/uploaded/i4/O1CN010gRoUm1dZ5x3WeSEi_!!4611686018427387605-2-fleamarket.png_790x10000.jpg_.webp")</f>
        <v>img.alicdn.com/bao/uploaded/i4/O1CN010gRoUm1dZ5x3WeSEi_!!4611686018427387605-2-fleamarket.png_790x10000.jpg_.webp</v>
      </c>
      <c r="G23"/>
      <c r="H23" s="2" t="str">
        <f>=HYPERLINK("https://www.goofish.com/item?spm=a21ybx.personal.feeds.365.12e16ac2PYxLX9&amp;id=989828106972&amp;categoryId=50023914", "https://www.goofish.com/item?spm=a21ybx.personal.feeds.365.12e16ac2PYxLX9&amp;id=989828106972&amp;categoryId=50023914")</f>
        <v>https://www.goofish.com/item?spm=a21ybx.personal.feeds.365.12e16ac2PYxLX9&amp;id=989828106972&amp;categoryId=50023914</v>
      </c>
      <c r="I23"/>
      <c r="J23"/>
      <c r="K23"/>
      <c r="L23"/>
    </row>
    <row r="24" ht="25.5" customHeight="1">
      <c r="A24" t="inlineStr">
        <is>
          <t>大学生职业生涯规划大</t>
        </is>
      </c>
      <c r="B24">
        <v>67</v>
      </c>
      <c r="C24" t="inlineStr">
        <is>
          <t>不好意思，这个资源丢失了，请等管理员操作~</t>
        </is>
      </c>
      <c r="D24" t="inlineStr">
        <is>
          <t>是</t>
        </is>
      </c>
      <c r="E24" t="inlineStr">
        <is>
          <t>大学生职业生涯规划大赛职规赛PPT模板书成长就业赛道高级感红色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24" s="2" t="str">
        <f>=HYPERLINK("http://img.alicdn.com/bao/uploaded/i3/O1CN01nILD4o1dZ5wwxYefP_!!4611686018427387605-0-fleamarket.jpg_790x10000Q90.jpg_.webp", "img.alicdn.com/bao/uploaded/i3/O1CN01nILD4o1dZ5wwxYefP_!!4611686018427387605-0-fleamarket.jpg_790x10000Q90.jpg_.webp")</f>
        <v>img.alicdn.com/bao/uploaded/i3/O1CN01nILD4o1dZ5wwxYefP_!!4611686018427387605-0-fleamarket.jpg_790x10000Q90.jpg_.webp</v>
      </c>
      <c r="G24"/>
      <c r="H24" s="2" t="str">
        <f>=HYPERLINK("https://www.goofish.com/item?spm=a21ybx.personal.feeds.109.12e16ac2PYxLX9&amp;id=987781883336&amp;categoryId=50023914", "https://www.goofish.com/item?spm=a21ybx.personal.feeds.109.12e16ac2PYxLX9&amp;id=987781883336&amp;categoryId=50023914")</f>
        <v>https://www.goofish.com/item?spm=a21ybx.personal.feeds.109.12e16ac2PYxLX9&amp;id=987781883336&amp;categoryId=50023914</v>
      </c>
      <c r="I24"/>
      <c r="J24"/>
      <c r="K24"/>
      <c r="L24"/>
    </row>
    <row r="25" ht="25.5" customHeight="1">
      <c r="A25" t="inlineStr">
        <is>
          <t>100页高级感商务大</t>
        </is>
      </c>
      <c r="B25">
        <v>68</v>
      </c>
      <c r="C25" t="inlineStr">
        <is>
          <t>不好意思，这个资源丢失了，请等管理员操作~</t>
        </is>
      </c>
      <c r="D25" t="inlineStr">
        <is>
          <t>是</t>
        </is>
      </c>
      <c r="E25" t="inlineStr">
        <is>
          <t>100页高级感商务大气版式多图片排版图文工作总结汇报动态ppt模板
——★24小时自动秒发百度网盘 ★——
——★24小时自动秒发百度网盘 ★——
——★24小时自动秒发百度网盘 ★——
1款(4色)高级感图表PPT共100页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25" s="2" t="str">
        <f>=HYPERLINK("http://img.alicdn.com/bao/uploaded/i3/O1CN01OscPje1dZ5wkQSRoe_!!4611686018427387605-0-fleamarket.jpg_790x10000Q90.jpg_.webp", "img.alicdn.com/bao/uploaded/i3/O1CN01OscPje1dZ5wkQSRoe_!!4611686018427387605-0-fleamarket.jpg_790x10000Q90.jpg_.webp")</f>
        <v>img.alicdn.com/bao/uploaded/i3/O1CN01OscPje1dZ5wkQSRoe_!!4611686018427387605-0-fleamarket.jpg_790x10000Q90.jpg_.webp</v>
      </c>
      <c r="G25"/>
      <c r="H25" s="2" t="str">
        <f>=HYPERLINK("https://www.goofish.com/item?spm=a21ybx.personal.feeds.520.12e16ac2PYxLX9&amp;id=984361009829&amp;categoryId=50023914", "https://www.goofish.com/item?spm=a21ybx.personal.feeds.520.12e16ac2PYxLX9&amp;id=984361009829&amp;categoryId=50023914")</f>
        <v>https://www.goofish.com/item?spm=a21ybx.personal.feeds.520.12e16ac2PYxLX9&amp;id=984361009829&amp;categoryId=50023914</v>
      </c>
      <c r="I25"/>
      <c r="J25"/>
      <c r="K25"/>
      <c r="L25"/>
    </row>
    <row r="26" ht="25.5" customHeight="1">
      <c r="A26" t="inlineStr">
        <is>
          <t>企业宣传册模板wor</t>
        </is>
      </c>
      <c r="B26">
        <v>69</v>
      </c>
      <c r="C26" t="inlineStr">
        <is>
          <t>不好意思，这个资源丢失了，请等管理员操作~</t>
        </is>
      </c>
      <c r="D26" t="inlineStr">
        <is>
          <t>是</t>
        </is>
      </c>
      <c r="E26" t="inlineStr">
        <is>
          <t>企业宣传册模板word商务公司简介产品手画册CDR排版PSD设计AI素材
——★24小时自动秒发百度网盘 ★——
9999套宣传画册PSD/AI/CDR/WORD分层高清素材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t>
        </is>
      </c>
      <c r="F26" s="2" t="str">
        <f>=HYPERLINK("http://img.alicdn.com/bao/uploaded/i1/O1CN01cfBJJb1dZ5wElUGf4_!!4611686018427387605-0-fleamarket.jpg_790x10000Q90.jpg_.webp", "img.alicdn.com/bao/uploaded/i1/O1CN01cfBJJb1dZ5wElUGf4_!!4611686018427387605-0-fleamarket.jpg_790x10000Q90.jpg_.webp")</f>
        <v>img.alicdn.com/bao/uploaded/i1/O1CN01cfBJJb1dZ5wElUGf4_!!4611686018427387605-0-fleamarket.jpg_790x10000Q90.jpg_.webp</v>
      </c>
      <c r="G26"/>
      <c r="H26" s="2" t="str">
        <f>=HYPERLINK("https://www.goofish.com/item?spm=a21ybx.personal.feeds.279.12e16ac2PYxLX9&amp;id=971315835141&amp;categoryId=50023914", "https://www.goofish.com/item?spm=a21ybx.personal.feeds.279.12e16ac2PYxLX9&amp;id=971315835141&amp;categoryId=50023914")</f>
        <v>https://www.goofish.com/item?spm=a21ybx.personal.feeds.279.12e16ac2PYxLX9&amp;id=971315835141&amp;categoryId=50023914</v>
      </c>
      <c r="I26"/>
      <c r="J26"/>
      <c r="K26"/>
      <c r="L26"/>
    </row>
    <row r="27" ht="25.5" customHeight="1">
      <c r="A27" t="inlineStr">
        <is>
          <t>2025新款CAD图</t>
        </is>
      </c>
      <c r="B27">
        <v>70</v>
      </c>
      <c r="C27" t="inlineStr">
        <is>
          <t>不好意思，这个资源丢失了，请等管理员操作~</t>
        </is>
      </c>
      <c r="D27" t="inlineStr">
        <is>
          <t>是</t>
        </is>
      </c>
      <c r="E27" t="inlineStr">
        <is>
          <t>2025新款CAD图库室内设计家装家具平面中式欧式施工图动态素材库
——★24小时自动秒发百度网盘 ★——
——★24小时自动秒发百度网盘 ★——
——★24小时自动秒发百度网盘 ★——
室内设计CAD图库欧式/中式/现代 赠:动态图库
家装+工装+平面+立面+动态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27" s="2" t="str">
        <f>=HYPERLINK("http://img.alicdn.com/bao/uploaded/i2/O1CN01iM0BpW1dZ5x4YdUaj_!!4611686018427387605-0-fleamarket.jpg_790x10000Q90.jpg_.webp", "img.alicdn.com/bao/uploaded/i2/O1CN01iM0BpW1dZ5x4YdUaj_!!4611686018427387605-0-fleamarket.jpg_790x10000Q90.jpg_.webp")</f>
        <v>img.alicdn.com/bao/uploaded/i2/O1CN01iM0BpW1dZ5x4YdUaj_!!4611686018427387605-0-fleamarket.jpg_790x10000Q90.jpg_.webp</v>
      </c>
      <c r="G27"/>
      <c r="H27" s="2" t="str">
        <f>=HYPERLINK("https://www.goofish.com/item?spm=a21ybx.personal.feeds.349.12e16ac2PYxLX9&amp;id=991568744881&amp;categoryId=50023914", "https://www.goofish.com/item?spm=a21ybx.personal.feeds.349.12e16ac2PYxLX9&amp;id=991568744881&amp;categoryId=50023914")</f>
        <v>https://www.goofish.com/item?spm=a21ybx.personal.feeds.349.12e16ac2PYxLX9&amp;id=991568744881&amp;categoryId=50023914</v>
      </c>
      <c r="I27"/>
      <c r="J27"/>
      <c r="K27"/>
      <c r="L27"/>
    </row>
    <row r="28" ht="25.5" customHeight="1">
      <c r="A28" t="inlineStr">
        <is>
          <t>电商美工店铺装修电商</t>
        </is>
      </c>
      <c r="B28">
        <v>71</v>
      </c>
      <c r="C28" t="inlineStr">
        <is>
          <t>不好意思，这个资源丢失了，请等管理员操作~</t>
        </is>
      </c>
      <c r="D28" t="inlineStr">
        <is>
          <t>是</t>
        </is>
      </c>
      <c r="E28" t="inlineStr">
        <is>
          <t>电商美工店铺装修电商美妆详情页专题页面排版PSD模板PS设计素材 5000款电商详情可编辑psd源文件店铺装修素材
-----★24小时自动发货，直接拍秒发★--
⭐️每套模版都是我精挑细选出来的
⭐️每款模板都是质量高，适用于任何场合
⭐️每个模板都可以帮你节省大量时间
</t>
        </is>
      </c>
      <c r="F28" s="2" t="str">
        <f>=HYPERLINK("http://img.alicdn.com/bao/uploaded/i2/O1CN010gFUNh2CLMYSlu5lb_!!4611686018427382025-53-fleamarket.heic_790x10000Q90.jpg_.webp", "img.alicdn.com/bao/uploaded/i2/O1CN010gFUNh2CLMYSlu5lb_!!4611686018427382025-53-fleamarket.heic_790x10000Q90.jpg_.webp")</f>
        <v>img.alicdn.com/bao/uploaded/i2/O1CN010gFUNh2CLMYSlu5lb_!!4611686018427382025-53-fleamarket.heic_790x10000Q90.jpg_.webp</v>
      </c>
      <c r="G28"/>
      <c r="H28" s="2" t="str">
        <f>=HYPERLINK("https://www.goofish.com/item?spm=a21ybx.personal.feeds.17.77e76ac22jN7kj&amp;id=838970575462&amp;categoryId=50023914", "https://www.goofish.com/item?spm=a21ybx.personal.feeds.17.77e76ac22jN7kj&amp;id=838970575462&amp;categoryId=50023914")</f>
        <v>https://www.goofish.com/item?spm=a21ybx.personal.feeds.17.77e76ac22jN7kj&amp;id=838970575462&amp;categoryId=50023914</v>
      </c>
      <c r="I28"/>
      <c r="J28"/>
      <c r="K28"/>
      <c r="L28"/>
    </row>
    <row r="29" ht="25.5" customHeight="1">
      <c r="A29" t="inlineStr">
        <is>
          <t>100款高端整套文创</t>
        </is>
      </c>
      <c r="B29">
        <v>72</v>
      </c>
      <c r="C29" t="inlineStr">
        <is>
          <t>不好意思，这个资源丢失了，请等管理员操作~</t>
        </is>
      </c>
      <c r="D29" t="inlineStr">
        <is>
          <t>是</t>
        </is>
      </c>
      <c r="E29" t="inlineStr">
        <is>
          <t>100款高端整套文创品牌VI提案效果展示贴图样机PSD设计素材 精选100款文创样机psd可编辑源文件素材
-----★24小时自动发货，直接拍秒发★-----
⭐️每套模版都是我精挑细选出来的
⭐️每款模板都是质量高，适用于任何场合
⭐️每个模板都可以帮你节省大量时间
</t>
        </is>
      </c>
      <c r="F29" s="2" t="str">
        <f>=HYPERLINK("http://img.alicdn.com/bao/uploaded/i3/O1CN01zDGmul2CLMWUS0as9_!!53-fleamarket.heic_790x10000Q90.jpg_.webp", "img.alicdn.com/bao/uploaded/i3/O1CN01zDGmul2CLMWUS0as9_!!53-fleamarket.heic_790x10000Q90.jpg_.webp")</f>
        <v>img.alicdn.com/bao/uploaded/i3/O1CN01zDGmul2CLMWUS0as9_!!53-fleamarket.heic_790x10000Q90.jpg_.webp</v>
      </c>
      <c r="G29"/>
      <c r="H29" s="2" t="str">
        <f>=HYPERLINK("https://www.goofish.com/item?spm=a21ybx.personal.feeds.66.77e76ac22jN7kj&amp;id=839406600249&amp;categoryId=50023914", "https://www.goofish.com/item?spm=a21ybx.personal.feeds.66.77e76ac22jN7kj&amp;id=839406600249&amp;categoryId=50023914")</f>
        <v>https://www.goofish.com/item?spm=a21ybx.personal.feeds.66.77e76ac22jN7kj&amp;id=839406600249&amp;categoryId=50023914</v>
      </c>
      <c r="I29"/>
      <c r="J29"/>
      <c r="K29"/>
      <c r="L29"/>
    </row>
    <row r="30" ht="25.5" customHeight="1">
      <c r="A30" t="inlineStr">
        <is>
          <t>企业公司介绍宣传商务</t>
        </is>
      </c>
      <c r="B30">
        <v>73</v>
      </c>
      <c r="C30" t="inlineStr">
        <is>
          <t>不好意思，这个资源丢失了，请等管理员操作~</t>
        </is>
      </c>
      <c r="D30" t="inlineStr">
        <is>
          <t>是</t>
        </is>
      </c>
      <c r="E30" t="inlineStr">
        <is>
          <t>企业公司介绍宣传商务x展架活动易拉宝广告海报模板PSD设计素材PS 精选239款企业易拉宝招聘宣传展架 可编辑素材源文件
-----★24小时自动发货，直接拍秒发★----
⭐️每套模版都是我精挑细选出来的
⭐️每款模板都是质量高，适用于任何场合
⭐️每个模板都可以帮你节省大量时间</t>
        </is>
      </c>
      <c r="F30" s="2" t="str">
        <f>=HYPERLINK("http://img.alicdn.com/bao/uploaded/i2/O1CN01J0jqjZ2CLMWU6wTOA_!!53-fleamarket.heic_790x10000Q90.jpg_.webp", "img.alicdn.com/bao/uploaded/i2/O1CN01J0jqjZ2CLMWU6wTOA_!!53-fleamarket.heic_790x10000Q90.jpg_.webp")</f>
        <v>img.alicdn.com/bao/uploaded/i2/O1CN01J0jqjZ2CLMWU6wTOA_!!53-fleamarket.heic_790x10000Q90.jpg_.webp</v>
      </c>
      <c r="G30"/>
      <c r="H30" s="2" t="str">
        <f>=HYPERLINK("https://www.goofish.com/item?spm=a21ybx.personal.feeds.142.77e76ac22jN7kj&amp;id=838965135188&amp;categoryId=50023914", "https://www.goofish.com/item?spm=a21ybx.personal.feeds.142.77e76ac22jN7kj&amp;id=838965135188&amp;categoryId=50023914")</f>
        <v>https://www.goofish.com/item?spm=a21ybx.personal.feeds.142.77e76ac22jN7kj&amp;id=838965135188&amp;categoryId=50023914</v>
      </c>
      <c r="I30"/>
      <c r="J30"/>
      <c r="K30"/>
      <c r="L30"/>
    </row>
    <row r="31" ht="25.5" customHeight="1">
      <c r="A31" t="inlineStr">
        <is>
          <t>记账系统Excel表</t>
        </is>
      </c>
      <c r="B31">
        <v>74</v>
      </c>
      <c r="C31" t="inlineStr">
        <is>
          <t>不好意思，这个资源丢失了，请等管理员操作~</t>
        </is>
      </c>
      <c r="D31" t="inlineStr">
        <is>
          <t>是</t>
        </is>
      </c>
      <c r="E31" t="inlineStr">
        <is>
          <t>记账系统Excel表格模板 excel记账表格 家庭账本年度分析表 个人月度费用支出记账管理系统52套
✨✨
-----★24小时自动发货，直接拍秒发★-----
⭐️每套模版都是我精挑细选出来的
⭐️每款模板都是质量高，适用于任何场合
⭐️每个模板都可以帮你节省大量时间
</t>
        </is>
      </c>
      <c r="F31" s="2" t="str">
        <f>=HYPERLINK("http://img.alicdn.com/bao/uploaded/i4/O1CN01T4AYaW2CLMWROUuB5_!!53-fleamarket.heic_790x10000Q90.jpg_.webp", "img.alicdn.com/bao/uploaded/i4/O1CN01T4AYaW2CLMWROUuB5_!!53-fleamarket.heic_790x10000Q90.jpg_.webp")</f>
        <v>img.alicdn.com/bao/uploaded/i4/O1CN01T4AYaW2CLMWROUuB5_!!53-fleamarket.heic_790x10000Q90.jpg_.webp</v>
      </c>
      <c r="G31"/>
      <c r="H31" s="2" t="str">
        <f>=HYPERLINK("https://www.goofish.com/item?spm=a21ybx.personal.feeds.53.77e76ac22jN7kj&amp;id=839341433731&amp;categoryId=50023914", "https://www.goofish.com/item?spm=a21ybx.personal.feeds.53.77e76ac22jN7kj&amp;id=839341433731&amp;categoryId=50023914")</f>
        <v>https://www.goofish.com/item?spm=a21ybx.personal.feeds.53.77e76ac22jN7kj&amp;id=839341433731&amp;categoryId=50023914</v>
      </c>
      <c r="I31"/>
      <c r="J31"/>
      <c r="K31"/>
      <c r="L31"/>
    </row>
    <row r="32" ht="25.5" customHeight="1">
      <c r="A32" t="inlineStr">
        <is>
          <t>6000张动漫线稿</t>
        </is>
      </c>
      <c r="B32">
        <v>75</v>
      </c>
      <c r="C32" t="inlineStr">
        <is>
          <t>不好意思，这个资源丢失了，请等管理员操作~</t>
        </is>
      </c>
      <c r="D32" t="inlineStr">
        <is>
          <t>是</t>
        </is>
      </c>
      <c r="E32" t="inlineStr">
        <is>
          <t>6000张动漫线稿，超多！可以平时用来练习。
想要直接拍
【线稿】上万张人体结构建筑线稿临摹参考五官表情光影表现身体动作肌肉骨骼透视漫画练习日式场景cg 建筑风景速写等绘画设计参考素材绘画速写古风线稿PS手绘图Q版人体造型多角度线稿草稿动态姿势合集
★页(张)数：13153张【精选高质量】
★文件大小：4.8G【解压后】（方便保存）
★文件格式：JPG，JPEG
★图片类型：日韩人物、日系插画、人体动态欧美角色、建筑设定、概念设计、建筑物件、科幻设定、现代场景、日系场景、表情结构、肌肉透视、漫画分镜等
------★24小时自动发货，直接拍秒发★-----
⭐️每套风格的模版都是我精心挑选出来的。
⭐️每款都是 质量高，适用于任何场合～
⭐️每个风格都有单独归类文档编号跟预览物
</t>
        </is>
      </c>
      <c r="F32" s="2" t="str">
        <f>=HYPERLINK("http://img.alicdn.com/bao/uploaded/i3/O1CN01wy0YmG2CLMWRgZaLC_!!53-fleamarket.heic_790x10000Q90.jpg_.webp", "img.alicdn.com/bao/uploaded/i3/O1CN01wy0YmG2CLMWRgZaLC_!!53-fleamarket.heic_790x10000Q90.jpg_.webp")</f>
        <v>img.alicdn.com/bao/uploaded/i3/O1CN01wy0YmG2CLMWRgZaLC_!!53-fleamarket.heic_790x10000Q90.jpg_.webp</v>
      </c>
      <c r="G32"/>
      <c r="H32" s="2" t="str">
        <f>=HYPERLINK("https://www.goofish.com/item?spm=a21ybx.personal.feeds.63.77e76ac22jN7kj&amp;id=838899803609&amp;categoryId=50023914", "https://www.goofish.com/item?spm=a21ybx.personal.feeds.63.77e76ac22jN7kj&amp;id=838899803609&amp;categoryId=50023914")</f>
        <v>https://www.goofish.com/item?spm=a21ybx.personal.feeds.63.77e76ac22jN7kj&amp;id=838899803609&amp;categoryId=50023914</v>
      </c>
      <c r="I32"/>
      <c r="J32"/>
      <c r="K32"/>
      <c r="L32"/>
    </row>
    <row r="33" ht="25.5" customHeight="1">
      <c r="A33" t="inlineStr">
        <is>
          <t>茶叶奶茶手册VI品牌</t>
        </is>
      </c>
      <c r="B33">
        <v>76</v>
      </c>
      <c r="C33" t="inlineStr">
        <is>
          <t>不好意思，这个资源丢失了，请等管理员操作~</t>
        </is>
      </c>
      <c r="D33" t="inlineStr">
        <is>
          <t>是</t>
        </is>
      </c>
      <c r="E33" t="inlineStr">
        <is>
          <t>茶叶奶茶手册VI品牌形象企业产品宣传册VIS全套模板矢量设计素材 精选24款茶叶奶茶品牌手册ai可编辑模板素材
-----★24小时自动发货，直接拍秒发★-----
⭐️每套模版都是我精挑细选出来的
⭐️每款模板都是质量高，适用于任何场合
⭐️每个模板都可以帮你节省大量时间
</t>
        </is>
      </c>
      <c r="F33" s="2" t="str">
        <f>=HYPERLINK("http://img.alicdn.com/bao/uploaded/i1/O1CN017GYIxI2CLMWMV6rEa_!!53-fleamarket.heic_790x10000Q90.jpg_.webp", "img.alicdn.com/bao/uploaded/i1/O1CN017GYIxI2CLMWMV6rEa_!!53-fleamarket.heic_790x10000Q90.jpg_.webp")</f>
        <v>img.alicdn.com/bao/uploaded/i1/O1CN017GYIxI2CLMWMV6rEa_!!53-fleamarket.heic_790x10000Q90.jpg_.webp</v>
      </c>
      <c r="G33"/>
      <c r="H33" s="2" t="str">
        <f>=HYPERLINK("https://www.goofish.com/item?spm=a21ybx.personal.feeds.156.77e76ac22jN7kj&amp;id=839233401492&amp;categoryId=50023914", "https://www.goofish.com/item?spm=a21ybx.personal.feeds.156.77e76ac22jN7kj&amp;id=839233401492&amp;categoryId=50023914")</f>
        <v>https://www.goofish.com/item?spm=a21ybx.personal.feeds.156.77e76ac22jN7kj&amp;id=839233401492&amp;categoryId=50023914</v>
      </c>
      <c r="I33"/>
      <c r="J33"/>
      <c r="K33"/>
      <c r="L33"/>
    </row>
    <row r="34" ht="25.5" customHeight="1">
      <c r="A34" t="inlineStr">
        <is>
          <t>【PPT模板】350</t>
        </is>
      </c>
      <c r="B34">
        <v>77</v>
      </c>
      <c r="C34" t="inlineStr">
        <is>
          <t>【超级会员V1】通过百度网盘分享的文件：Z005-炫酷科…
链接:https://pan.baidu.com/s/1xSAjEXz_MzPcGXqZ5sh6Gg 
提取码:9mcs
复制这段内容打开「百度网盘APP 即可获取」</t>
        </is>
      </c>
      <c r="D34" t="inlineStr">
        <is>
          <t>是</t>
        </is>
      </c>
      <c r="E34" t="inlineStr">
        <is>
          <t>【PPT模板】350套炫酷科技感ppt模板类动态高端工作汇报商务互联网多媒体ppt模板
-----★24小时自动发货，直接拍秒发★-----
⭐️每套模版都是我精挑细选出来的
⭐️每款模板都是质量高，适用于任何场合
⭐️每个模板都可以帮你节省大量时间
</t>
        </is>
      </c>
      <c r="F34" s="2" t="str">
        <f>=HYPERLINK("http://img.alicdn.com/bao/uploaded/i1/O1CN01LltOwv2CLMVoQWQrs_!!53-fleamarket.heic_790x10000Q90.jpg_.webp", "img.alicdn.com/bao/uploaded/i1/O1CN01LltOwv2CLMVoQWQrs_!!53-fleamarket.heic_790x10000Q90.jpg_.webp")</f>
        <v>img.alicdn.com/bao/uploaded/i1/O1CN01LltOwv2CLMVoQWQrs_!!53-fleamarket.heic_790x10000Q90.jpg_.webp</v>
      </c>
      <c r="G34"/>
      <c r="H34" s="2" t="str">
        <f>=HYPERLINK("https://www.goofish.com/item?spm=a21ybx.personal.feeds.173.77e76ac22jN7kj&amp;id=827741364305&amp;categoryId=50023914", "https://www.goofish.com/item?spm=a21ybx.personal.feeds.173.77e76ac22jN7kj&amp;id=827741364305&amp;categoryId=50023914")</f>
        <v>https://www.goofish.com/item?spm=a21ybx.personal.feeds.173.77e76ac22jN7kj&amp;id=827741364305&amp;categoryId=50023914</v>
      </c>
      <c r="I34"/>
      <c r="J34"/>
      <c r="K34"/>
      <c r="L34"/>
    </row>
    <row r="35" ht="25.5" customHeight="1">
      <c r="A35" t="inlineStr">
        <is>
          <t>PS海报模板素材图库</t>
        </is>
      </c>
      <c r="B35">
        <v>78</v>
      </c>
      <c r="C35" t="inlineStr">
        <is>
          <t>【超级会员V1】通过百度网盘分享的文件：S108-PS海…
链接:https://pan.baidu.com/s/14CNwuguGTteib53KmxPAHw 
提取码:389k
复制这段内容打开「百度网盘APP 即可获取」</t>
        </is>
      </c>
      <c r="D35" t="inlineStr">
        <is>
          <t>是</t>
        </is>
      </c>
      <c r="E35" t="inlineStr">
        <is>
          <t>PS海报模板素材图库，精选4000套海报设计模板
涉及广告/平面/设计/促销/宣传/食品/招聘/招生/婚纱/电影/音乐/金融/旅游/科技/美容/母婴/教育/地产/电器/等众多领域，psd格式！
-----★24小时自动发货，直接拍秒发★-----
⭐️每套风格的模版都是我精心挑选出来的。
⭐️每款都是 质量高，适用于任何场合～
⭐️每个风格都有单独归类文档编号跟预览物之情
</t>
        </is>
      </c>
      <c r="F35" s="2" t="str">
        <f>=HYPERLINK("http://img.alicdn.com/bao/uploaded/i1/O1CN01p1PijE2CLMWS8ZH7O_!!53-fleamarket.heic_790x10000Q90.jpg_.webp", "img.alicdn.com/bao/uploaded/i1/O1CN01p1PijE2CLMWS8ZH7O_!!53-fleamarket.heic_790x10000Q90.jpg_.webp")</f>
        <v>img.alicdn.com/bao/uploaded/i1/O1CN01p1PijE2CLMWS8ZH7O_!!53-fleamarket.heic_790x10000Q90.jpg_.webp</v>
      </c>
      <c r="G35"/>
      <c r="H35" s="2" t="str">
        <f>=HYPERLINK("https://www.goofish.com/item?spm=a21ybx.personal.feeds.46.77e76ac22jN7kj&amp;id=838995255145&amp;categoryId=50023914", "https://www.goofish.com/item?spm=a21ybx.personal.feeds.46.77e76ac22jN7kj&amp;id=838995255145&amp;categoryId=50023914")</f>
        <v>https://www.goofish.com/item?spm=a21ybx.personal.feeds.46.77e76ac22jN7kj&amp;id=838995255145&amp;categoryId=50023914</v>
      </c>
      <c r="I35"/>
      <c r="J35"/>
      <c r="K35"/>
      <c r="L35"/>
    </row>
    <row r="36" ht="25.5" customHeight="1">
      <c r="A36" t="inlineStr">
        <is>
          <t>
80套高端PPT模</t>
        </is>
      </c>
      <c r="B36">
        <v>79</v>
      </c>
      <c r="C36" t="inlineStr">
        <is>
          <t>不好意思! 这个资源丢失了，请等管理员操作~</t>
        </is>
      </c>
      <c r="D36" t="inlineStr">
        <is>
          <t>是</t>
        </is>
      </c>
      <c r="E36" t="inlineStr">
        <is>
          <t>
80套高端PPT模板，逻辑PPT，高端大气PPT，工作汇报PPT模板
适用于各种行业，设计精美，多种风格款式可选，可编辑修改，使用方便
-----★24小时自动发货，直接拍秒发★-----
⭐️每套模版都是我精挑细选出来的
⭐️每款模板都是质量高，适用于任何场合
⭐️每个模板都可以帮你节省大量时间
</t>
        </is>
      </c>
      <c r="F36" s="2" t="str">
        <f>=HYPERLINK("http://img.alicdn.com/bao/uploaded/i3/O1CN01RQPkEd2CLMW7HQ5cn_!!53-fleamarket.heic_790x10000Q90.jpg_.webp", "img.alicdn.com/bao/uploaded/i3/O1CN01RQPkEd2CLMW7HQ5cn_!!53-fleamarket.heic_790x10000Q90.jpg_.webp")</f>
        <v>img.alicdn.com/bao/uploaded/i3/O1CN01RQPkEd2CLMW7HQ5cn_!!53-fleamarket.heic_790x10000Q90.jpg_.webp</v>
      </c>
      <c r="G36"/>
      <c r="H36" s="2" t="str">
        <f>=HYPERLINK("https://www.goofish.com/item?spm=a21ybx.personal.feeds.96.77e76ac22jN7kj&amp;id=830266147835&amp;categoryId=50023914", "https://www.goofish.com/item?spm=a21ybx.personal.feeds.96.77e76ac22jN7kj&amp;id=830266147835&amp;categoryId=50023914")</f>
        <v>https://www.goofish.com/item?spm=a21ybx.personal.feeds.96.77e76ac22jN7kj&amp;id=830266147835&amp;categoryId=50023914</v>
      </c>
      <c r="I36"/>
      <c r="J36"/>
      <c r="K36"/>
      <c r="L36"/>
    </row>
    <row r="37" ht="25.5" customHeight="1">
      <c r="A37" t="inlineStr">
        <is>
          <t>2026马年中小学生</t>
        </is>
      </c>
      <c r="B37">
        <v>80</v>
      </c>
      <c r="C37" t="inlineStr">
        <is>
          <t>不好意思! 这个资源丢失了，请等管理员操作~</t>
        </is>
      </c>
      <c r="D37" t="inlineStr">
        <is>
          <t>是</t>
        </is>
      </c>
      <c r="E37" t="inlineStr">
        <is>
          <t>2026马年中小学生幼儿园喜迎元旦ppt班会元旦联欢晚会ppt素材企业
——★24小时自动秒发百度网盘 ★——
——★24小时自动秒发百度网盘 ★——
——★24小时自动秒发百度网盘 ★——
200款马年元旦PPT
2026元旦 2026新年 元旦晚会 新年晚会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37" s="2" t="str">
        <f>=HYPERLINK("http://img.alicdn.com/bao/uploaded/i2/O1CN01HAdhZX1dZ5xQsq9cA_!!4611686018427387605-2-fleamarket.png_790x10000.jpg_.webp", "img.alicdn.com/bao/uploaded/i2/O1CN01HAdhZX1dZ5xQsq9cA_!!4611686018427387605-2-fleamarket.png_790x10000.jpg_.webp")</f>
        <v>img.alicdn.com/bao/uploaded/i2/O1CN01HAdhZX1dZ5xQsq9cA_!!4611686018427387605-2-fleamarket.png_790x10000.jpg_.webp</v>
      </c>
      <c r="G37"/>
      <c r="H37" s="2" t="str">
        <f>=HYPERLINK("https://www.goofish.com/item?spm=a21ybx.personal.feeds.57.12e16ac2PYxLX9&amp;id=998398580438&amp;categoryId=50023914", "https://www.goofish.com/item?spm=a21ybx.personal.feeds.57.12e16ac2PYxLX9&amp;id=998398580438&amp;categoryId=50023914")</f>
        <v>https://www.goofish.com/item?spm=a21ybx.personal.feeds.57.12e16ac2PYxLX9&amp;id=998398580438&amp;categoryId=50023914</v>
      </c>
      <c r="I37"/>
      <c r="J37"/>
      <c r="K37"/>
      <c r="L37"/>
    </row>
    <row r="38" ht="25.5" customHeight="1">
      <c r="A38" t="inlineStr">
        <is>
          <t>邀请函电子版模板企业</t>
        </is>
      </c>
      <c r="B38">
        <v>81</v>
      </c>
      <c r="C38" t="inlineStr">
        <is>
          <t>不好意思! 这个资源丢失了，请等管理员操作~</t>
        </is>
      </c>
      <c r="D38" t="inlineStr">
        <is>
          <t>是</t>
        </is>
      </c>
      <c r="E38" t="inlineStr">
        <is>
          <t>邀请函电子版模板企业商务晚宴请柬word公司会议年会庆典请帖素材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38" s="2" t="str">
        <f>=HYPERLINK("http://img.alicdn.com/bao/uploaded/i3/O1CN01GHbUGR1dZ5wr9Y8Z9_!!4611686018427387605-0-fleamarket.jpg_790x10000Q90.jpg_.webp", "img.alicdn.com/bao/uploaded/i3/O1CN01GHbUGR1dZ5wr9Y8Z9_!!4611686018427387605-0-fleamarket.jpg_790x10000Q90.jpg_.webp")</f>
        <v>img.alicdn.com/bao/uploaded/i3/O1CN01GHbUGR1dZ5wr9Y8Z9_!!4611686018427387605-0-fleamarket.jpg_790x10000Q90.jpg_.webp</v>
      </c>
      <c r="G38"/>
      <c r="H38" s="2" t="str">
        <f>=HYPERLINK("https://www.goofish.com/item?spm=a21ybx.personal.feeds.475.12e16ac2PYxLX9&amp;id=985666559871&amp;categoryId=50023914", "https://www.goofish.com/item?spm=a21ybx.personal.feeds.475.12e16ac2PYxLX9&amp;id=985666559871&amp;categoryId=50023914")</f>
        <v>https://www.goofish.com/item?spm=a21ybx.personal.feeds.475.12e16ac2PYxLX9&amp;id=985666559871&amp;categoryId=50023914</v>
      </c>
      <c r="I38"/>
      <c r="J38"/>
      <c r="K38"/>
      <c r="L38"/>
    </row>
    <row r="39" ht="25.5" customHeight="1">
      <c r="A39" t="inlineStr">
        <is>
          <t>高级感年终工作总结转</t>
        </is>
      </c>
      <c r="B39">
        <v>82</v>
      </c>
      <c r="C39" t="inlineStr">
        <is>
          <t>不好意思! 这个资源丢失了，请等管理员操作~</t>
        </is>
      </c>
      <c r="D39" t="inlineStr">
        <is>
          <t>是</t>
        </is>
      </c>
      <c r="E39" t="inlineStr">
        <is>
          <t>高级感年终工作总结转正述职汇报甘特图逻辑架构数据图表ppt模板
——★24小时自动秒发百度网盘 ★——
——★24小时自动秒发百度网盘 ★——
——★24小时自动秒发百度网盘 ★——
一款218页，不是218款哦亲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39" s="2" t="str">
        <f>=HYPERLINK("http://img.alicdn.com/bao/uploaded/i2/O1CN01fzjgv91dZ5wxmRYjG_!!4611686018427387605-0-fleamarket.jpg_790x10000Q90.jpg_.webp", "img.alicdn.com/bao/uploaded/i2/O1CN01fzjgv91dZ5wxmRYjG_!!4611686018427387605-0-fleamarket.jpg_790x10000Q90.jpg_.webp")</f>
        <v>img.alicdn.com/bao/uploaded/i2/O1CN01fzjgv91dZ5wxmRYjG_!!4611686018427387605-0-fleamarket.jpg_790x10000Q90.jpg_.webp</v>
      </c>
      <c r="G39"/>
      <c r="H39" s="2" t="str">
        <f>=HYPERLINK("https://www.goofish.com/item?spm=a21ybx.personal.feeds.421.12e16ac2PYxLX9&amp;id=989300669579&amp;categoryId=50023914", "https://www.goofish.com/item?spm=a21ybx.personal.feeds.421.12e16ac2PYxLX9&amp;id=989300669579&amp;categoryId=50023914")</f>
        <v>https://www.goofish.com/item?spm=a21ybx.personal.feeds.421.12e16ac2PYxLX9&amp;id=989300669579&amp;categoryId=50023914</v>
      </c>
      <c r="I39"/>
      <c r="J39"/>
      <c r="K39"/>
      <c r="L39"/>
    </row>
    <row r="40" ht="25.5" customHeight="1">
      <c r="A40" t="inlineStr">
        <is>
          <t>屎盆子镶金边PPT模</t>
        </is>
      </c>
      <c r="B40">
        <v>83</v>
      </c>
      <c r="C40" t="inlineStr">
        <is>
          <t>不好意思! 这个资源丢失了，请等管理员操作~</t>
        </is>
      </c>
      <c r="D40" t="inlineStr">
        <is>
          <t>是</t>
        </is>
      </c>
      <c r="E40" t="inlineStr">
        <is>
          <t>屎盆子镶金边PPT模板素材高级感动态快闪创意平滑轮播极简约商务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0" s="2" t="str">
        <f>=HYPERLINK("http://img.alicdn.com/bao/uploaded/i1/O1CN01mNw1wM1dZ5wxmO5rL_!!4611686018427387605-0-fleamarket.jpg_790x10000Q90.jpg_.webp", "img.alicdn.com/bao/uploaded/i1/O1CN01mNw1wM1dZ5wxmO5rL_!!4611686018427387605-0-fleamarket.jpg_790x10000Q90.jpg_.webp")</f>
        <v>img.alicdn.com/bao/uploaded/i1/O1CN01mNw1wM1dZ5wxmO5rL_!!4611686018427387605-0-fleamarket.jpg_790x10000Q90.jpg_.webp</v>
      </c>
      <c r="G40"/>
      <c r="H40" s="2" t="str">
        <f>=HYPERLINK("https://www.goofish.com/item?spm=a21ybx.personal.feeds.427.12e16ac2PYxLX9&amp;id=987781123378&amp;categoryId=50023914", "https://www.goofish.com/item?spm=a21ybx.personal.feeds.427.12e16ac2PYxLX9&amp;id=987781123378&amp;categoryId=50023914")</f>
        <v>https://www.goofish.com/item?spm=a21ybx.personal.feeds.427.12e16ac2PYxLX9&amp;id=987781123378&amp;categoryId=50023914</v>
      </c>
      <c r="I40"/>
      <c r="J40"/>
      <c r="K40"/>
      <c r="L40"/>
    </row>
    <row r="41" ht="25.5" customHeight="1">
      <c r="A41" t="inlineStr">
        <is>
          <t>研究生组会文献汇报P</t>
        </is>
      </c>
      <c r="B41">
        <v>84</v>
      </c>
      <c r="C41" t="inlineStr">
        <is>
          <t>不好意思! 这个资源丢失了，请等管理员操作~</t>
        </is>
      </c>
      <c r="D41" t="inlineStr">
        <is>
          <t>是</t>
        </is>
      </c>
      <c r="E41" t="inlineStr">
        <is>
          <t>研究生组会文献汇报PPT模板解读研究现状英文综述博士后阅读报告
——★24小时自动秒发百度网盘 ★——
——★24小时自动秒发百度网盘 ★——
——★24小时自动秒发百度网盘 ★——
33套PPT组会文献汇报 硕士博士 中文英文 学术汇报 框架完整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1" s="2" t="str">
        <f>=HYPERLINK("http://img.alicdn.com/bao/uploaded/i2/O1CN01aDqa5E1dZ5x0uC6nh_!!4611686018427387605-0-fleamarket.jpg_790x10000Q90.jpg_.webp", "img.alicdn.com/bao/uploaded/i2/O1CN01aDqa5E1dZ5x0uC6nh_!!4611686018427387605-0-fleamarket.jpg_790x10000Q90.jpg_.webp")</f>
        <v>img.alicdn.com/bao/uploaded/i2/O1CN01aDqa5E1dZ5x0uC6nh_!!4611686018427387605-0-fleamarket.jpg_790x10000Q90.jpg_.webp</v>
      </c>
      <c r="G41"/>
      <c r="H41" s="2" t="str">
        <f>=HYPERLINK("https://www.goofish.com/item?spm=a21ybx.personal.feeds.392.12e16ac2PYxLX9&amp;id=989296162241&amp;categoryId=50023914", "https://www.goofish.com/item?spm=a21ybx.personal.feeds.392.12e16ac2PYxLX9&amp;id=989296162241&amp;categoryId=50023914")</f>
        <v>https://www.goofish.com/item?spm=a21ybx.personal.feeds.392.12e16ac2PYxLX9&amp;id=989296162241&amp;categoryId=50023914</v>
      </c>
      <c r="I41"/>
      <c r="J41"/>
      <c r="K41"/>
      <c r="L41"/>
    </row>
    <row r="42" ht="25.5" customHeight="1">
      <c r="A42" t="inlineStr">
        <is>
          <t>世界全国职业院校技能</t>
        </is>
      </c>
      <c r="B42">
        <v>85</v>
      </c>
      <c r="C42" t="inlineStr">
        <is>
          <t>不好意思! 这个资源丢失了，请等管理员操作~</t>
        </is>
      </c>
      <c r="D42" t="inlineStr">
        <is>
          <t>是</t>
        </is>
      </c>
      <c r="E42" t="inlineStr">
        <is>
          <t>世界全国职业院校技能大赛PPT模板资料逐字稿全赛道高级感可编辑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2" s="2" t="str">
        <f>=HYPERLINK("http://img.alicdn.com/bao/uploaded/i1/O1CN01TUaGZb1dZ5wq1dPl4_!!4611686018427387605-0-fleamarket.jpg_790x10000Q90.jpg_.webp", "img.alicdn.com/bao/uploaded/i1/O1CN01TUaGZb1dZ5wq1dPl4_!!4611686018427387605-0-fleamarket.jpg_790x10000Q90.jpg_.webp")</f>
        <v>img.alicdn.com/bao/uploaded/i1/O1CN01TUaGZb1dZ5wq1dPl4_!!4611686018427387605-0-fleamarket.jpg_790x10000Q90.jpg_.webp</v>
      </c>
      <c r="G42"/>
      <c r="H42" s="2" t="str">
        <f>=HYPERLINK("https://www.goofish.com/item?spm=a21ybx.personal.feeds.477.12e16ac2PYxLX9&amp;id=987649944333&amp;categoryId=50023914", "https://www.goofish.com/item?spm=a21ybx.personal.feeds.477.12e16ac2PYxLX9&amp;id=987649944333&amp;categoryId=50023914")</f>
        <v>https://www.goofish.com/item?spm=a21ybx.personal.feeds.477.12e16ac2PYxLX9&amp;id=987649944333&amp;categoryId=50023914</v>
      </c>
      <c r="I42"/>
      <c r="J42"/>
      <c r="K42"/>
      <c r="L42"/>
    </row>
    <row r="43" ht="25.5" customHeight="1">
      <c r="A43" t="inlineStr">
        <is>
          <t>excel高级可视化</t>
        </is>
      </c>
      <c r="B43">
        <v>86</v>
      </c>
      <c r="C43" t="inlineStr">
        <is>
          <t>不好意思! 这个资源丢失了，请等管理员操作~</t>
        </is>
      </c>
      <c r="D43" t="inlineStr">
        <is>
          <t>是</t>
        </is>
      </c>
      <c r="E43" t="inlineStr">
        <is>
          <t>excel高级可视化大屏数据分析图表模版PPT动态销售财务看板柱状图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3" s="2" t="str">
        <f>=HYPERLINK("http://img.alicdn.com/bao/uploaded/i2/O1CN01JO1zmS1dZ5wxos4Yf_!!4611686018427387605-0-fleamarket.jpg_790x10000Q90.jpg_.webp", "img.alicdn.com/bao/uploaded/i2/O1CN01JO1zmS1dZ5wxos4Yf_!!4611686018427387605-0-fleamarket.jpg_790x10000Q90.jpg_.webp")</f>
        <v>img.alicdn.com/bao/uploaded/i2/O1CN01JO1zmS1dZ5wxos4Yf_!!4611686018427387605-0-fleamarket.jpg_790x10000Q90.jpg_.webp</v>
      </c>
      <c r="G43"/>
      <c r="H43" s="2" t="str">
        <f>=HYPERLINK("https://www.goofish.com/item?spm=a21ybx.personal.feeds.409.12e16ac2PYxLX9&amp;id=989312953171&amp;categoryId=50023914", "https://www.goofish.com/item?spm=a21ybx.personal.feeds.409.12e16ac2PYxLX9&amp;id=989312953171&amp;categoryId=50023914")</f>
        <v>https://www.goofish.com/item?spm=a21ybx.personal.feeds.409.12e16ac2PYxLX9&amp;id=989312953171&amp;categoryId=50023914</v>
      </c>
      <c r="I43"/>
      <c r="J43"/>
      <c r="K43"/>
      <c r="L43"/>
    </row>
    <row r="44" ht="25.5" customHeight="1">
      <c r="A44" t="inlineStr">
        <is>
          <t>创赛PPT模板创新创</t>
        </is>
      </c>
      <c r="B44">
        <v>87</v>
      </c>
      <c r="C44" t="inlineStr">
        <is>
          <t>不好意思! 这个资源丢失了，请等管理员操作~</t>
        </is>
      </c>
      <c r="D44" t="inlineStr">
        <is>
          <t>是</t>
        </is>
      </c>
      <c r="E44" t="inlineStr">
        <is>
          <t>创赛PPT模板创新创业大赛三创赛互联网加挑战杯绿色蓝色非遗科技
——★24小时自动秒发百度网盘 ★——
拍下全发带内容！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t>
        </is>
      </c>
      <c r="F44" s="2" t="str">
        <f>=HYPERLINK("http://img.alicdn.com/bao/uploaded/i4/O1CN01Q63Ezx1dZ5wFvlkgn_!!4611686018427387605-0-fleamarket.jpg_790x10000Q90.jpg_.webp", "img.alicdn.com/bao/uploaded/i4/O1CN01Q63Ezx1dZ5wFvlkgn_!!4611686018427387605-0-fleamarket.jpg_790x10000Q90.jpg_.webp")</f>
        <v>img.alicdn.com/bao/uploaded/i4/O1CN01Q63Ezx1dZ5wFvlkgn_!!4611686018427387605-0-fleamarket.jpg_790x10000Q90.jpg_.webp</v>
      </c>
      <c r="G44"/>
      <c r="H44" s="2" t="str">
        <f>=HYPERLINK("https://www.goofish.com/item?spm=a21ybx.personal.feeds.275.12e16ac2PYxLX9&amp;id=973239537314&amp;categoryId=201664707", "https://www.goofish.com/item?spm=a21ybx.personal.feeds.275.12e16ac2PYxLX9&amp;id=973239537314&amp;categoryId=201664707")</f>
        <v>https://www.goofish.com/item?spm=a21ybx.personal.feeds.275.12e16ac2PYxLX9&amp;id=973239537314&amp;categoryId=201664707</v>
      </c>
      <c r="I44"/>
      <c r="J44"/>
      <c r="K44"/>
      <c r="L44"/>
    </row>
    <row r="45" ht="25.5" customHeight="1">
      <c r="A45" t="inlineStr">
        <is>
          <t>读书分享ppt成品模</t>
        </is>
      </c>
      <c r="B45">
        <v>88</v>
      </c>
      <c r="C45" t="inlineStr">
        <is>
          <t>不好意思! 这个资源丢失了，请等管理员操作~</t>
        </is>
      </c>
      <c r="D45" t="inlineStr">
        <is>
          <t>是</t>
        </is>
      </c>
      <c r="E45" t="inlineStr">
        <is>
          <t>读书分享ppt成品模板名著诗词带讲稿教师学生读后感课外好书推荐
——★24小时自动秒发百度网盘 ★——
——★24小时自动秒发百度网盘 ★——
——★24小时自动秒发百度网盘 ★——
4800套读书分享PPT 教师读书 世界读书日 诗词名著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5" s="2" t="str">
        <f>=HYPERLINK("http://img.alicdn.com/bao/uploaded/i2/O1CN01lAIKG01dZ5x1etfQr_!!4611686018427387605-0-fleamarket.jpg_790x10000Q90.jpg_.webp", "img.alicdn.com/bao/uploaded/i2/O1CN01lAIKG01dZ5x1etfQr_!!4611686018427387605-0-fleamarket.jpg_790x10000Q90.jpg_.webp")</f>
        <v>img.alicdn.com/bao/uploaded/i2/O1CN01lAIKG01dZ5x1etfQr_!!4611686018427387605-0-fleamarket.jpg_790x10000Q90.jpg_.webp</v>
      </c>
      <c r="G45"/>
      <c r="H45" s="2" t="str">
        <f>=HYPERLINK("https://www.goofish.com/item?spm=a21ybx.personal.feeds.379.12e16ac2PYxLX9&amp;id=991214376436&amp;categoryId=50023914", "https://www.goofish.com/item?spm=a21ybx.personal.feeds.379.12e16ac2PYxLX9&amp;id=991214376436&amp;categoryId=50023914")</f>
        <v>https://www.goofish.com/item?spm=a21ybx.personal.feeds.379.12e16ac2PYxLX9&amp;id=991214376436&amp;categoryId=50023914</v>
      </c>
      <c r="I45"/>
      <c r="J45"/>
      <c r="K45"/>
      <c r="L45"/>
    </row>
    <row r="46" ht="25.5" customHeight="1">
      <c r="A46" t="inlineStr">
        <is>
          <t>ppt科研绘图素材材</t>
        </is>
      </c>
      <c r="B46">
        <v>89</v>
      </c>
      <c r="C46" t="inlineStr">
        <is>
          <t>不好意思! 这个资源丢失了，请等管理员操作~</t>
        </is>
      </c>
      <c r="D46" t="inlineStr">
        <is>
          <t>是</t>
        </is>
      </c>
      <c r="E46" t="inlineStr">
        <is>
          <t>ppt科研绘图素材材料实验仪器设备化学生物流程图片SCI器官细胞AI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6" s="2" t="str">
        <f>=HYPERLINK("http://img.alicdn.com/bao/uploaded/i1/O1CN01bVhU2t1dZ5woY9rgd_!!4611686018427387605-0-fleamarket.jpg_790x10000Q90.jpg_.webp", "img.alicdn.com/bao/uploaded/i1/O1CN01bVhU2t1dZ5woY9rgd_!!4611686018427387605-0-fleamarket.jpg_790x10000Q90.jpg_.webp")</f>
        <v>img.alicdn.com/bao/uploaded/i1/O1CN01bVhU2t1dZ5woY9rgd_!!4611686018427387605-0-fleamarket.jpg_790x10000Q90.jpg_.webp</v>
      </c>
      <c r="G46"/>
      <c r="H46" s="2" t="str">
        <f>=HYPERLINK("https://www.goofish.com/item?spm=a21ybx.personal.feeds.487.12e16ac2PYxLX9&amp;id=986229413477&amp;categoryId=50023914", "https://www.goofish.com/item?spm=a21ybx.personal.feeds.487.12e16ac2PYxLX9&amp;id=986229413477&amp;categoryId=50023914")</f>
        <v>https://www.goofish.com/item?spm=a21ybx.personal.feeds.487.12e16ac2PYxLX9&amp;id=986229413477&amp;categoryId=50023914</v>
      </c>
      <c r="I46"/>
      <c r="J46"/>
      <c r="K46"/>
      <c r="L46"/>
    </row>
    <row r="47" ht="25.5" customHeight="1">
      <c r="A47" t="inlineStr">
        <is>
          <t>全国赛教学能力大赛实</t>
        </is>
      </c>
      <c r="B47">
        <v>90</v>
      </c>
      <c r="C47" t="inlineStr">
        <is>
          <t>不好意思! 这个资源丢失了，请等管理员操作~</t>
        </is>
      </c>
      <c r="D47" t="inlineStr">
        <is>
          <t>是</t>
        </is>
      </c>
      <c r="E47" t="inlineStr">
        <is>
          <t>全国赛教学能力大赛实施报告PPT模板十二图汇报配图职业院校技能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7" s="2" t="str">
        <f>=HYPERLINK("http://img.alicdn.com/bao/uploaded/i3/O1CN01CQpTko1dZ5wuPT7GU_!!4611686018427387605-0-fleamarket.jpg_790x10000Q90.jpg_.webp", "img.alicdn.com/bao/uploaded/i3/O1CN01CQpTko1dZ5wuPT7GU_!!4611686018427387605-0-fleamarket.jpg_790x10000Q90.jpg_.webp")</f>
        <v>img.alicdn.com/bao/uploaded/i3/O1CN01CQpTko1dZ5wuPT7GU_!!4611686018427387605-0-fleamarket.jpg_790x10000Q90.jpg_.webp</v>
      </c>
      <c r="G47"/>
      <c r="H47" s="2" t="str">
        <f>=HYPERLINK("https://www.goofish.com/item?spm=a21ybx.personal.feeds.443.12e16ac2PYxLX9&amp;id=987346986432&amp;categoryId=50023914", "https://www.goofish.com/item?spm=a21ybx.personal.feeds.443.12e16ac2PYxLX9&amp;id=987346986432&amp;categoryId=50023914")</f>
        <v>https://www.goofish.com/item?spm=a21ybx.personal.feeds.443.12e16ac2PYxLX9&amp;id=987346986432&amp;categoryId=50023914</v>
      </c>
      <c r="I47"/>
      <c r="J47"/>
      <c r="K47"/>
      <c r="L47"/>
    </row>
    <row r="48" ht="25.5" customHeight="1">
      <c r="A48" t="inlineStr">
        <is>
          <t>非遗文化PPT模板成</t>
        </is>
      </c>
      <c r="B48">
        <v>91</v>
      </c>
      <c r="C48" t="inlineStr">
        <is>
          <t>不好意思! 这个资源丢失了，请等管理员操作~</t>
        </is>
      </c>
      <c r="D48" t="inlineStr">
        <is>
          <t>是</t>
        </is>
      </c>
      <c r="E48" t="inlineStr">
        <is>
          <t>非遗文化PPT模板成品课件保护项目知识宣传中国传统元素带内容ppt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8" s="2" t="str">
        <f>=HYPERLINK("http://img.alicdn.com/bao/uploaded/i3/O1CN011Na5nO1dZ5xEIJogw_!!4611686018427387605-0-fleamarket.jpg_790x10000Q90.jpg_.webp", "img.alicdn.com/bao/uploaded/i3/O1CN011Na5nO1dZ5xEIJogw_!!4611686018427387605-0-fleamarket.jpg_790x10000Q90.jpg_.webp")</f>
        <v>img.alicdn.com/bao/uploaded/i3/O1CN011Na5nO1dZ5xEIJogw_!!4611686018427387605-0-fleamarket.jpg_790x10000Q90.jpg_.webp</v>
      </c>
      <c r="G48"/>
      <c r="H48" s="2" t="str">
        <f>=HYPERLINK("https://www.goofish.com/item?spm=a21ybx.personal.feeds.205.12e16ac2PYxLX9&amp;id=992755850412&amp;categoryId=50023914", "https://www.goofish.com/item?spm=a21ybx.personal.feeds.205.12e16ac2PYxLX9&amp;id=992755850412&amp;categoryId=50023914")</f>
        <v>https://www.goofish.com/item?spm=a21ybx.personal.feeds.205.12e16ac2PYxLX9&amp;id=992755850412&amp;categoryId=50023914</v>
      </c>
      <c r="I48"/>
      <c r="J48"/>
      <c r="K48"/>
      <c r="L48"/>
    </row>
    <row r="49" ht="25.5" customHeight="1">
      <c r="A49" t="inlineStr">
        <is>
          <t>旅游宣传PPT模板出</t>
        </is>
      </c>
      <c r="B49">
        <v>92</v>
      </c>
      <c r="C49" t="inlineStr">
        <is>
          <t>不好意思! 这个资源丢失了，请等管理员操作~</t>
        </is>
      </c>
      <c r="D49" t="inlineStr">
        <is>
          <t>是</t>
        </is>
      </c>
      <c r="E49" t="inlineStr">
        <is>
          <t>旅游宣传PPT模板出行攻略旅行画册城市介绍景点文旅推广简约风格
——★24小时自动秒发百度网盘 ★——
——★24小时自动秒发百度网盘 ★——
——★24小时自动秒发百度网盘 ★——
精选118套旅游宣传PPT 城市介绍 规划攻略 景点宣传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49" s="2" t="str">
        <f>=HYPERLINK("http://img.alicdn.com/bao/uploaded/i3/O1CN011BoLn11dZ5x7866PT_!!4611686018427387605-0-fleamarket.jpg_790x10000Q90.jpg_.webp", "img.alicdn.com/bao/uploaded/i3/O1CN011BoLn11dZ5x7866PT_!!4611686018427387605-0-fleamarket.jpg_790x10000Q90.jpg_.webp")</f>
        <v>img.alicdn.com/bao/uploaded/i3/O1CN011BoLn11dZ5x7866PT_!!4611686018427387605-0-fleamarket.jpg_790x10000Q90.jpg_.webp</v>
      </c>
      <c r="G49"/>
      <c r="H49" s="2" t="str">
        <f>=HYPERLINK("https://www.goofish.com/item?spm=a21ybx.personal.feeds.336.12e16ac2PYxLX9&amp;id=992134284696&amp;categoryId=50023914", "https://www.goofish.com/item?spm=a21ybx.personal.feeds.336.12e16ac2PYxLX9&amp;id=992134284696&amp;categoryId=50023914")</f>
        <v>https://www.goofish.com/item?spm=a21ybx.personal.feeds.336.12e16ac2PYxLX9&amp;id=992134284696&amp;categoryId=50023914</v>
      </c>
      <c r="I49"/>
      <c r="J49"/>
      <c r="K49"/>
      <c r="L49"/>
    </row>
    <row r="50" ht="25.5" customHeight="1">
      <c r="A50" t="inlineStr">
        <is>
          <t>爱国主题诗歌朗诵演讲</t>
        </is>
      </c>
      <c r="B50">
        <v>93</v>
      </c>
      <c r="C50" t="inlineStr">
        <is>
          <t>不好意思! 这个资源丢失了，请等管理员操作~</t>
        </is>
      </c>
      <c r="D50" t="inlineStr">
        <is>
          <t>是</t>
        </is>
      </c>
      <c r="E50" t="inlineStr">
        <is>
          <t>爱国主题诗歌朗诵演讲比赛晚会舞台演出红歌led高清背景视频素材
——★24小时自动秒发百度网盘 ★——
——★24小时自动秒发百度网盘 ★——
——★24小时自动秒发百度网盘 ★——
演讲/朗诵视频合集
部分是:示范版(有人声)+配乐版(纯音乐)+MP3音乐+词稿
我们是高清像素!1920X1080!
像素很高!几米宽的显示屏也可使用!
全为MP4格式，均带伴奏视频，时长1-15分钟不等
218个背景视频全发您，很全!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0" s="2" t="str">
        <f>=HYPERLINK("http://img.alicdn.com/bao/uploaded/i1/O1CN01JZPG4i1dZ5wkU7eRp_!!4611686018427387605-0-fleamarket.jpg_790x10000Q90.jpg_.webp", "img.alicdn.com/bao/uploaded/i1/O1CN01JZPG4i1dZ5wkU7eRp_!!4611686018427387605-0-fleamarket.jpg_790x10000Q90.jpg_.webp")</f>
        <v>img.alicdn.com/bao/uploaded/i1/O1CN01JZPG4i1dZ5wkU7eRp_!!4611686018427387605-0-fleamarket.jpg_790x10000Q90.jpg_.webp</v>
      </c>
      <c r="G50"/>
      <c r="H50" s="2" t="str">
        <f>=HYPERLINK("https://www.goofish.com/item?spm=a21ybx.personal.feeds.498.12e16ac2PYxLX9&amp;id=985529520678&amp;categoryId=50023914", "https://www.goofish.com/item?spm=a21ybx.personal.feeds.498.12e16ac2PYxLX9&amp;id=985529520678&amp;categoryId=50023914")</f>
        <v>https://www.goofish.com/item?spm=a21ybx.personal.feeds.498.12e16ac2PYxLX9&amp;id=985529520678&amp;categoryId=50023914</v>
      </c>
      <c r="I50"/>
      <c r="J50"/>
      <c r="K50"/>
      <c r="L50"/>
    </row>
    <row r="51" ht="25.5" customHeight="1">
      <c r="A51" t="inlineStr">
        <is>
          <t>2026年带农历丙午</t>
        </is>
      </c>
      <c r="B51">
        <v>94</v>
      </c>
      <c r="C51" t="inlineStr">
        <is>
          <t>不好意思! 这个资源丢失了，请等管理员操作~</t>
        </is>
      </c>
      <c r="D51" t="inlineStr">
        <is>
          <t>是</t>
        </is>
      </c>
      <c r="E51" t="inlineStr">
        <is>
          <t>2026年带农历丙午年【马年】日历电子版文件素材高清可编辑excel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1" s="2" t="str">
        <f>=HYPERLINK("http://img.alicdn.com/bao/uploaded/i2/O1CN01Mz388x1dZ5x3GgWrX_!!4611686018427387605-0-fleamarket.jpg_790x10000Q90.jpg_.webp", "img.alicdn.com/bao/uploaded/i2/O1CN01Mz388x1dZ5x3GgWrX_!!4611686018427387605-0-fleamarket.jpg_790x10000Q90.jpg_.webp")</f>
        <v>img.alicdn.com/bao/uploaded/i2/O1CN01Mz388x1dZ5x3GgWrX_!!4611686018427387605-0-fleamarket.jpg_790x10000Q90.jpg_.webp</v>
      </c>
      <c r="G51"/>
      <c r="H51" s="2" t="str">
        <f>=HYPERLINK("https://www.goofish.com/item?spm=a21ybx.personal.feeds.358.12e16ac2PYxLX9&amp;id=991552412013&amp;categoryId=50023914", "https://www.goofish.com/item?spm=a21ybx.personal.feeds.358.12e16ac2PYxLX9&amp;id=991552412013&amp;categoryId=50023914")</f>
        <v>https://www.goofish.com/item?spm=a21ybx.personal.feeds.358.12e16ac2PYxLX9&amp;id=991552412013&amp;categoryId=50023914</v>
      </c>
      <c r="I51"/>
      <c r="J51"/>
      <c r="K51"/>
      <c r="L51"/>
    </row>
    <row r="52" ht="25.5" customHeight="1">
      <c r="A52" t="inlineStr">
        <is>
          <t>疯狂动物城PPT模板</t>
        </is>
      </c>
      <c r="B52">
        <v>95</v>
      </c>
      <c r="C52" t="inlineStr">
        <is>
          <t>不好意思! 这个资源丢失了，请等管理员操作~</t>
        </is>
      </c>
      <c r="D52" t="inlineStr">
        <is>
          <t>是</t>
        </is>
      </c>
      <c r="E52" t="inlineStr">
        <is>
          <t>疯狂动物城PPT模板影视介绍赏析推荐创意角色素材班会课件中英文
——★24小时自动秒发百度网盘 ★——
——★24小时自动秒发百度网盘 ★——
——★24小时自动秒发百度网盘 ★——
10套PPT疯狂动物城
影视介绍 电影赏析 主题班会 图片素材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2" s="2" t="str">
        <f>=HYPERLINK("http://img.alicdn.com/bao/uploaded/i2/O1CN01E6FcQF1dZ5xX0xSC0_!!4611686018427387605-0-fleamarket.jpg_790x10000Q90.jpg_.webp", "img.alicdn.com/bao/uploaded/i2/O1CN01E6FcQF1dZ5xX0xSC0_!!4611686018427387605-0-fleamarket.jpg_790x10000Q90.jpg_.webp")</f>
        <v>img.alicdn.com/bao/uploaded/i2/O1CN01E6FcQF1dZ5xX0xSC0_!!4611686018427387605-0-fleamarket.jpg_790x10000Q90.jpg_.webp</v>
      </c>
      <c r="G52"/>
      <c r="H52" s="2" t="str">
        <f>=HYPERLINK("https://www.goofish.com/item?spm=a21ybx.personal.feeds.32.12e16ac2PYxLX9&amp;id=999137226968&amp;categoryId=50023914", "https://www.goofish.com/item?spm=a21ybx.personal.feeds.32.12e16ac2PYxLX9&amp;id=999137226968&amp;categoryId=50023914")</f>
        <v>https://www.goofish.com/item?spm=a21ybx.personal.feeds.32.12e16ac2PYxLX9&amp;id=999137226968&amp;categoryId=50023914</v>
      </c>
      <c r="I52"/>
      <c r="J52"/>
      <c r="K52"/>
      <c r="L52"/>
    </row>
    <row r="53" ht="25.5" customHeight="1">
      <c r="A53" t="inlineStr">
        <is>
          <t>儿童绘本故事PPT电</t>
        </is>
      </c>
      <c r="B53">
        <v>96</v>
      </c>
      <c r="C53" t="inlineStr">
        <is>
          <t>【超级会员V1】通过百度网盘分享的文件：故事绘本
链接:https://pan.baidu.com/s/1YZDBBU0V2kNIiDzpLSDv8w 
提取码:2nao
复制这段内容打开「百度网盘APP 即可获取」</t>
        </is>
      </c>
      <c r="D53" t="inlineStr">
        <is>
          <t>是</t>
        </is>
      </c>
      <c r="E53" t="inlineStr">
        <is>
          <t>儿童绘本故事PPT电子版幼儿园小学早教大中小班英语阅读课件教案
——★24小时自动秒发百度网盘 ★——
——★24小时自动秒发百度网盘 ★——
——★24小时自动秒发百度网盘 ★——
8900套儿童故事绘本 PPT+教案+绘本+动画
小班/中班/大班/小学绘本 今年新款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3" s="2" t="str">
        <f>=HYPERLINK("http://img.alicdn.com/bao/uploaded/i3/O1CN01IO6yEj1dZ5wyD6qmm_!!4611686018427387605-0-fleamarket.jpg_790x10000Q90.jpg_.webp", "img.alicdn.com/bao/uploaded/i3/O1CN01IO6yEj1dZ5wyD6qmm_!!4611686018427387605-0-fleamarket.jpg_790x10000Q90.jpg_.webp")</f>
        <v>img.alicdn.com/bao/uploaded/i3/O1CN01IO6yEj1dZ5wyD6qmm_!!4611686018427387605-0-fleamarket.jpg_790x10000Q90.jpg_.webp</v>
      </c>
      <c r="G53"/>
      <c r="H53" s="2" t="str">
        <f>=HYPERLINK("https://www.goofish.com/item?spm=a21ybx.personal.feeds.346.12e16ac2PYxLX9&amp;id=990876161430&amp;categoryId=50023914", "https://www.goofish.com/item?spm=a21ybx.personal.feeds.346.12e16ac2PYxLX9&amp;id=990876161430&amp;categoryId=50023914")</f>
        <v>https://www.goofish.com/item?spm=a21ybx.personal.feeds.346.12e16ac2PYxLX9&amp;id=990876161430&amp;categoryId=50023914</v>
      </c>
      <c r="I53"/>
      <c r="J53"/>
      <c r="K53"/>
      <c r="L53"/>
    </row>
    <row r="54" ht="25.5" customHeight="1">
      <c r="A54" t="inlineStr">
        <is>
          <t>大学生个人职业生涯规</t>
        </is>
      </c>
      <c r="B54">
        <v>97</v>
      </c>
      <c r="C54" t="inlineStr">
        <is>
          <t>不好意思! 这个资源丢失了，请等管理员操作~</t>
        </is>
      </c>
      <c r="D54" t="inlineStr">
        <is>
          <t>是</t>
        </is>
      </c>
      <c r="E54" t="inlineStr">
        <is>
          <t>大学生个人职业生涯规划书简约就业指导求职工作计划通用ppt模板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4" s="2" t="str">
        <f>=HYPERLINK("http://img.alicdn.com/bao/uploaded/i3/O1CN01xkkmvq1dZ5x8bNJ3Q_!!4611686018427387605-0-fleamarket.jpg_790x10000Q90.jpg_.webp", "img.alicdn.com/bao/uploaded/i3/O1CN01xkkmvq1dZ5x8bNJ3Q_!!4611686018427387605-0-fleamarket.jpg_790x10000Q90.jpg_.webp")</f>
        <v>img.alicdn.com/bao/uploaded/i3/O1CN01xkkmvq1dZ5x8bNJ3Q_!!4611686018427387605-0-fleamarket.jpg_790x10000Q90.jpg_.webp</v>
      </c>
      <c r="G54"/>
      <c r="H54" s="2" t="str">
        <f>=HYPERLINK("https://www.goofish.com/item?spm=a21ybx.personal.feeds.319.12e16ac2PYxLX9&amp;id=991146598294&amp;categoryId=50023914", "https://www.goofish.com/item?spm=a21ybx.personal.feeds.319.12e16ac2PYxLX9&amp;id=991146598294&amp;categoryId=50023914")</f>
        <v>https://www.goofish.com/item?spm=a21ybx.personal.feeds.319.12e16ac2PYxLX9&amp;id=991146598294&amp;categoryId=50023914</v>
      </c>
      <c r="I54"/>
      <c r="J54"/>
      <c r="K54"/>
      <c r="L54"/>
    </row>
    <row r="55" ht="25.5" customHeight="1">
      <c r="A55" t="inlineStr">
        <is>
          <t>创赛PPT模板专用字</t>
        </is>
      </c>
      <c r="B55">
        <v>98</v>
      </c>
      <c r="C55" t="inlineStr">
        <is>
          <t>不好意思! 这个资源丢失了，请等管理员操作~</t>
        </is>
      </c>
      <c r="D55" t="inlineStr">
        <is>
          <t>是</t>
        </is>
      </c>
      <c r="E55" t="inlineStr">
        <is>
          <t>创赛PPT模板专用字体包封面高级三创赛新创业大赛互联网加挑战杯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5" s="2" t="str">
        <f>=HYPERLINK("http://img.alicdn.com/bao/uploaded/i1/O1CN01Md3B5Q1dZ5x3NSLRI_!!4611686018427387605-0-fleamarket.jpg_790x10000Q90.jpg_.webp", "img.alicdn.com/bao/uploaded/i1/O1CN01Md3B5Q1dZ5x3NSLRI_!!4611686018427387605-0-fleamarket.jpg_790x10000Q90.jpg_.webp")</f>
        <v>img.alicdn.com/bao/uploaded/i1/O1CN01Md3B5Q1dZ5x3NSLRI_!!4611686018427387605-0-fleamarket.jpg_790x10000Q90.jpg_.webp</v>
      </c>
      <c r="G55"/>
      <c r="H55" s="2" t="str">
        <f>=HYPERLINK("https://www.goofish.com/item?spm=a21ybx.personal.feeds.364.12e16ac2PYxLX9&amp;id=990592765264&amp;categoryId=50023914", "https://www.goofish.com/item?spm=a21ybx.personal.feeds.364.12e16ac2PYxLX9&amp;id=990592765264&amp;categoryId=50023914")</f>
        <v>https://www.goofish.com/item?spm=a21ybx.personal.feeds.364.12e16ac2PYxLX9&amp;id=990592765264&amp;categoryId=50023914</v>
      </c>
      <c r="I55"/>
      <c r="J55"/>
      <c r="K55"/>
      <c r="L55"/>
    </row>
    <row r="56" ht="25.5" customHeight="1">
      <c r="A56" t="inlineStr">
        <is>
          <t>教学能力大赛PPT比</t>
        </is>
      </c>
      <c r="B56">
        <v>99</v>
      </c>
      <c r="C56" t="inlineStr">
        <is>
          <t>不好意思! 这个资源丢失了，请等管理员操作~</t>
        </is>
      </c>
      <c r="D56" t="inlineStr">
        <is>
          <t>是</t>
        </is>
      </c>
      <c r="E56" t="inlineStr">
        <is>
          <t>教学能力大赛PPT比赛说课实施报告创新教学设计架构全国职业院校
——★24小时自动秒发百度网盘 ★——
——★24小时自动秒发百度网盘 ★——
——★24小时自动秒发百度网盘 ★——
16套PPT教学能力大赛 老师和评委都喜欢看的汇报PPT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6" s="2" t="str">
        <f>=HYPERLINK("http://img.alicdn.com/bao/uploaded/i1/O1CN011zfU051dZ5x0mz91t_!!4611686018427387605-0-fleamarket.jpg_790x10000Q90.jpg_.webp", "img.alicdn.com/bao/uploaded/i1/O1CN011zfU051dZ5x0mz91t_!!4611686018427387605-0-fleamarket.jpg_790x10000Q90.jpg_.webp")</f>
        <v>img.alicdn.com/bao/uploaded/i1/O1CN011zfU051dZ5x0mz91t_!!4611686018427387605-0-fleamarket.jpg_790x10000Q90.jpg_.webp</v>
      </c>
      <c r="G56"/>
      <c r="H56" s="2" t="str">
        <f>=HYPERLINK("https://www.goofish.com/item?spm=a21ybx.personal.feeds.391.12e16ac2PYxLX9&amp;id=990051145288&amp;categoryId=50023914", "https://www.goofish.com/item?spm=a21ybx.personal.feeds.391.12e16ac2PYxLX9&amp;id=990051145288&amp;categoryId=50023914")</f>
        <v>https://www.goofish.com/item?spm=a21ybx.personal.feeds.391.12e16ac2PYxLX9&amp;id=990051145288&amp;categoryId=50023914</v>
      </c>
      <c r="I56"/>
      <c r="J56"/>
      <c r="K56"/>
      <c r="L56"/>
    </row>
    <row r="57" ht="25.5" customHeight="1">
      <c r="A57" t="inlineStr">
        <is>
          <t>幼儿园讲故事PPT成</t>
        </is>
      </c>
      <c r="B57">
        <v>100</v>
      </c>
      <c r="C57" t="inlineStr">
        <is>
          <t>不好意思! 这个资源丢失了，请等管理员操作~</t>
        </is>
      </c>
      <c r="D57" t="inlineStr">
        <is>
          <t>是</t>
        </is>
      </c>
      <c r="E57" t="inlineStr">
        <is>
          <t>幼儿园讲故事PPT成品含内容幼儿园老师家长进课堂故事资料素材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7" s="2" t="str">
        <f>=HYPERLINK("http://img.alicdn.com/bao/uploaded/i4/O1CN01rguB5z1dZ5wuqVvzZ_!!4611686018427387605-0-fleamarket.jpg_790x10000Q90.jpg_.webp", "img.alicdn.com/bao/uploaded/i4/O1CN01rguB5z1dZ5wuqVvzZ_!!4611686018427387605-0-fleamarket.jpg_790x10000Q90.jpg_.webp")</f>
        <v>img.alicdn.com/bao/uploaded/i4/O1CN01rguB5z1dZ5wuqVvzZ_!!4611686018427387605-0-fleamarket.jpg_790x10000Q90.jpg_.webp</v>
      </c>
      <c r="G57"/>
      <c r="H57" s="2" t="str">
        <f>=HYPERLINK("https://www.goofish.com/item?spm=a21ybx.personal.feeds.451.12e16ac2PYxLX9&amp;id=986798451751&amp;categoryId=50023914", "https://www.goofish.com/item?spm=a21ybx.personal.feeds.451.12e16ac2PYxLX9&amp;id=986798451751&amp;categoryId=50023914")</f>
        <v>https://www.goofish.com/item?spm=a21ybx.personal.feeds.451.12e16ac2PYxLX9&amp;id=986798451751&amp;categoryId=50023914</v>
      </c>
      <c r="I57"/>
      <c r="J57"/>
      <c r="K57"/>
      <c r="L57"/>
    </row>
    <row r="58" ht="25.5" customHeight="1">
      <c r="A58" t="inlineStr">
        <is>
          <t>教师课堂放松神器抽奖</t>
        </is>
      </c>
      <c r="B58">
        <v>101</v>
      </c>
      <c r="C58" t="inlineStr">
        <is>
          <t>不好意思! 这个资源丢失了，请等管理员操作~</t>
        </is>
      </c>
      <c r="D58" t="inlineStr">
        <is>
          <t>是</t>
        </is>
      </c>
      <c r="E58" t="inlineStr">
        <is>
          <t>教师课堂放松神器抽奖红包PPT模板砸金蛋转盘趣味互动游戏课件wps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8" s="2" t="str">
        <f>=HYPERLINK("http://img.alicdn.com/bao/uploaded/i1/O1CN01z80CQn1dZ5wup0fwo_!!4611686018427387605-2-fleamarket.png_790x10000.jpg_.webp", "img.alicdn.com/bao/uploaded/i1/O1CN01z80CQn1dZ5wup0fwo_!!4611686018427387605-2-fleamarket.png_790x10000.jpg_.webp")</f>
        <v>img.alicdn.com/bao/uploaded/i1/O1CN01z80CQn1dZ5wup0fwo_!!4611686018427387605-2-fleamarket.png_790x10000.jpg_.webp</v>
      </c>
      <c r="G58"/>
      <c r="H58" s="2" t="str">
        <f>=HYPERLINK("https://www.goofish.com/item?spm=a21ybx.personal.feeds.448.12e16ac2PYxLX9&amp;id=988784320838&amp;categoryId=50023914", "https://www.goofish.com/item?spm=a21ybx.personal.feeds.448.12e16ac2PYxLX9&amp;id=988784320838&amp;categoryId=50023914")</f>
        <v>https://www.goofish.com/item?spm=a21ybx.personal.feeds.448.12e16ac2PYxLX9&amp;id=988784320838&amp;categoryId=50023914</v>
      </c>
      <c r="I58"/>
      <c r="J58"/>
      <c r="K58"/>
      <c r="L58"/>
    </row>
    <row r="59" ht="25.5" customHeight="1">
      <c r="A59" t="inlineStr">
        <is>
          <t>红色大气简约励志商务</t>
        </is>
      </c>
      <c r="B59">
        <v>102</v>
      </c>
      <c r="C59" t="inlineStr">
        <is>
          <t>【超级会员V1】通过百度网盘分享的文件：4272-红色P…
链接:https://pan.baidu.com/s/1wbBVclMKvYSmG5WvgnRysQ 
提取码:44e3
复制这段内容打开「百度网盘APP 即可获取」</t>
        </is>
      </c>
      <c r="D59" t="inlineStr">
        <is>
          <t>是</t>
        </is>
      </c>
      <c r="E59" t="inlineStr">
        <is>
          <t>红色大气简约励志商务个人年终年中工作总结述职汇报动态ppt模板
——★24小时自动秒发百度网盘 ★——
——★24小时自动秒发百度网盘 ★——
——★24小时自动秒发百度网盘 ★——
包含45款 大小:670MB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59" s="2" t="str">
        <f>=HYPERLINK("http://img.alicdn.com/bao/uploaded/i1/O1CN01zmpyI81dZ5wsJEhCX_!!4611686018427387605-0-fleamarket.jpg_790x10000Q90.jpg_.webp", "img.alicdn.com/bao/uploaded/i1/O1CN01zmpyI81dZ5wsJEhCX_!!4611686018427387605-0-fleamarket.jpg_790x10000Q90.jpg_.webp")</f>
        <v>img.alicdn.com/bao/uploaded/i1/O1CN01zmpyI81dZ5wsJEhCX_!!4611686018427387605-0-fleamarket.jpg_790x10000Q90.jpg_.webp</v>
      </c>
      <c r="G59"/>
      <c r="H59" s="2" t="str">
        <f>=HYPERLINK("https://www.goofish.com/item?spm=a21ybx.personal.feeds.468.12e16ac2PYxLX9&amp;id=987779177319&amp;categoryId=50023914", "https://www.goofish.com/item?spm=a21ybx.personal.feeds.468.12e16ac2PYxLX9&amp;id=987779177319&amp;categoryId=50023914")</f>
        <v>https://www.goofish.com/item?spm=a21ybx.personal.feeds.468.12e16ac2PYxLX9&amp;id=987779177319&amp;categoryId=50023914</v>
      </c>
      <c r="I59"/>
      <c r="J59"/>
      <c r="K59"/>
      <c r="L59"/>
    </row>
    <row r="60" ht="25.5" customHeight="1">
      <c r="A60" t="inlineStr">
        <is>
          <t>电商设计详情页模板淘</t>
        </is>
      </c>
      <c r="B60">
        <v>103</v>
      </c>
      <c r="C60" t="inlineStr">
        <is>
          <t>【超级会员V1】通过百度网盘分享的文件：电商全套素材
链接:https://pan.baidu.com/s/15TH6O3uHLq-9ftRSL7-JGw 
提取码:152e
复制这段内容打开「百度网盘APP 即可获取」</t>
        </is>
      </c>
      <c r="D60" t="inlineStr">
        <is>
          <t>是</t>
        </is>
      </c>
      <c r="E60" t="inlineStr">
        <is>
          <t>电商设计详情页模板淘宝商品主图店铺装修首页psd美工ps素材网店
——★24小时自动秒发百度网盘 ★——
——★24小时自动秒发百度网盘 ★——
——★24小时自动秒发百度网盘 ★——
4000套电商详情页 分层PSD+预览图 35类产品介绍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0" s="2" t="str">
        <f>=HYPERLINK("http://img.alicdn.com/bao/uploaded/i2/O1CN01XyFF9V1dZ5x6i5JFC_!!4611686018427387605-0-fleamarket.jpg_790x10000Q90.jpg_.webp", "img.alicdn.com/bao/uploaded/i2/O1CN01XyFF9V1dZ5x6i5JFC_!!4611686018427387605-0-fleamarket.jpg_790x10000Q90.jpg_.webp")</f>
        <v>img.alicdn.com/bao/uploaded/i2/O1CN01XyFF9V1dZ5x6i5JFC_!!4611686018427387605-0-fleamarket.jpg_790x10000Q90.jpg_.webp</v>
      </c>
      <c r="G60"/>
      <c r="H60" s="2" t="str">
        <f>=HYPERLINK("https://www.goofish.com/item?spm=a21ybx.personal.feeds.335.12e16ac2PYxLX9&amp;id=991443629845&amp;categoryId=50023914", "https://www.goofish.com/item?spm=a21ybx.personal.feeds.335.12e16ac2PYxLX9&amp;id=991443629845&amp;categoryId=50023914")</f>
        <v>https://www.goofish.com/item?spm=a21ybx.personal.feeds.335.12e16ac2PYxLX9&amp;id=991443629845&amp;categoryId=50023914</v>
      </c>
      <c r="I60"/>
      <c r="J60"/>
      <c r="K60"/>
      <c r="L60"/>
    </row>
    <row r="61" ht="25.5" customHeight="1">
      <c r="A61" t="inlineStr">
        <is>
          <t>医学品管圈医疗医护理</t>
        </is>
      </c>
      <c r="B61">
        <v>104</v>
      </c>
      <c r="C61" t="inlineStr">
        <is>
          <t>不好意思! 这个资源丢失了，请等管理员操作~</t>
        </is>
      </c>
      <c r="D61" t="inlineStr">
        <is>
          <t>是</t>
        </is>
      </c>
      <c r="E61" t="inlineStr">
        <is>
          <t>医学品管圈医疗医护理查房ppt模板医生护士病例工作汇报培训课件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1" s="2" t="str">
        <f>=HYPERLINK("http://img.alicdn.com/bao/uploaded/i1/O1CN01M6z5491dZ5wyX6Gmj_!!4611686018427387605-0-fleamarket.jpg_790x10000Q90.jpg_.webp", "img.alicdn.com/bao/uploaded/i1/O1CN01M6z5491dZ5wyX6Gmj_!!4611686018427387605-0-fleamarket.jpg_790x10000Q90.jpg_.webp")</f>
        <v>img.alicdn.com/bao/uploaded/i1/O1CN01M6z5491dZ5wyX6Gmj_!!4611686018427387605-0-fleamarket.jpg_790x10000Q90.jpg_.webp</v>
      </c>
      <c r="G61"/>
      <c r="H61" s="2" t="str">
        <f>=HYPERLINK("https://www.goofish.com/item?spm=a21ybx.personal.feeds.411.12e16ac2PYxLX9&amp;id=988549746797&amp;categoryId=50023914", "https://www.goofish.com/item?spm=a21ybx.personal.feeds.411.12e16ac2PYxLX9&amp;id=988549746797&amp;categoryId=50023914")</f>
        <v>https://www.goofish.com/item?spm=a21ybx.personal.feeds.411.12e16ac2PYxLX9&amp;id=988549746797&amp;categoryId=50023914</v>
      </c>
      <c r="I61"/>
      <c r="J61"/>
      <c r="K61"/>
      <c r="L61"/>
    </row>
    <row r="62" ht="25.5" customHeight="1">
      <c r="A62" t="inlineStr">
        <is>
          <t>活跃气氛课前热身小游</t>
        </is>
      </c>
      <c r="B62">
        <v>105</v>
      </c>
      <c r="C62" t="inlineStr">
        <is>
          <t>【超级会员V2】通过百度网盘分享的文件：活跃气氛小游戏
链接:https://pan.baidu.com/s/1IjUruCJ-6yLqpKsvi-B1dA 
提取码:b04y
复制这段内容打开「百度网盘APP 即可获取」</t>
        </is>
      </c>
      <c r="D62" t="inlineStr">
        <is>
          <t>是</t>
        </is>
      </c>
      <c r="E62" t="inlineStr">
        <is>
          <t>活跃气氛课前热身小游戏PPT破冰线上网课小游戏互动创意课堂游戏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2" s="2" t="str">
        <f>=HYPERLINK("http://img.alicdn.com/bao/uploaded/i3/O1CN01I1mFzw1dZ5wogAJUc_!!4611686018427387605-0-fleamarket.jpg_790x10000Q90.jpg_.webp", "img.alicdn.com/bao/uploaded/i3/O1CN01I1mFzw1dZ5wogAJUc_!!4611686018427387605-0-fleamarket.jpg_790x10000Q90.jpg_.webp")</f>
        <v>img.alicdn.com/bao/uploaded/i3/O1CN01I1mFzw1dZ5wogAJUc_!!4611686018427387605-0-fleamarket.jpg_790x10000Q90.jpg_.webp</v>
      </c>
      <c r="G62"/>
      <c r="H62" s="2" t="str">
        <f>=HYPERLINK("https://www.goofish.com/item?spm=a21ybx.personal.feeds.481.12e16ac2PYxLX9&amp;id=984952487130&amp;categoryId=50023914", "https://www.goofish.com/item?spm=a21ybx.personal.feeds.481.12e16ac2PYxLX9&amp;id=984952487130&amp;categoryId=50023914")</f>
        <v>https://www.goofish.com/item?spm=a21ybx.personal.feeds.481.12e16ac2PYxLX9&amp;id=984952487130&amp;categoryId=50023914</v>
      </c>
      <c r="I62"/>
      <c r="J62"/>
      <c r="K62"/>
      <c r="L62"/>
    </row>
    <row r="63" ht="25.5" customHeight="1">
      <c r="A63" t="inlineStr">
        <is>
          <t>大学生国家奖学金竞选</t>
        </is>
      </c>
      <c r="B63">
        <v>106</v>
      </c>
      <c r="C63" t="inlineStr">
        <is>
          <t>不好意思! 这个资源丢失了，请等管理员操作~</t>
        </is>
      </c>
      <c r="D63" t="inlineStr">
        <is>
          <t>是</t>
        </is>
      </c>
      <c r="E63" t="inlineStr">
        <is>
          <t>大学生国家奖学金竞选红色简约学术风励志导航栏国奖答辩ppt模板
——★24小时自动秒发百度网盘 ★——
——★24小时自动秒发百度网盘 ★——
——★24小时自动秒发百度网盘 ★——
高端精选250款国奖答辩PPT
大小:5GB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3" s="2" t="str">
        <f>=HYPERLINK("http://img.alicdn.com/bao/uploaded/i2/O1CN01qhwjve1dZ5wta1pkJ_!!4611686018427387605-0-fleamarket.jpg_790x10000Q90.jpg_.webp", "img.alicdn.com/bao/uploaded/i2/O1CN01qhwjve1dZ5wta1pkJ_!!4611686018427387605-0-fleamarket.jpg_790x10000Q90.jpg_.webp")</f>
        <v>img.alicdn.com/bao/uploaded/i2/O1CN01qhwjve1dZ5wta1pkJ_!!4611686018427387605-0-fleamarket.jpg_790x10000Q90.jpg_.webp</v>
      </c>
      <c r="G63"/>
      <c r="H63" s="2" t="str">
        <f>=HYPERLINK("https://www.goofish.com/item?spm=a21ybx.personal.feeds.460.12e16ac2PYxLX9&amp;id=987016574924&amp;categoryId=50023914", "https://www.goofish.com/item?spm=a21ybx.personal.feeds.460.12e16ac2PYxLX9&amp;id=987016574924&amp;categoryId=50023914")</f>
        <v>https://www.goofish.com/item?spm=a21ybx.personal.feeds.460.12e16ac2PYxLX9&amp;id=987016574924&amp;categoryId=50023914</v>
      </c>
      <c r="I63"/>
      <c r="J63"/>
      <c r="K63"/>
      <c r="L63"/>
    </row>
    <row r="64" ht="25.5" customHeight="1">
      <c r="A64" t="inlineStr">
        <is>
          <t>职业规划大赛精选PP</t>
        </is>
      </c>
      <c r="B64">
        <v>107</v>
      </c>
      <c r="C64" t="inlineStr">
        <is>
          <t>不好意思! 这个资源丢失了，请等管理员操作~</t>
        </is>
      </c>
      <c r="D64" t="inlineStr">
        <is>
          <t>是</t>
        </is>
      </c>
      <c r="E64" t="inlineStr">
        <is>
          <t>职业规划大赛精选PPT模版含计划书成长就业赛道获奖作品高级感
——★24小时自动秒发百度网盘 ★——
——★24小时自动秒发百度网盘 ★——
——★24小时自动秒发百度网盘 ★——
精选PPT模板399套 成长赛道+就业赛道+带导航栏
大学生职业规划大赛 PPT+WORD计划书 PPT含内容可编辑 24小时发网盘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4" s="2" t="str">
        <f>=HYPERLINK("http://img.alicdn.com/bao/uploaded/i3/O1CN01tn5sfE1dZ5xN6s2lb_!!4611686018427387605-0-fleamarket.jpg_790x10000Q90.jpg_.webp", "img.alicdn.com/bao/uploaded/i3/O1CN01tn5sfE1dZ5xN6s2lb_!!4611686018427387605-0-fleamarket.jpg_790x10000Q90.jpg_.webp")</f>
        <v>img.alicdn.com/bao/uploaded/i3/O1CN01tn5sfE1dZ5xN6s2lb_!!4611686018427387605-0-fleamarket.jpg_790x10000Q90.jpg_.webp</v>
      </c>
      <c r="G64"/>
      <c r="H64" s="2" t="str">
        <f>=HYPERLINK("https://www.goofish.com/item?spm=a21ybx.personal.feeds.106.12e16ac2PYxLX9&amp;id=995226486484&amp;categoryId=50023914", "https://www.goofish.com/item?spm=a21ybx.personal.feeds.106.12e16ac2PYxLX9&amp;id=995226486484&amp;categoryId=50023914")</f>
        <v>https://www.goofish.com/item?spm=a21ybx.personal.feeds.106.12e16ac2PYxLX9&amp;id=995226486484&amp;categoryId=50023914</v>
      </c>
      <c r="I64"/>
      <c r="J64"/>
      <c r="K64"/>
      <c r="L64"/>
    </row>
    <row r="65" ht="25.5" customHeight="1">
      <c r="A65" t="inlineStr">
        <is>
          <t>科研学术文献汇报项目</t>
        </is>
      </c>
      <c r="B65">
        <v>108</v>
      </c>
      <c r="C65" t="inlineStr">
        <is>
          <t>不好意思! 这个资源丢失了，请等管理员操作~</t>
        </is>
      </c>
      <c r="D65" t="inlineStr">
        <is>
          <t>是</t>
        </is>
      </c>
      <c r="E65" t="inlineStr">
        <is>
          <t>科研学术文献汇报项目组研究生人才职称申报开题报告答辩ppt模板
——★24小时自动秒发百度网盘 ★——
——★24小时自动秒发百度网盘 ★——
——★24小时自动秒发百度网盘 ★——
99款科研学术汇报PPT 大小:2.6GB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65" s="2" t="str">
        <f>=HYPERLINK("http://img.alicdn.com/bao/uploaded/i4/O1CN01bF9m4w1dZ5wtGchu5_!!4611686018427387605-0-fleamarket.jpg_790x10000Q90.jpg_.webp", "img.alicdn.com/bao/uploaded/i4/O1CN01bF9m4w1dZ5wtGchu5_!!4611686018427387605-0-fleamarket.jpg_790x10000Q90.jpg_.webp")</f>
        <v>img.alicdn.com/bao/uploaded/i4/O1CN01bF9m4w1dZ5wtGchu5_!!4611686018427387605-0-fleamarket.jpg_790x10000Q90.jpg_.webp</v>
      </c>
      <c r="G65"/>
      <c r="H65" s="2" t="str">
        <f>=HYPERLINK("https://www.goofish.com/item?spm=a21ybx.personal.feeds.453.12e16ac2PYxLX9&amp;id=988487908810&amp;categoryId=50023914", "https://www.goofish.com/item?spm=a21ybx.personal.feeds.453.12e16ac2PYxLX9&amp;id=988487908810&amp;categoryId=50023914")</f>
        <v>https://www.goofish.com/item?spm=a21ybx.personal.feeds.453.12e16ac2PYxLX9&amp;id=988487908810&amp;categoryId=50023914</v>
      </c>
      <c r="I65"/>
      <c r="J65"/>
      <c r="K65"/>
      <c r="L65"/>
    </row>
    <row r="66" ht="25.5" customHeight="1">
      <c r="A66" t="inlineStr">
        <is>
          <t>齐了！国内AI提示词</t>
        </is>
      </c>
      <c r="B66">
        <v>109</v>
      </c>
      <c r="C66" t="inlineStr">
        <is>
          <t>我用夸克网盘给你分享了「【8】【新】AI指令合集」，点击链接或复制整段内容，打开「夸克APP」即可获取。
筷莱嘟啪晻霭峰夺郝
/~ee6d39pIqs~:/
链接：https://pan.quark.cn/s/317de8408d94</t>
        </is>
      </c>
      <c r="D66" t="inlineStr">
        <is>
          <t>是</t>
        </is>
      </c>
      <c r="E66" t="inlineStr">
        <is>
          <t>齐了！国内AI提示词【指令】合集，工欲善其事必先利其器，模仿永远是高效的学习，高效内容创作的秘籍【指令+教程】，你值得拥有！
国内AI模型：豆包 Kimi 文心一言 混元 千问 多平台通用指令，同样的指令，根据不同账号定位会生成不同的内容！
有别于网上搜集那些比较水的指令提示词，有指令 有教程，​为内容创作
本集合提供了四十余套不同的指令，涵盖短视频几乎所有垂直细分赛道
虚拟商品，一经出售不退不换！
网盘发货，标价就是售价，需要直接拍 秒发货！
</t>
        </is>
      </c>
      <c r="F66" s="2" t="str">
        <f>=HYPERLINK("http://img.alicdn.com/bao/uploaded/i3/O1CN015X0TuB1gGGQBJ7ilY_!!4611686018427383762-53-fleamarket.heic_790x10000Q90.jpg_.webp", "img.alicdn.com/bao/uploaded/i3/O1CN015X0TuB1gGGQBJ7ilY_!!4611686018427383762-53-fleamarket.heic_790x10000Q90.jpg_.webp")</f>
        <v>img.alicdn.com/bao/uploaded/i3/O1CN015X0TuB1gGGQBJ7ilY_!!4611686018427383762-53-fleamarket.heic_790x10000Q90.jpg_.webp</v>
      </c>
      <c r="G66"/>
      <c r="H66" s="2" t="str">
        <f>=HYPERLINK("https://www.goofish.com/item?spm=a21ybx.search.searchFeedList.17.678761adKwsksx&amp;id=850245207696&amp;categoryId=201454708", "https://www.goofish.com/item?spm=a21ybx.search.searchFeedList.17.678761adKwsksx&amp;id=850245207696&amp;categoryId=201454708")</f>
        <v>https://www.goofish.com/item?spm=a21ybx.search.searchFeedList.17.678761adKwsksx&amp;id=850245207696&amp;categoryId=201454708</v>
      </c>
      <c r="I66"/>
      <c r="J66"/>
      <c r="K66"/>
      <c r="L66"/>
    </row>
    <row r="67" ht="25.5" customHeight="1">
      <c r="A67" t="inlineStr">
        <is>
          <t>AI绘画提示词大全S</t>
        </is>
      </c>
      <c r="B67">
        <v>129</v>
      </c>
      <c r="C67" t="inlineStr">
        <is>
          <t>----
您好，感谢光临小店，你购买的订单编号是32704357099550
以下是发货内容，请注意查收！
----
-百度网盘：
【超级会员V2】通过百度网盘分享的文件：StableDi…
链接:https://pan.baidu.com/s/1IVpB5FfiFqbm3kXMo_z52g 
提取码:8d8s
复制这段内容打开「百度网盘APP 即可获取」
-夸克网盘：
我用夸克网盘给你分享了「StableDi...图(1)」，点击链接或复制整段内容，打开「夸克APP」即可获取。
筷莱荇苹怬惏结夺郝
/~eb8f3Lqwui~:/
链接：https://pan.quark.cn/s/4661b9c86432
感谢您的惠顾，欢迎下次光临！
----</t>
        </is>
      </c>
      <c r="D67" t="inlineStr">
        <is>
          <t>是</t>
        </is>
      </c>
      <c r="E67" t="inlineStr">
        <is>
          <t>AI绘画提示词大全SD提示词StableDiffusion提示词关键词咒语绘画案例
标价就是售价，拍下秒发货百度网盘
此商品因特殊性，售出后不支持退款，请大家看清楚后下单
</t>
        </is>
      </c>
      <c r="F67" s="2" t="str">
        <f>=HYPERLINK("http://img.alicdn.com/bao/uploaded/i1/O1CN01leY3Gs25AdywFogYI_!!4611686018427384830-53-fleamarket.heic_790x10000Q90.jpg_.webp", "img.alicdn.com/bao/uploaded/i1/O1CN01leY3Gs25AdywFogYI_!!4611686018427384830-53-fleamarket.heic_790x10000Q90.jpg_.webp")</f>
        <v>img.alicdn.com/bao/uploaded/i1/O1CN01leY3Gs25AdywFogYI_!!4611686018427384830-53-fleamarket.heic_790x10000Q90.jpg_.webp</v>
      </c>
      <c r="G67"/>
      <c r="H67" s="2" t="str">
        <f>=HYPERLINK("https://www.goofish.com/item?spm=a21ybx.search.searchFeedList.8.678761adKwsksx&amp;id=887802804739&amp;categoryId=201454708", "https://www.goofish.com/item?spm=a21ybx.search.searchFeedList.8.678761adKwsksx&amp;id=887802804739&amp;categoryId=201454708")</f>
        <v>https://www.goofish.com/item?spm=a21ybx.search.searchFeedList.8.678761adKwsksx&amp;id=887802804739&amp;categoryId=201454708</v>
      </c>
      <c r="I67"/>
      <c r="J67"/>
      <c r="K67"/>
      <c r="L67"/>
    </row>
    <row r="68" ht="25.5" customHeight="1">
      <c r="A68" t="inlineStr">
        <is>
          <t xml:space="preserve">【提示词】TRAE </t>
        </is>
      </c>
      <c r="B68">
        <v>130</v>
      </c>
      <c r="C68" t="inlineStr">
        <is>
          <t>【超级会员V1】通过百度网盘分享的文件：编程开发-TRA…
链接:https://pan.baidu.com/s/1YranQ6OX7nJBPfGsP0Mw4w 
提取码:469a
复制这段内容打开「百度网盘APP 即可获取」</t>
        </is>
      </c>
      <c r="D68" t="inlineStr">
        <is>
          <t>是</t>
        </is>
      </c>
      <c r="E68" t="inlineStr">
        <is>
          <t>【提示词】TRAE 通用6A规则提示词+敏捷开发5S规则提示词
功能说明:
✅让 AI 按照专业流程工作
✅确保需求理解准确无误
✅保证代码质量和可维护性
✅建立完善的文档体系
✅实现高效的团队协作
内容包含:
6A+5S 规则提示词
【温馨说明】
课程目录已详细附在宝贝描述中，关于内容的疑问建议先查看描述，减少重复咨询，效率更高哦~
【重要提醒】
本店仅售卖教学资料，不提供一对一指导服务，购买后需自行学习操作，介意慎拍~
【发货说明】
资料为电子版，拍下后24小时内通过度盘自动发送链接，请务必及时保存；虚拟商品一经拍下不支持退货，拍前请确认自身需求~
</t>
        </is>
      </c>
      <c r="F68" s="2" t="str">
        <f>=HYPERLINK("http://img.alicdn.com/bao/uploaded/i1/O1CN01B6Y7H61pov0ynSv90_!!4611686018427385776-0-fleamarket.jpg_790x10000Q90.jpg_.webp", "img.alicdn.com/bao/uploaded/i1/O1CN01B6Y7H61pov0ynSv90_!!4611686018427385776-0-fleamarket.jpg_790x10000Q90.jpg_.webp")</f>
        <v>img.alicdn.com/bao/uploaded/i1/O1CN01B6Y7H61pov0ynSv90_!!4611686018427385776-0-fleamarket.jpg_790x10000Q90.jpg_.webp</v>
      </c>
      <c r="G68"/>
      <c r="H68" s="2" t="str">
        <f>=HYPERLINK("https://www.goofish.com/item?spm=a21ybx.search.searchFeedList.22.678761adKwsksx&amp;id=978016350086&amp;categoryId=201453616", "https://www.goofish.com/item?spm=a21ybx.search.searchFeedList.22.678761adKwsksx&amp;id=978016350086&amp;categoryId=201453616")</f>
        <v>https://www.goofish.com/item?spm=a21ybx.search.searchFeedList.22.678761adKwsksx&amp;id=978016350086&amp;categoryId=201453616</v>
      </c>
      <c r="I68"/>
      <c r="J68"/>
      <c r="K68"/>
      <c r="L68"/>
    </row>
    <row r="69" ht="25.5" customHeight="1">
      <c r="A69" t="inlineStr">
        <is>
          <t>Midjourney</t>
        </is>
      </c>
      <c r="B69">
        <v>131</v>
      </c>
      <c r="C69" t="inlineStr">
        <is>
          <t>【超级会员V2】通过百度网盘分享的文件：78000+AI…
链接:https://pan.baidu.com/s/1L2TLkp4iUfcX-D_IpxymFw 
提取码:4jzj
复制这段内容打开「百度网盘APP 即可获取」</t>
        </is>
      </c>
      <c r="D69" t="inlineStr">
        <is>
          <t>是</t>
        </is>
      </c>
      <c r="E69" t="inlineStr">
        <is>
          <t>Midjourney咒语AI提示词ai生图咒语描述词MJ提示词热门词AI绘图</t>
        </is>
      </c>
      <c r="F69" s="2" t="str">
        <f>=HYPERLINK("http://img.alicdn.com/bao/uploaded/i4/O1CN01Ndp8fZ1VFNsD7yW60_!!53-fleamarket.heic_790x10000Q90.jpg_.webp", "img.alicdn.com/bao/uploaded/i4/O1CN01Ndp8fZ1VFNsD7yW60_!!53-fleamarket.heic_790x10000Q90.jpg_.webp")</f>
        <v>img.alicdn.com/bao/uploaded/i4/O1CN01Ndp8fZ1VFNsD7yW60_!!53-fleamarket.heic_790x10000Q90.jpg_.webp</v>
      </c>
      <c r="G69"/>
      <c r="H69" s="2" t="str">
        <f>=HYPERLINK("https://www.goofish.com/item?spm=a21ybx.search.searchFeedList.17.678761adKwsksx&amp;id=837606072804&amp;categoryId=202034003", "https://www.goofish.com/item?spm=a21ybx.search.searchFeedList.17.678761adKwsksx&amp;id=837606072804&amp;categoryId=202034003")</f>
        <v>https://www.goofish.com/item?spm=a21ybx.search.searchFeedList.17.678761adKwsksx&amp;id=837606072804&amp;categoryId=202034003</v>
      </c>
      <c r="I69"/>
      <c r="J69"/>
      <c r="K69"/>
      <c r="L69"/>
    </row>
    <row r="70" ht="25.5" customHeight="1">
      <c r="A70" t="inlineStr">
        <is>
          <t>【秒发】2025年即</t>
        </is>
      </c>
      <c r="B70">
        <v>132</v>
      </c>
      <c r="C70" t="inlineStr">
        <is>
          <t>不好意思! 这个资源丢失了，请等管理员操作~</t>
        </is>
      </c>
      <c r="D70" t="inlineStr">
        <is>
          <t>是</t>
        </is>
      </c>
      <c r="E70" t="inlineStr">
        <is>
          <t>【秒发】2025年即梦AI生成视频指南系统教程讲解教程提示词大全
电子资料 售出不退 介意勿拍 感谢理解
</t>
        </is>
      </c>
      <c r="F70" s="2" t="str">
        <f>=HYPERLINK("http://img.alicdn.com/bao/uploaded/i4/O1CN01iLn8r21XlZ0juFHfO_!!4611686018427384900-0-fleamarket.jpg_790x10000Q90.jpg_.webp", "img.alicdn.com/bao/uploaded/i4/O1CN01iLn8r21XlZ0juFHfO_!!4611686018427384900-0-fleamarket.jpg_790x10000Q90.jpg_.webp")</f>
        <v>img.alicdn.com/bao/uploaded/i4/O1CN01iLn8r21XlZ0juFHfO_!!4611686018427384900-0-fleamarket.jpg_790x10000Q90.jpg_.webp</v>
      </c>
      <c r="G70"/>
      <c r="H70" s="2" t="str">
        <f>=HYPERLINK("https://www.goofish.com/item?spm=a21ybx.search.searchFeedList.29.678761adKwsksx&amp;id=949028303969&amp;categoryId=201459411", "https://www.goofish.com/item?spm=a21ybx.search.searchFeedList.29.678761adKwsksx&amp;id=949028303969&amp;categoryId=201459411")</f>
        <v>https://www.goofish.com/item?spm=a21ybx.search.searchFeedList.29.678761adKwsksx&amp;id=949028303969&amp;categoryId=201459411</v>
      </c>
      <c r="I70"/>
      <c r="J70"/>
      <c r="K70"/>
      <c r="L70"/>
    </row>
    <row r="71" ht="25.5" customHeight="1">
      <c r="A71" t="inlineStr">
        <is>
          <t>Deepseek 即</t>
        </is>
      </c>
      <c r="B71">
        <v>135</v>
      </c>
      <c r="C71" t="inlineStr">
        <is>
          <t>我用夸克网盘给你分享了「9」，点击链接或复制整段内容，打开「夸克APP」即可获取。
伏脂磟教悦甜叽洞座
/~d0b43A4X73~:/
链接：https://pan.quark.cn/s/4966ee9bc7e7</t>
        </is>
      </c>
      <c r="D71" t="inlineStr">
        <is>
          <t>是</t>
        </is>
      </c>
      <c r="E71" t="inlineStr">
        <is>
          <t>Deepseek 即梦 可灵ai提示词 ai关键词 多种提示词文生视频图生视频
2025版本，国产大模型工具 内有几十多种生成提示词，多种形式的提示词，详图片介绍，还在艮薪中
简单易懂，打破信息差
不用高价，做原创其实很简单
各种类型关键词都有，少数没自己组合搭配，后续还会免费更新 ai提示词万能模板已更新，只需根据模板填写自己的想法便能生成喜欢的作品 里面还包括教程
【售后说明】因资料性质特殊易复制，一旦售出不退不换，请理解。
有兴趣的朋友请点“我想要”直接下单吧～
</t>
        </is>
      </c>
      <c r="F71" s="2" t="str">
        <f>=HYPERLINK("http://img.alicdn.com/bao/uploaded/i2/O1CN01HHv9f52L70iD1Iyp6_!!4611686018427384620-0-fleamarket.jpg_790x10000Q90.jpg_.webp", "img.alicdn.com/bao/uploaded/i2/O1CN01HHv9f52L70iD1Iyp6_!!4611686018427384620-0-fleamarket.jpg_790x10000Q90.jpg_.webp")</f>
        <v>img.alicdn.com/bao/uploaded/i2/O1CN01HHv9f52L70iD1Iyp6_!!4611686018427384620-0-fleamarket.jpg_790x10000Q90.jpg_.webp</v>
      </c>
      <c r="G71"/>
      <c r="H71" s="2" t="str">
        <f>=HYPERLINK("https://www.goofish.com/item?spm=a21ybx.search.searchFeedList.18.678761adKwsksx&amp;id=910141470242&amp;categoryId=202148345", "https://www.goofish.com/item?spm=a21ybx.search.searchFeedList.18.678761adKwsksx&amp;id=910141470242&amp;categoryId=202148345")</f>
        <v>https://www.goofish.com/item?spm=a21ybx.search.searchFeedList.18.678761adKwsksx&amp;id=910141470242&amp;categoryId=202148345</v>
      </c>
      <c r="I71"/>
      <c r="J71"/>
      <c r="K71"/>
      <c r="L71"/>
    </row>
    <row r="72" ht="25.5" customHeight="1">
      <c r="A72" t="inlineStr">
        <is>
          <t>CLAUDE｜CUR</t>
        </is>
      </c>
      <c r="B72">
        <v>136</v>
      </c>
      <c r="C72" t="inlineStr">
        <is>
          <t>【超级会员V1】通过百度网盘分享的文件：claude_c…
链接:https://pan.baidu.com/s/13midN3Po3A5WQ60RcowKBA 
提取码:d24a
复制这段内容打开「百度网盘APP 即可获取」</t>
        </is>
      </c>
      <c r="D72" t="inlineStr">
        <is>
          <t>是</t>
        </is>
      </c>
      <c r="E72" t="inlineStr">
        <is>
          <t>CLAUDE｜CURSOR｜TRAE通用智能体项目开发提示词合集
介绍
文件包含61个智能体提示词，基本涵盖了开发过程中的各个环节和开发语言，这一套规则可以让Claude/Cursor/Trae变身为某一领域的专家，指导项目开发，减少幻觉并提高编程效率和代码质量。
这套智能体涵盖了：开发与架构专家、各种编程语言专家、运维专家、质量与安全专家、数据与人工智能开发专家、商业与市场专家等
智能体类别
开发与架构
后端架构师：设计RESTful API、微服务边界和数据库模式
前端开发者：构建React组件，实现响应式布局，处理客户端状态管理
UI/UX设计师：创建界面设计、线框图和设计系统
移动开发者：开发具有原生集成的React Native或Flutter应用
GraphQL架构师：设计GraphQL模式、解析器和联邦架构
架构评审员：审查代码变更，确保架构一致性和模式规范
语言专家
Python专家：编写具有高级特性和优化的地道Python代码
Ruby专家：编写地道Ruby代码，具备元编程、Rails模式、gem开发及测试框架能力
Golang专家：编写地道Go代码，熟练使用goroutine、channel和接口
Rust专家：编写地道Rust，掌握所有权模式、生命周期与trait实现
C语言专家：编写高效C代码，注重内存管理和系统调用
C++专家：编写地道C++代码，采用现代特性、RAII、智能指针与STL算法
JavaScript专家：精通现代JavaScript，掌握ES6+、异步模式和Node.js API
TypeScript专家：精通TypeScript，具备高级类型、泛型和严格类型安全
PHP专家：编写地道PHP代码，采用现代特性和性能优化
Java专家：精通现代Java，掌握流、并发和JVM优化
Elixir专家：编写地道Elixir代码，具备OTP模式、函数式编程和Phoenix框架经验
C#专家：编写现代C#代码，具备高级特性和.NET优化
Scala专家：精通企业级Scala开发，擅长函数式编程、分布式系统和大数据处理
Flutter专家：精通Flutter开发，掌握Dart、组件和平台集成
Unity开发者：构建Unity游戏，优化脚本和性能调优
Minecraft Bukkit专家：精通Minecraft服务器插件开发，熟悉Bukkit、Spigot和Paper API
IOS开发者：使用Swift/SwiftUI开发原生iOS应用
SQL专家：编写复杂SQL查询，优化执行计划，设计规范化模式
基础设施与运维
DevOps故障排查员：调试生产问题，分析日志，修复部署故障
部署工程师：配置CI/CD流水线、Docker容器和云端部署
云架构师：设计AWS/Azure/GCP基础设施并优化云成本
数据库优化师：优化SQL查询，设计高效索引，处理数据库迁移
数据库管理员：管理数据库运维、备份、复制和监控
Terraform专家：编写高级Terraform模块，管理状态文件，实现IaC实践
应急响应员：紧急且精准地处理生产事故
网络工程师：调试网络连接，配置负载均衡，分析流量模式
开发者体验优化师：提升开发者体验，优化工具、环境配置与工作流
质量与安全
code-reviewer：专家级代码审查，深度关注配置安全与生产可靠性
security-auditor：检查代码漏洞并确保符合OWASP标准
test-automator：创建全面的测试套件，包括单元、集成和端到端测试
performance-engineer：分析应用性能，优化瓶颈并实施缓存策略
debugger：错误、测试失败与异常行为的调试专家
error-detective：在日志与代码库中查找错误模式、堆栈跟踪及异常
search-specialist：使用高级搜索技术和综合分析的网络检索专家
数据与人工智能
data-scientist：SQL查询、BigQuery操作和数据洞察分析专家
data-engineer：构建ETL流程、数据仓库与流式架构
ai-engineer：构建LLM应用、RAG系统与提示管道
ml-engineer：实现机器学习流程、模型服务与特征工程
mlops-engineer：构建ML流程、实验跟踪与模型注册
prompt-engineer：优化LLM与AI系统的提示词
专业领域
api-documenter：创建OpenAPI/Swagger规范并编写开发者文档
payment-integration：集成Stripe、PayPal及支付处理器
quant-analyst：构建金融模型、回测交易策略并分析市场数据
risk-manager：监控投资组合风险、R-倍数及持仓限额
legacy-modernizer：重构遗留代码库并逐步实现现代化
context-manager：管理多代理与长时间任务的上下文
文档
docs-architect：基于现有代码库创建全面技术文档
mermaid-expert：创建流程图、时序图、ERD和架构的Mermaid图表
reference-builder：创建详尽的技术参考与API文档
tutorial-engineer：根据代码生成分步教程和教育内容
商业与市场
business-analyst：分析指标、制作报告并跟踪关键绩效指标
content-marketer：撰写博客文章、社交媒体内容与电子邮件简报
sales-automator：起草冷邮件、跟进邮件及提案模板
customer-support：处理支持工单、常见问题及客户邮件
legal-advisor：草拟隐私政策、服务条款、免责声明及法律声明
版权与授权声明：本文件夹中包含的61个专用Agent（以下简称"Agent集合"）仅为技术研究与学习交流目的整理，其中可能涉及的第三方代码、模型、文档或其他内容，其知识产权归原作者或合法权利人所有。使用者应自行核实相关内容的版权状态，确保已获得合法授权（如开源协议许可、原作者书面授权等），严禁未经许可将Agent集合用于商业用途或侵犯第三方知识产权的行为。若因版权问题产生纠纷，由使用者自行承担全部责任，与整理方无关。
【温馨说明】
所有提示词已经打包好，关于内容的疑问建议先查看描述，减少重复咨询，效率更高哦~
【重要提醒】
看清楚商品描述再下单，卖的是提示词，新手小白如果不懂或者不会设置建议不要下单，本店仅售卖教学资料，不提供一对一指导服务，购买后需自行学习操作，介意慎拍~
【发货说明】
资料为电子版，拍下后24小时内通过度盘自动发送链接，请务必及时保存；虚拟商品一经拍下不支持退货，拍前请确认自身需求~
</t>
        </is>
      </c>
      <c r="F72" s="2" t="str">
        <f>=HYPERLINK("http://img.alicdn.com/bao/uploaded/i2/O1CN015eOnCP1pov1USSCnv_!!4611686018427385776-0-fleamarket.jpg_790x10000Q90.jpg_.webp", "img.alicdn.com/bao/uploaded/i2/O1CN015eOnCP1pov1USSCnv_!!4611686018427385776-0-fleamarket.jpg_790x10000Q90.jpg_.webp")</f>
        <v>img.alicdn.com/bao/uploaded/i2/O1CN015eOnCP1pov1USSCnv_!!4611686018427385776-0-fleamarket.jpg_790x10000Q90.jpg_.webp</v>
      </c>
      <c r="G72"/>
      <c r="H72" s="2" t="str">
        <f>=HYPERLINK("https://www.goofish.com/item?spm=a21ybx.search.searchFeedList.5.678761adKwsksx&amp;id=988673573244&amp;categoryId=202034003", "https://www.goofish.com/item?spm=a21ybx.search.searchFeedList.5.678761adKwsksx&amp;id=988673573244&amp;categoryId=202034003")</f>
        <v>https://www.goofish.com/item?spm=a21ybx.search.searchFeedList.5.678761adKwsksx&amp;id=988673573244&amp;categoryId=202034003</v>
      </c>
      <c r="I72"/>
      <c r="J72"/>
      <c r="K72"/>
      <c r="L72"/>
    </row>
    <row r="73" ht="25.5" customHeight="1">
      <c r="A73" t="inlineStr">
        <is>
          <t>【自动发货】300个</t>
        </is>
      </c>
      <c r="B73">
        <v>137</v>
      </c>
      <c r="C73" t="inlineStr">
        <is>
          <t>不好意思! 这个资源丢失了，请等管理员操作~</t>
        </is>
      </c>
      <c r="D73" t="inlineStr">
        <is>
          <t>是</t>
        </is>
      </c>
      <c r="E73" t="inlineStr">
        <is>
          <t>【自动发货】300个去AI味提示词，让你写出高质量小说！
AI写的小说总感觉怪怪的？用这套提示词就能写出流畅自然的故事！
包含：
1.确保内容连贯，主题递进
2.确保情节连贯，故事递进
3.提升信息传达效率
4.强化逻辑与过渡的流畅性
5.调整语气适应不同场景
6.增强表达的精确性
7.注入生动的具体实例
8.保持句式变化与节奏感
9.确保情节连贯，故事递进
10.调整语言以适应不同角色
11.提升叙述节奏与张力
12.强化情节转折与过渡的流畅性
虚拟资料，售出不退不换，介意勿拍！</t>
        </is>
      </c>
      <c r="F73" s="2" t="str">
        <f>=HYPERLINK("http://img.alicdn.com/bao/uploaded/i1/O1CN01kE0L291ph8HstMAQI_!!4611686018427386351-0-fleamarket.jpg_790x10000Q90.jpg_.webp", "img.alicdn.com/bao/uploaded/i1/O1CN01kE0L291ph8HstMAQI_!!4611686018427386351-0-fleamarket.jpg_790x10000Q90.jpg_.webp")</f>
        <v>img.alicdn.com/bao/uploaded/i1/O1CN01kE0L291ph8HstMAQI_!!4611686018427386351-0-fleamarket.jpg_790x10000Q90.jpg_.webp</v>
      </c>
      <c r="G73"/>
      <c r="H73" s="2" t="str">
        <f>=HYPERLINK("https://www.goofish.com/item?spm=a21ybx.search.searchFeedList.17.678761adKwsksx&amp;id=985366486723&amp;categoryId=201459411", "https://www.goofish.com/item?spm=a21ybx.search.searchFeedList.17.678761adKwsksx&amp;id=985366486723&amp;categoryId=201459411")</f>
        <v>https://www.goofish.com/item?spm=a21ybx.search.searchFeedList.17.678761adKwsksx&amp;id=985366486723&amp;categoryId=201459411</v>
      </c>
      <c r="I73"/>
      <c r="J73"/>
      <c r="K73"/>
      <c r="L73"/>
    </row>
    <row r="74" ht="25.5" customHeight="1">
      <c r="A74" t="inlineStr">
        <is>
          <t>秒发！Midjour</t>
        </is>
      </c>
      <c r="B74">
        <v>138</v>
      </c>
      <c r="C74" t="inlineStr">
        <is>
          <t>【超级会员V1】通过百度网盘分享的文件：120000+A…
链接:https://pan.baidu.com/s/10LXOi-VD0JiCnAyNg1rpSw 
提取码:6w5m
复制这段内容打开「百度网盘APP 即可获取」</t>
        </is>
      </c>
      <c r="D74" t="inlineStr">
        <is>
          <t>是</t>
        </is>
      </c>
      <c r="E74" t="inlineStr">
        <is>
          <t>秒发！Midjourney咒语AI提示词ai生图咒语MJ热门词AI绘画
问：这个是作图工具吗？
答：亲，这个只是绘图关键词和zhi令，并不是工具哦
问：这个是什么链接?
答：亲，这个链接是Midjourney案例型完整出图咒语包哦~里面有3000+张图片、530+套案例型完整出图咒语、以及免费分享的Tag关键词表格哦~
问：文件包中的图片可以商用吗?
答：亲，由于国内关于Al生成图片尚未有明确条文和法律定义，Al生成图片其背后使用的素材版权归属尚不明确，暂时不支持商业使用，建议同学们以学习交流的目的使用哦~
问：文件包如何使用?
答：亲，文件包中的图片您可以自行下载使用，关键词/咒语使用方法可以看下文件包中的教程哦~有其他问题欢迎来撩~
问：是完整咒语吗?
答：是的哦亲~都是完整的案例型出图咒语哈，同时包含中文和英文以及图片设定，修改性强，主体可以直接修改后使用哦~
问：发货问题?
答：亲，我们使用自动发货功能，在您付款后系统会自动发送网盘链接，您直接点开取货即可哦~发货后不支持以任何理由、任何形式的发起仅退款申请哦!请考虑清楚以后再下单~谢谢亲的理解~
关注或2人小刀拍下获取完整电子版资料，24小时网盘自动发货，注意，电子资料不退不换。
学姐资源均源自公开合法渠道，仅供阅读交流，无商业用途；版权归原作者或出版方所有；费用仅为搜集整理及存储成本，不承担版权责任；若版权方认为侵权，请即告知，将迅速删除，不涉赔偿，尊重版权。</t>
        </is>
      </c>
      <c r="F74" s="2" t="str">
        <f>=HYPERLINK("http://img.alicdn.com/bao/uploaded/i3/O1CN011ll6u82IOSzRC6x5r_!!4611686018427380076-53-fleamarket.heic_790x10000Q90.jpg_.webp", "img.alicdn.com/bao/uploaded/i3/O1CN011ll6u82IOSzRC6x5r_!!4611686018427380076-53-fleamarket.heic_790x10000Q90.jpg_.webp")</f>
        <v>img.alicdn.com/bao/uploaded/i3/O1CN011ll6u82IOSzRC6x5r_!!4611686018427380076-53-fleamarket.heic_790x10000Q90.jpg_.webp</v>
      </c>
      <c r="G74"/>
      <c r="H74" s="2" t="str">
        <f>=HYPERLINK("https://www.goofish.com/item?spm=a21ybx.search.searchFeedList.25.678761adKwsksx&amp;id=966074854107&amp;categoryId=201454708", "https://www.goofish.com/item?spm=a21ybx.search.searchFeedList.25.678761adKwsksx&amp;id=966074854107&amp;categoryId=201454708")</f>
        <v>https://www.goofish.com/item?spm=a21ybx.search.searchFeedList.25.678761adKwsksx&amp;id=966074854107&amp;categoryId=201454708</v>
      </c>
      <c r="I74"/>
      <c r="J74"/>
      <c r="K74"/>
      <c r="L74"/>
    </row>
    <row r="75" ht="25.5" customHeight="1">
      <c r="A75" t="inlineStr">
        <is>
          <t>可灵1.6跳舞提示词</t>
        </is>
      </c>
      <c r="B75">
        <v>139</v>
      </c>
      <c r="C75" t="inlineStr">
        <is>
          <t>不好意思! 这个资源丢失了，请等管理员操作~</t>
        </is>
      </c>
      <c r="D75" t="inlineStr">
        <is>
          <t>是</t>
        </is>
      </c>
      <c r="E75" t="inlineStr">
        <is>
          <t>可灵1.6跳舞提示词35套
都是进行实际操作过的，百分百真实。
AI火爆视频创作必备！精品跳舞提示词，赶紧入手，让你的创作用词更精准！
感兴趣的话直接拍24小时自动发货。</t>
        </is>
      </c>
      <c r="F75" s="2" t="str">
        <f>=HYPERLINK("http://img.alicdn.com/bao/uploaded/i1/O1CN01WztnhG1VDYKwbMtrb_!!4611686018427386795-0-fleamarket.jpg_790x10000Q90.jpg_.webp", "img.alicdn.com/bao/uploaded/i1/O1CN01WztnhG1VDYKwbMtrb_!!4611686018427386795-0-fleamarket.jpg_790x10000Q90.jpg_.webp")</f>
        <v>img.alicdn.com/bao/uploaded/i1/O1CN01WztnhG1VDYKwbMtrb_!!4611686018427386795-0-fleamarket.jpg_790x10000Q90.jpg_.webp</v>
      </c>
      <c r="G75"/>
      <c r="H75" s="2" t="str">
        <f>=HYPERLINK("https://www.goofish.com/item?spm=a21ybx.search.searchFeedList.9.678761adKwsksx&amp;id=898810530390&amp;categoryId=201459210", "https://www.goofish.com/item?spm=a21ybx.search.searchFeedList.9.678761adKwsksx&amp;id=898810530390&amp;categoryId=201459210")</f>
        <v>https://www.goofish.com/item?spm=a21ybx.search.searchFeedList.9.678761adKwsksx&amp;id=898810530390&amp;categoryId=201459210</v>
      </c>
      <c r="I75"/>
      <c r="J75"/>
      <c r="K75"/>
      <c r="L75"/>
    </row>
    <row r="76" ht="25.5" customHeight="1">
      <c r="A76" t="inlineStr">
        <is>
          <t>【自动发货】2100</t>
        </is>
      </c>
      <c r="B76">
        <v>140</v>
      </c>
      <c r="C76" t="inlineStr">
        <is>
          <t>不好意思! 这个资源丢失了，请等管理员操作~</t>
        </is>
      </c>
      <c r="D76" t="inlineStr">
        <is>
          <t>是</t>
        </is>
      </c>
      <c r="E76" t="inlineStr">
        <is>
          <t>【自动发货】2100+提示词模版|170+细分行业门类|小白秒变大神！
不知道大家发现没有，DeepSeek出来之后，各路大神都在研究它的各种玩法，教程一套接一套。
但其实对于大多数刚接触AI的小白来说，很多复杂或进阶的用法前期根本用不到。
我们更多是因为写文案、做内容、查资料这些文字需求，才开始接触DeepSeek、Kimi、豆包这类AI工具。
所以今天我就来分享一份实用、容易上手的提示词模版合集
你和AI达人间其实只差一套指令清晰，行业门类齐全的提示词模版
一键解锁文案、绘画、视频创作各场景！ 让DeepSeek、豆包、kimi、腾讯元宝等AI准确get你的需求！
小白公式套用，秒出高质量回答
说句题外话，这篇文案也是直接套用里面模版，秒出
夸克网盘发货，电子资料，发货后不退，介意勿拍
</t>
        </is>
      </c>
      <c r="F76" s="2" t="str">
        <f>=HYPERLINK("http://img.alicdn.com/bao/uploaded/i3/O1CN01dlbAJe1Vk4TYcAUau_!!4611686018427386834-0-fleamarket.jpg_790x10000Q90.jpg_.webp", "img.alicdn.com/bao/uploaded/i3/O1CN01dlbAJe1Vk4TYcAUau_!!4611686018427386834-0-fleamarket.jpg_790x10000Q90.jpg_.webp")</f>
        <v>img.alicdn.com/bao/uploaded/i3/O1CN01dlbAJe1Vk4TYcAUau_!!4611686018427386834-0-fleamarket.jpg_790x10000Q90.jpg_.webp</v>
      </c>
      <c r="G76"/>
      <c r="H76" s="2" t="str">
        <f>=HYPERLINK("https://www.goofish.com/item?spm=a21ybx.search.searchFeedList.18.678761adKwsksx&amp;id=921985936906&amp;categoryId=202036301", "https://www.goofish.com/item?spm=a21ybx.search.searchFeedList.18.678761adKwsksx&amp;id=921985936906&amp;categoryId=202036301")</f>
        <v>https://www.goofish.com/item?spm=a21ybx.search.searchFeedList.18.678761adKwsksx&amp;id=921985936906&amp;categoryId=202036301</v>
      </c>
      <c r="I76"/>
      <c r="J76"/>
      <c r="K76"/>
      <c r="L76"/>
    </row>
    <row r="77" ht="25.5" customHeight="1">
      <c r="A77" t="inlineStr">
        <is>
          <t>只给你一个模板，其他</t>
        </is>
      </c>
      <c r="B77">
        <v>141</v>
      </c>
      <c r="C77" t="inlineStr">
        <is>
          <t>【超级会员V1】通过百度网盘分享的文件：SUNO社区指南…
链接:https://pan.baidu.com/s/1UtnwrUFXC1-tHF9CuMljaw 
提取码:jfm7
复制这段内容打开「百度网盘APP 即可获取」</t>
        </is>
      </c>
      <c r="D77" t="inlineStr">
        <is>
          <t>是</t>
        </is>
      </c>
      <c r="E77" t="inlineStr">
        <is>
          <t>只给你一个模板，其他都用自己的灵感来搭配提示词创作！
服务内容：
帮助您从0-精通使用suno制作自己专属的ai音乐
服务内容：
🎵 音乐人的秘密武器，终于公开了！
《Suno 提示词综合指南》正式发布｜网上那些自称一键生成提示词的智能体只是程序员的预先设定，并不能代表您的想法。只有用自己的灵感去搭配创作才会获得更好的生成体验。
打开 Suno，输入一句“lofi jazz with rain”，结果出来的旋律像电梯音乐？
不是你不会写提示词，是你没掌握真正的语法。
我们花了一年半，拆解了 5000+ 首 Suno 热榜神曲，逆向工程它们的提示词结构，同时创作和对比了上万首ai歌曲，
最终整理出这份——
📁 《Suno 提示词综合指南 v1.0》
这不是“提示词合集”，这是 Suno 的“作曲语法书”
✅ 各大音乐风格（Lo-fi、City Pop、Neo Soul、Dark Trap、Epic Orchestral…）
✅ 情绪+乐器+结构+音色等多维提示词列表
✅ 高级技巧：如何用“负向提示”避免雷区，如何用“风格融合”制造爆款
✅ 隐藏参数：Suno 官方没文档的“暗语”，我们帮你试出来了
🎧 音乐制作人：快速出demo，不再为“写提示词”卡壳
📀 内容创作者：BGM不再撞车，视频节奏精准卡点
🎮 游戏/播客/广告从业者：低成本定制爆款音乐，优化直播间听觉感受。
🧪 AI 音乐爱好者：快捷制作心仪的歌曲
写在最后: 这是一份为音乐爱好者和音乐人定制的提示词大全，几乎接近零成本。如果您喜欢，可以直接拍下宝贝并给卖家留言，卖家会直接发给您文档的下载链接。
</t>
        </is>
      </c>
      <c r="F77" s="2" t="str">
        <f>=HYPERLINK("http://img.alicdn.com/bao/uploaded/i3/O1CN01qAP7gs2DIRijTMlUu_!!4611686018427381018-0-fleamarket.jpg_790x10000Q90.jpg_.webp", "img.alicdn.com/bao/uploaded/i3/O1CN01qAP7gs2DIRijTMlUu_!!4611686018427381018-0-fleamarket.jpg_790x10000Q90.jpg_.webp")</f>
        <v>img.alicdn.com/bao/uploaded/i3/O1CN01qAP7gs2DIRijTMlUu_!!4611686018427381018-0-fleamarket.jpg_790x10000Q90.jpg_.webp</v>
      </c>
      <c r="G77"/>
      <c r="H77" s="2" t="str">
        <f>=HYPERLINK("https://www.goofish.com/item?spm=a21ybx.search.searchFeedList.13.678761adKwsksx&amp;id=988751334982&amp;categoryId=201451106", "https://www.goofish.com/item?spm=a21ybx.search.searchFeedList.13.678761adKwsksx&amp;id=988751334982&amp;categoryId=201451106")</f>
        <v>https://www.goofish.com/item?spm=a21ybx.search.searchFeedList.13.678761adKwsksx&amp;id=988751334982&amp;categoryId=201451106</v>
      </c>
      <c r="I77"/>
      <c r="J77"/>
      <c r="K77"/>
      <c r="L77"/>
    </row>
    <row r="78" ht="25.5" customHeight="1">
      <c r="A78" t="inlineStr">
        <is>
          <t>【爆款文案选题神器】</t>
        </is>
      </c>
      <c r="B78">
        <v>142</v>
      </c>
      <c r="C78" t="inlineStr">
        <is>
          <t>不好意思! 这个资源丢失了，请等管理员操作~</t>
        </is>
      </c>
      <c r="D78" t="inlineStr">
        <is>
          <t>是</t>
        </is>
      </c>
      <c r="E78" t="inlineStr">
        <is>
          <t>【爆款文案选题神器】薛辉8大智能体提示词×飞书多维表格｜输入
行业3秒生成爆款选题
啥是它？
就像请了个24小时在线的文案大神！把薛辉8大智能体塞进飞书表格，你只需要：
选一下你的行业（比如穿搭/美食/育儿）
点一下选题类型
哗啦啦出来10个选题文案！
8大选题方向，招招有用：
☑头牌选题——蹭热点一蹭一个准
☑最差选题——反向操作也能火
☑怀旧选题——让70后80后狂点赞
☑猎奇选题——刷到的人都会看完
☑荷尔蒙选题——自带流量密码
☑成本选题——“300块搞定XXX”实用党最爱
☑圈人群选题——精准拿捏宝妈/学生党
☑最差选题避雷版——帮你省下试错时间
适合谁用？
✓小红书/抖音运营人
✓自媒体博主
✓想搞副业的上班族
✓总是写不出文案的“困难户”
拍下就发货：
飞书模板及8大智能体提示词！之前拍过爆款选题的用户可以找我补差价升级成爆款文案ai智能体！！！
❗郑重说明：
虚拟产品，发货后不退哦，介意的话千万别拍，拍下视为同意此条款作为后续纠纷证据
#薛辉文案智能体 #自媒体必备 #文案神器 #8大智能体选题
网盘自动发货，有需要可以直接拍，虚拟产品不支持退款！
990379337637
</t>
        </is>
      </c>
      <c r="F78" s="2" t="str">
        <f>=HYPERLINK("http://img.alicdn.com/bao/uploaded/i1/O1CN01YHpp5l1v5vp4Bji5q_!!4611686018427385162-0-fleamarket.jpg_790x10000Q90.jpg_.webp", "img.alicdn.com/bao/uploaded/i1/O1CN01YHpp5l1v5vp4Bji5q_!!4611686018427385162-0-fleamarket.jpg_790x10000Q90.jpg_.webp")</f>
        <v>img.alicdn.com/bao/uploaded/i1/O1CN01YHpp5l1v5vp4Bji5q_!!4611686018427385162-0-fleamarket.jpg_790x10000Q90.jpg_.webp</v>
      </c>
      <c r="G78"/>
      <c r="H78" s="2" t="str">
        <f>=HYPERLINK("https://www.goofish.com/item?spm=a21ybx.search.searchFeedList.8.678761adKwsksx&amp;id=998250630523&amp;categoryId=202036301", "https://www.goofish.com/item?spm=a21ybx.search.searchFeedList.8.678761adKwsksx&amp;id=998250630523&amp;categoryId=202036301")</f>
        <v>https://www.goofish.com/item?spm=a21ybx.search.searchFeedList.8.678761adKwsksx&amp;id=998250630523&amp;categoryId=202036301</v>
      </c>
      <c r="I78"/>
      <c r="J78"/>
      <c r="K78"/>
      <c r="L78"/>
    </row>
    <row r="79" ht="25.5" customHeight="1">
      <c r="A79" t="inlineStr">
        <is>
          <t>Al提示词大全Al提</t>
        </is>
      </c>
      <c r="B79">
        <v>143</v>
      </c>
      <c r="C79" t="inlineStr">
        <is>
          <t>不好意思! 这个资源丢失了，请等管理员操作~</t>
        </is>
      </c>
      <c r="D79" t="inlineStr">
        <is>
          <t>是</t>
        </is>
      </c>
      <c r="E79" t="inlineStr">
        <is>
          <t>Al提示词大全Al提示词教程 Al指令Prompt即梦KIMI豆包DEEPSEEK
AI绘画关键词汇总 SD、MJ描述词
AI提示词底层逻辑
AI自动生成PPT
如何去除AI味
ACGG结构化提示词专业课,人工智能必修课提示工程入门
优质AI提示词 解决写作难题 轻松高效
【真更新】一次购买长期受益 无需二次付费
直接小刀秒发货 百度网盘观看
</t>
        </is>
      </c>
      <c r="F79" s="2" t="str">
        <f>=HYPERLINK("http://img.alicdn.com/bao/uploaded/i1/O1CN01BNEihF26fcQFVS92G_!!4611686018427382825-53-fleamarket.heic_790x10000Q90.jpg_.webp", "img.alicdn.com/bao/uploaded/i1/O1CN01BNEihF26fcQFVS92G_!!4611686018427382825-53-fleamarket.heic_790x10000Q90.jpg_.webp")</f>
        <v>img.alicdn.com/bao/uploaded/i1/O1CN01BNEihF26fcQFVS92G_!!4611686018427382825-53-fleamarket.heic_790x10000Q90.jpg_.webp</v>
      </c>
      <c r="G79"/>
      <c r="H79" s="2" t="str">
        <f>=HYPERLINK("https://www.goofish.com/item?spm=a21ybx.search.searchFeedList.13.678761adKwsksx&amp;id=951786701861&amp;categoryId=202152829", "https://www.goofish.com/item?spm=a21ybx.search.searchFeedList.13.678761adKwsksx&amp;id=951786701861&amp;categoryId=202152829")</f>
        <v>https://www.goofish.com/item?spm=a21ybx.search.searchFeedList.13.678761adKwsksx&amp;id=951786701861&amp;categoryId=202152829</v>
      </c>
      <c r="I79"/>
      <c r="J79"/>
      <c r="K79"/>
      <c r="L79"/>
    </row>
    <row r="80" ht="25.5" customHeight="1">
      <c r="A80" t="inlineStr">
        <is>
          <t>Al提示词大全Al提2</t>
        </is>
      </c>
      <c r="B80">
        <v>150</v>
      </c>
      <c r="C80" t="inlineStr">
        <is>
          <t>不好意思! 这个资源丢失了，请等管理员操作~</t>
        </is>
      </c>
      <c r="D80" t="inlineStr">
        <is>
          <t>是</t>
        </is>
      </c>
      <c r="E80" t="inlineStr">
        <is>
          <t>Al提示词大全Al提示词教程 Al指令Prompt即梦KIMI豆包DEEPSEEK
AI绘画关键词汇总 SD、MJ描述词
AI提示词底层逻辑
AI自动生成PPT
如何去除AI味
ACGG结构化提示词专业课,人工智能必修课提示工程入门
优质AI提示词 解决写作难题 轻松高效
【真更新】一次购买长期受益 无需二次付费
直接小刀秒发货 百度网盘观看</t>
        </is>
      </c>
      <c r="F80" s="2" t="str">
        <f>=HYPERLINK("http://img.alicdn.com/bao/uploaded/i1/O1CN01BNEihF26fcQFVS92G_!!4611686018427382825-53-fleamarket.heic_790x10000Q90.jpg_.webp", "img.alicdn.com/bao/uploaded/i1/O1CN01BNEihF26fcQFVS92G_!!4611686018427382825-53-fleamarket.heic_790x10000Q90.jpg_.webp")</f>
        <v>img.alicdn.com/bao/uploaded/i1/O1CN01BNEihF26fcQFVS92G_!!4611686018427382825-53-fleamarket.heic_790x10000Q90.jpg_.webp</v>
      </c>
      <c r="G80"/>
      <c r="H80" s="2" t="str">
        <f>=HYPERLINK("https://www.goofish.com/item?spm=a21ybx.search.searchFeedList.13.678761adKwsksx&amp;id=951786701861&amp;categoryId=202152829", "https://www.goofish.com/item?spm=a21ybx.search.searchFeedList.13.678761adKwsksx&amp;id=951786701861&amp;categoryId=202152829")</f>
        <v>https://www.goofish.com/item?spm=a21ybx.search.searchFeedList.13.678761adKwsksx&amp;id=951786701861&amp;categoryId=202152829</v>
      </c>
      <c r="I80"/>
      <c r="J80"/>
      <c r="K80"/>
      <c r="L80"/>
    </row>
    <row r="81" ht="25.5" customHeight="1">
      <c r="A81" t="inlineStr">
        <is>
          <t>成语故事ppt模板成</t>
        </is>
      </c>
      <c r="B81">
        <v>151</v>
      </c>
      <c r="C81" t="inlineStr">
        <is>
          <t>不好意思! 这个资源丢失了，请等管理员操作~</t>
        </is>
      </c>
      <c r="D81" t="inlineStr">
        <is>
          <t>是</t>
        </is>
      </c>
      <c r="E81" t="inlineStr">
        <is>
          <t>成语故事ppt模板成品课件幼儿园小学生儿童讲解素材寓言教师说课
——★24小时自动秒发百度网盘 ★——
——★24小时自动秒发百度网盘 ★——
——★24小时自动秒发百度网盘 ★——
1600套成语故事PPT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81" s="2" t="str">
        <f>=HYPERLINK("http://img.alicdn.com/bao/uploaded/i3/O1CN01yNvfQK1dZ5xAyfH2V_!!4611686018427387605-0-fleamarket.jpg_790x10000Q90.jpg_.webp", "img.alicdn.com/bao/uploaded/i3/O1CN01yNvfQK1dZ5xAyfH2V_!!4611686018427387605-0-fleamarket.jpg_790x10000Q90.jpg_.webp")</f>
        <v>img.alicdn.com/bao/uploaded/i3/O1CN01yNvfQK1dZ5xAyfH2V_!!4611686018427387605-0-fleamarket.jpg_790x10000Q90.jpg_.webp</v>
      </c>
      <c r="G81"/>
      <c r="H81" s="2" t="str">
        <f>=HYPERLINK("https://www.goofish.com/item?spm=a21ybx.personal.feeds.306.12e16ac2PYxLX9&amp;id=993217612606&amp;categoryId=50023914", "https://www.goofish.com/item?spm=a21ybx.personal.feeds.306.12e16ac2PYxLX9&amp;id=993217612606&amp;categoryId=50023914")</f>
        <v>https://www.goofish.com/item?spm=a21ybx.personal.feeds.306.12e16ac2PYxLX9&amp;id=993217612606&amp;categoryId=50023914</v>
      </c>
      <c r="I81"/>
      <c r="J81"/>
      <c r="K81"/>
      <c r="L81"/>
    </row>
    <row r="82" ht="25.5" customHeight="1">
      <c r="A82" t="inlineStr">
        <is>
          <t>公司企业活动宣传产品</t>
        </is>
      </c>
      <c r="B82">
        <v>152</v>
      </c>
      <c r="C82" t="inlineStr">
        <is>
          <t>不好意思! 这个资源丢失了，请等管理员操作~</t>
        </is>
      </c>
      <c r="D82" t="inlineStr">
        <is>
          <t>是</t>
        </is>
      </c>
      <c r="E82" t="inlineStr">
        <is>
          <t>公司企业活动宣传产品手册AI设计DM传单海报CDR三折页模板PSD素材
——★24小时自动秒发百度网盘 ★——
15秒发送云盘链接下载 包含9999款 大小:54GB PSD/CDR/AI格式 分层图案素材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t>
        </is>
      </c>
      <c r="F82" s="2" t="str">
        <f>=HYPERLINK("http://img.alicdn.com/bao/uploaded/i2/O1CN01ehxFDt1dZ5w8SlvsQ_!!4611686018427387605-0-fleamarket.jpg_790x10000Q90.jpg_.webp", "img.alicdn.com/bao/uploaded/i2/O1CN01ehxFDt1dZ5w8SlvsQ_!!4611686018427387605-0-fleamarket.jpg_790x10000Q90.jpg_.webp")</f>
        <v>img.alicdn.com/bao/uploaded/i2/O1CN01ehxFDt1dZ5w8SlvsQ_!!4611686018427387605-0-fleamarket.jpg_790x10000Q90.jpg_.webp</v>
      </c>
      <c r="G82"/>
      <c r="H82" s="2" t="str">
        <f>=HYPERLINK("https://www.goofish.com/item?spm=a21ybx.personal.feeds.274.12e16ac2PYxLX9&amp;id=971809642996&amp;categoryId=50023914", "https://www.goofish.com/item?spm=a21ybx.personal.feeds.274.12e16ac2PYxLX9&amp;id=971809642996&amp;categoryId=50023914")</f>
        <v>https://www.goofish.com/item?spm=a21ybx.personal.feeds.274.12e16ac2PYxLX9&amp;id=971809642996&amp;categoryId=50023914</v>
      </c>
      <c r="I82"/>
      <c r="J82"/>
      <c r="K82"/>
      <c r="L82"/>
    </row>
    <row r="83" ht="25.5" customHeight="1">
      <c r="A83" t="inlineStr">
        <is>
          <t>时间轴ppt模板公司</t>
        </is>
      </c>
      <c r="B83">
        <v>153</v>
      </c>
      <c r="C83" t="inlineStr">
        <is>
          <t>不好意思! 这个资源丢失了，请等管理员操作~</t>
        </is>
      </c>
      <c r="D83" t="inlineStr">
        <is>
          <t>是</t>
        </is>
      </c>
      <c r="E83" t="inlineStr">
        <is>
          <t>时间轴ppt模板公司发展历程大事件历史时间线工作汇报告项目进程
——★24小时自动秒发百度网盘 ★——
——★24小时自动秒发百度网盘 ★——
——★24小时自动秒发百度网盘 ★——
310套时间轴PPT 多风格 可编辑
发展历程 项目进度 历史演变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83" s="2" t="str">
        <f>=HYPERLINK("http://img.alicdn.com/bao/uploaded/i3/O1CN0184PsNy1dZ5x0Ppl4V_!!4611686018427387605-0-fleamarket.jpg_790x10000Q90.jpg_.webp", "img.alicdn.com/bao/uploaded/i3/O1CN0184PsNy1dZ5x0Ppl4V_!!4611686018427387605-0-fleamarket.jpg_790x10000Q90.jpg_.webp")</f>
        <v>img.alicdn.com/bao/uploaded/i3/O1CN0184PsNy1dZ5x0Ppl4V_!!4611686018427387605-0-fleamarket.jpg_790x10000Q90.jpg_.webp</v>
      </c>
      <c r="G83"/>
      <c r="H83" s="2" t="str">
        <f>=HYPERLINK("https://www.goofish.com/item?spm=a21ybx.personal.feeds.406.12e16ac2PYxLX9&amp;id=989027302177&amp;categoryId=50023914", "https://www.goofish.com/item?spm=a21ybx.personal.feeds.406.12e16ac2PYxLX9&amp;id=989027302177&amp;categoryId=50023914")</f>
        <v>https://www.goofish.com/item?spm=a21ybx.personal.feeds.406.12e16ac2PYxLX9&amp;id=989027302177&amp;categoryId=50023914</v>
      </c>
      <c r="I83"/>
      <c r="J83"/>
      <c r="K83"/>
      <c r="L83"/>
    </row>
    <row r="84" ht="25.5" customHeight="1">
      <c r="A84" t="inlineStr">
        <is>
          <t>全国高校教师教学创新</t>
        </is>
      </c>
      <c r="B84">
        <v>154</v>
      </c>
      <c r="C84" t="inlineStr">
        <is>
          <t>【超级会员V1】通过百度网盘分享的文件：高校教育教学申报…
链接:https://pan.baidu.com/s/1ulbRb39BykYwa9NUPwsLoA 
提取码:i9wc
复制这段内容打开「百度网盘APP 即可获取」</t>
        </is>
      </c>
      <c r="D84" t="inlineStr">
        <is>
          <t>是</t>
        </is>
      </c>
      <c r="E84" t="inlineStr">
        <is>
          <t>全国高校教师教学创新大赛ppt课堂实录视频设计汇报告获奖申报书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84" s="2" t="str">
        <f>=HYPERLINK("http://img.alicdn.com/bao/uploaded/i3/O1CN01Eg20Pf1dZ5wyD08LR_!!4611686018427387605-0-fleamarket.jpg_790x10000Q90.jpg_.webp", "img.alicdn.com/bao/uploaded/i3/O1CN01Eg20Pf1dZ5wyD08LR_!!4611686018427387605-0-fleamarket.jpg_790x10000Q90.jpg_.webp")</f>
        <v>img.alicdn.com/bao/uploaded/i3/O1CN01Eg20Pf1dZ5wyD08LR_!!4611686018427387605-0-fleamarket.jpg_790x10000Q90.jpg_.webp</v>
      </c>
      <c r="G84"/>
      <c r="H84" s="2" t="str">
        <f>=HYPERLINK("https://www.goofish.com/item?spm=a21ybx.personal.feeds.424.12e16ac2PYxLX9&amp;id=989099081586&amp;categoryId=50023914", "https://www.goofish.com/item?spm=a21ybx.personal.feeds.424.12e16ac2PYxLX9&amp;id=989099081586&amp;categoryId=50023914")</f>
        <v>https://www.goofish.com/item?spm=a21ybx.personal.feeds.424.12e16ac2PYxLX9&amp;id=989099081586&amp;categoryId=50023914</v>
      </c>
      <c r="I84"/>
      <c r="J84"/>
      <c r="K84"/>
      <c r="L84"/>
    </row>
    <row r="85" ht="25.5" customHeight="1">
      <c r="A85" t="inlineStr">
        <is>
          <t>年级小学生数学手抄报</t>
        </is>
      </c>
      <c r="B85">
        <v>155</v>
      </c>
      <c r="C85" t="inlineStr">
        <is>
          <t>【超级会员V2】通过百度网盘分享的文件：S002-数学手…
链接:https://pan.baidu.com/s/1SgTFCucE69mVGMbgUbz3Tw 
提取码:t3i7
复制这段内容打开「百度网盘APP 即可获取」</t>
        </is>
      </c>
      <c r="D85" t="inlineStr">
        <is>
          <t>是</t>
        </is>
      </c>
      <c r="E85" t="inlineStr">
        <is>
          <t>年级小学生数学手抄报模板电子版趣味数学与生活数学乐园小报A3A4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is>
      </c>
      <c r="F85" s="2" t="str">
        <f>=HYPERLINK("http://img.alicdn.com/bao/uploaded/i1/O1CN01jXCnOl1dZ5wqn9gw0_!!4611686018427387605-2-fleamarket.png_790x10000.jpg_.webp", "img.alicdn.com/bao/uploaded/i1/O1CN01jXCnOl1dZ5wqn9gw0_!!4611686018427387605-2-fleamarket.png_790x10000.jpg_.webp")</f>
        <v>img.alicdn.com/bao/uploaded/i1/O1CN01jXCnOl1dZ5wqn9gw0_!!4611686018427387605-2-fleamarket.png_790x10000.jpg_.webp</v>
      </c>
      <c r="G85"/>
      <c r="H85" s="2" t="str">
        <f>=HYPERLINK("https://www.goofish.com/item?spm=a21ybx.personal.feeds.471.12e16ac2PYxLX9&amp;id=985682259333&amp;categoryId=50023914", "https://www.goofish.com/item?spm=a21ybx.personal.feeds.471.12e16ac2PYxLX9&amp;id=985682259333&amp;categoryId=50023914")</f>
        <v>https://www.goofish.com/item?spm=a21ybx.personal.feeds.471.12e16ac2PYxLX9&amp;id=985682259333&amp;categoryId=50023914</v>
      </c>
      <c r="I85"/>
      <c r="J85"/>
      <c r="K85"/>
      <c r="L85"/>
    </row>
    <row r="86" ht="25.5" customHeight="1">
      <c r="A86" t="inlineStr">
        <is>
          <t>大学老师副教授正高级</t>
        </is>
      </c>
      <c r="B86">
        <v>156</v>
      </c>
      <c r="C86" t="inlineStr">
        <is>
          <t>不好意思! 这个资源丢失了，请等管理员操作~</t>
        </is>
      </c>
      <c r="D86" t="inlineStr">
        <is>
          <t>是</t>
        </is>
      </c>
      <c r="E86" t="inlineStr">
        <is>
          <t>大学老师副教授正高级科研究员职称申报学术汇报答辩PPT模板评审
——★24小时自动秒发百度网盘 ★——
——★24小时自动秒发百度网盘 ★——
——★24小时自动秒发百度网盘 ★——
4套职称申报PPT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86" s="2" t="str">
        <f>=HYPERLINK("http://img.alicdn.com/bao/uploaded/i3/O1CN01vdK4t11dZ5wzAaHgV_!!4611686018427387605-0-fleamarket.jpg_790x10000Q90.jpg_.webp", "img.alicdn.com/bao/uploaded/i3/O1CN01vdK4t11dZ5wzAaHgV_!!4611686018427387605-0-fleamarket.jpg_790x10000Q90.jpg_.webp")</f>
        <v>img.alicdn.com/bao/uploaded/i3/O1CN01vdK4t11dZ5wzAaHgV_!!4611686018427387605-0-fleamarket.jpg_790x10000Q90.jpg_.webp</v>
      </c>
      <c r="G86"/>
      <c r="H86" s="2" t="str">
        <f>=HYPERLINK("https://www.goofish.com/item?spm=a21ybx.personal.feeds.405.12e16ac2PYxLX9&amp;id=988463271302&amp;categoryId=50023914", "https://www.goofish.com/item?spm=a21ybx.personal.feeds.405.12e16ac2PYxLX9&amp;id=988463271302&amp;categoryId=50023914")</f>
        <v>https://www.goofish.com/item?spm=a21ybx.personal.feeds.405.12e16ac2PYxLX9&amp;id=988463271302&amp;categoryId=50023914</v>
      </c>
      <c r="I86"/>
      <c r="J86"/>
      <c r="K86"/>
      <c r="L86"/>
    </row>
    <row r="87" ht="25.5" customHeight="1">
      <c r="A87" t="inlineStr">
        <is>
          <t>PPT模板简约高级商</t>
        </is>
      </c>
      <c r="B87">
        <v>157</v>
      </c>
      <c r="C87" t="inlineStr">
        <is>
          <t>不好意思! 这个资源丢失了，请等管理员操作~</t>
        </is>
      </c>
      <c r="D87" t="inlineStr">
        <is>
          <t>是</t>
        </is>
      </c>
      <c r="E87" t="inlineStr">
        <is>
          <t>PPT模板简约高级商务精英展示专家讲师团队名人简介排版人物介绍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87" s="2" t="str">
        <f>=HYPERLINK("http://img.alicdn.com/bao/uploaded/i4/O1CN01IQQZNn1dZ5wxiceHc_!!4611686018427387605-0-fleamarket.jpg_790x10000Q90.jpg_.webp", "img.alicdn.com/bao/uploaded/i4/O1CN01IQQZNn1dZ5wxiceHc_!!4611686018427387605-0-fleamarket.jpg_790x10000Q90.jpg_.webp")</f>
        <v>img.alicdn.com/bao/uploaded/i4/O1CN01IQQZNn1dZ5wxiceHc_!!4611686018427387605-0-fleamarket.jpg_790x10000Q90.jpg_.webp</v>
      </c>
      <c r="G87"/>
      <c r="H87" s="2" t="str">
        <f>=HYPERLINK("https://www.goofish.com/item?spm=a21ybx.personal.feeds.413.12e16ac2PYxLX9&amp;id=987990827174&amp;categoryId=50023914", "https://www.goofish.com/item?spm=a21ybx.personal.feeds.413.12e16ac2PYxLX9&amp;id=987990827174&amp;categoryId=50023914")</f>
        <v>https://www.goofish.com/item?spm=a21ybx.personal.feeds.413.12e16ac2PYxLX9&amp;id=987990827174&amp;categoryId=50023914</v>
      </c>
      <c r="I87"/>
      <c r="J87"/>
      <c r="K87"/>
      <c r="L87"/>
    </row>
    <row r="88" ht="25.5" customHeight="1">
      <c r="A88" t="inlineStr">
        <is>
          <t>国庆节爱国红色主题儿</t>
        </is>
      </c>
      <c r="B88">
        <v>158</v>
      </c>
      <c r="C88" t="inlineStr">
        <is>
          <t>不好意思! 这个资源丢失了，请等管理员操作~</t>
        </is>
      </c>
      <c r="D88" t="inlineStr">
        <is>
          <t>是</t>
        </is>
      </c>
      <c r="E88" t="inlineStr">
        <is>
          <t>国庆节爱国红色主题儿童画绘画小学生线稿电子版手抄报模板爱祖国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88" s="2" t="str">
        <f>=HYPERLINK("http://img.alicdn.com/bao/uploaded/i4/O1CN01ABxqNG1dZ5wZnwWfw_!!4611686018427387605-0-fleamarket.jpg_790x10000Q90.jpg_.webp", "img.alicdn.com/bao/uploaded/i4/O1CN01ABxqNG1dZ5wZnwWfw_!!4611686018427387605-0-fleamarket.jpg_790x10000Q90.jpg_.webp")</f>
        <v>img.alicdn.com/bao/uploaded/i4/O1CN01ABxqNG1dZ5wZnwWfw_!!4611686018427387605-0-fleamarket.jpg_790x10000Q90.jpg_.webp</v>
      </c>
      <c r="G88"/>
      <c r="H88" s="2" t="str">
        <f>=HYPERLINK("https://www.goofish.com/item?spm=a21ybx.personal.feeds.524.12e16ac2PYxLX9&amp;id=980224626695&amp;categoryId=50023914", "https://www.goofish.com/item?spm=a21ybx.personal.feeds.524.12e16ac2PYxLX9&amp;id=980224626695&amp;categoryId=50023914")</f>
        <v>https://www.goofish.com/item?spm=a21ybx.personal.feeds.524.12e16ac2PYxLX9&amp;id=980224626695&amp;categoryId=50023914</v>
      </c>
      <c r="I88"/>
      <c r="J88"/>
      <c r="K88"/>
      <c r="L88"/>
    </row>
    <row r="89" ht="25.5" customHeight="1">
      <c r="A89" t="inlineStr">
        <is>
          <t>听音乐猜歌名游戏PP</t>
        </is>
      </c>
      <c r="B89">
        <v>159</v>
      </c>
      <c r="C89" t="inlineStr">
        <is>
          <t>不好意思! 这个资源丢失了，请等管理员操作~</t>
        </is>
      </c>
      <c r="D89" t="inlineStr">
        <is>
          <t>是</t>
        </is>
      </c>
      <c r="E89" t="inlineStr">
        <is>
          <t>听音乐猜歌名游戏PPT学校企业早会晨会年会团建主持演讲互动游戏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89" s="2" t="str">
        <f>=HYPERLINK("http://img.alicdn.com/bao/uploaded/i4/O1CN01424ckr1dZ5wu6geOq_!!4611686018427387605-0-fleamarket.jpg_790x10000Q90.jpg_.webp", "img.alicdn.com/bao/uploaded/i4/O1CN01424ckr1dZ5wu6geOq_!!4611686018427387605-0-fleamarket.jpg_790x10000Q90.jpg_.webp")</f>
        <v>img.alicdn.com/bao/uploaded/i4/O1CN01424ckr1dZ5wu6geOq_!!4611686018427387605-0-fleamarket.jpg_790x10000Q90.jpg_.webp</v>
      </c>
      <c r="G89"/>
      <c r="H89" s="2" t="str">
        <f>=HYPERLINK("https://www.goofish.com/item?spm=a21ybx.personal.feeds.450.12e16ac2PYxLX9&amp;id=987356914309&amp;categoryId=50023914", "https://www.goofish.com/item?spm=a21ybx.personal.feeds.450.12e16ac2PYxLX9&amp;id=987356914309&amp;categoryId=50023914")</f>
        <v>https://www.goofish.com/item?spm=a21ybx.personal.feeds.450.12e16ac2PYxLX9&amp;id=987356914309&amp;categoryId=50023914</v>
      </c>
      <c r="I89"/>
      <c r="J89"/>
      <c r="K89"/>
      <c r="L89"/>
    </row>
    <row r="90" ht="25.5" customHeight="1">
      <c r="A90" t="inlineStr">
        <is>
          <t>企业公司产品宣传品牌</t>
        </is>
      </c>
      <c r="B90">
        <v>160</v>
      </c>
      <c r="C90" t="inlineStr">
        <is>
          <t>不好意思! 这个资源丢失了，请等管理员操作~</t>
        </is>
      </c>
      <c r="D90" t="inlineStr">
        <is>
          <t>是</t>
        </is>
      </c>
      <c r="E90" t="inlineStr">
        <is>
          <t>企业公司产品宣传品牌vi手册模板AI全套作品CDR设计PSD样机ID素材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0" s="2" t="str">
        <f>=HYPERLINK("http://img.alicdn.com/bao/uploaded/i2/O1CN01nZSSmD1dZ5xHS0oz0_!!4611686018427387605-0-fleamarket.jpg_790x10000Q90.jpg_.webp", "img.alicdn.com/bao/uploaded/i2/O1CN01nZSSmD1dZ5xHS0oz0_!!4611686018427387605-0-fleamarket.jpg_790x10000Q90.jpg_.webp")</f>
        <v>img.alicdn.com/bao/uploaded/i2/O1CN01nZSSmD1dZ5xHS0oz0_!!4611686018427387605-0-fleamarket.jpg_790x10000Q90.jpg_.webp</v>
      </c>
      <c r="G90"/>
      <c r="H90" s="2" t="str">
        <f>=HYPERLINK("https://www.goofish.com/item?spm=a21ybx.personal.feeds.171.12e16ac2PYxLX9&amp;id=993553130615&amp;categoryId=50023914", "https://www.goofish.com/item?spm=a21ybx.personal.feeds.171.12e16ac2PYxLX9&amp;id=993553130615&amp;categoryId=50023914")</f>
        <v>https://www.goofish.com/item?spm=a21ybx.personal.feeds.171.12e16ac2PYxLX9&amp;id=993553130615&amp;categoryId=50023914</v>
      </c>
      <c r="I90"/>
      <c r="J90"/>
      <c r="K90"/>
      <c r="L90"/>
    </row>
    <row r="91" ht="25.5" customHeight="1">
      <c r="A91" t="inlineStr">
        <is>
          <t>企业岗位竞聘ppt模</t>
        </is>
      </c>
      <c r="B91">
        <v>161</v>
      </c>
      <c r="C91" t="inlineStr">
        <is>
          <t>不好意思! 这个资源丢失了，请等管理员操作~</t>
        </is>
      </c>
      <c r="D91" t="inlineStr">
        <is>
          <t>是</t>
        </is>
      </c>
      <c r="E91" t="inlineStr">
        <is>
          <t>企业岗位竞聘ppt模板简约商务大气个人述职简历自我介绍演讲动态
——★24小时自动秒发百度网盘 ★——
47款岗位竞聘PPT，拍下全发！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t>
        </is>
      </c>
      <c r="F91" s="2" t="str">
        <f>=HYPERLINK("http://img.alicdn.com/bao/uploaded/i2/O1CN01OMkDh61dZ5wB78Jfj_!!4611686018427387605-0-fleamarket.jpg_790x10000Q90.jpg_.webp", "img.alicdn.com/bao/uploaded/i2/O1CN01OMkDh61dZ5wB78Jfj_!!4611686018427387605-0-fleamarket.jpg_790x10000Q90.jpg_.webp")</f>
        <v>img.alicdn.com/bao/uploaded/i2/O1CN01OMkDh61dZ5wB78Jfj_!!4611686018427387605-0-fleamarket.jpg_790x10000Q90.jpg_.webp</v>
      </c>
      <c r="G91"/>
      <c r="H91" s="2" t="str">
        <f>=HYPERLINK("https://www.goofish.com/item?spm=a21ybx.personal.feeds.282.12e16ac2PYxLX9&amp;id=969744759110&amp;categoryId=50023914", "https://www.goofish.com/item?spm=a21ybx.personal.feeds.282.12e16ac2PYxLX9&amp;id=969744759110&amp;categoryId=50023914")</f>
        <v>https://www.goofish.com/item?spm=a21ybx.personal.feeds.282.12e16ac2PYxLX9&amp;id=969744759110&amp;categoryId=50023914</v>
      </c>
      <c r="I91"/>
      <c r="J91"/>
      <c r="K91"/>
      <c r="L91"/>
    </row>
    <row r="92" ht="25.5" customHeight="1">
      <c r="A92" t="inlineStr">
        <is>
          <t>PPT模板校园大学辩</t>
        </is>
      </c>
      <c r="B92">
        <v>162</v>
      </c>
      <c r="C92" t="inlineStr">
        <is>
          <t>不好意思! 这个资源丢失了，请等管理员操作~</t>
        </is>
      </c>
      <c r="D92" t="inlineStr">
        <is>
          <t>是</t>
        </is>
      </c>
      <c r="E92" t="inlineStr">
        <is>
          <t>PPT模板校园大学辩论赛职场巅峰对决主题比赛辩手倒计时成品课件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2" s="2" t="str">
        <f>=HYPERLINK("http://img.alicdn.com/bao/uploaded/i2/O1CN01A1nB6M1dZ5x2lOCNw_!!4611686018427387605-0-fleamarket.jpg_790x10000Q90.jpg_.webp", "img.alicdn.com/bao/uploaded/i2/O1CN01A1nB6M1dZ5x2lOCNw_!!4611686018427387605-0-fleamarket.jpg_790x10000Q90.jpg_.webp")</f>
        <v>img.alicdn.com/bao/uploaded/i2/O1CN01A1nB6M1dZ5x2lOCNw_!!4611686018427387605-0-fleamarket.jpg_790x10000Q90.jpg_.webp</v>
      </c>
      <c r="G92"/>
      <c r="H92" s="2" t="str">
        <f>=HYPERLINK("https://www.goofish.com/item?spm=a21ybx.personal.feeds.367.12e16ac2PYxLX9&amp;id=989831478508&amp;categoryId=50023914", "https://www.goofish.com/item?spm=a21ybx.personal.feeds.367.12e16ac2PYxLX9&amp;id=989831478508&amp;categoryId=50023914")</f>
        <v>https://www.goofish.com/item?spm=a21ybx.personal.feeds.367.12e16ac2PYxLX9&amp;id=989831478508&amp;categoryId=50023914</v>
      </c>
      <c r="I92"/>
      <c r="J92"/>
      <c r="K92"/>
      <c r="L92"/>
    </row>
    <row r="93" ht="25.5" customHeight="1">
      <c r="A93" t="inlineStr">
        <is>
          <t>全国教学PPT能力大</t>
        </is>
      </c>
      <c r="B93">
        <v>163</v>
      </c>
      <c r="C93" t="inlineStr">
        <is>
          <t>不好意思! 这个资源丢失了，请等管理员操作~</t>
        </is>
      </c>
      <c r="D93" t="inlineStr">
        <is>
          <t>是</t>
        </is>
      </c>
      <c r="E93" t="inlineStr">
        <is>
          <t>全国教学PPT能力大赛实施报告模板十二图教师国金技能讲课课件
——★24小时自动秒发百度网盘 ★——
——★24小时自动秒发百度网盘 ★——
——★24小时自动秒发百度网盘 ★——
完整12图+精选实施PPT+讲课
40套实施报告+327套讲课PPT模板
大赛配图案例库 国赛精选案例模板
40套 国赛获奖PPT模板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3" s="2" t="str">
        <f>=HYPERLINK("http://img.alicdn.com/bao/uploaded/i1/O1CN01YecB551dZ5xN9hN1c_!!4611686018427387605-0-fleamarket.jpg_790x10000Q90.jpg_.webp", "img.alicdn.com/bao/uploaded/i1/O1CN01YecB551dZ5xN9hN1c_!!4611686018427387605-0-fleamarket.jpg_790x10000Q90.jpg_.webp")</f>
        <v>img.alicdn.com/bao/uploaded/i1/O1CN01YecB551dZ5xN9hN1c_!!4611686018427387605-0-fleamarket.jpg_790x10000Q90.jpg_.webp</v>
      </c>
      <c r="G93"/>
      <c r="H93" s="2" t="str">
        <f>=HYPERLINK("https://www.goofish.com/item?spm=a21ybx.personal.feeds.82.12e16ac2PYxLX9&amp;id=994980775877&amp;categoryId=50023914", "https://www.goofish.com/item?spm=a21ybx.personal.feeds.82.12e16ac2PYxLX9&amp;id=994980775877&amp;categoryId=50023914")</f>
        <v>https://www.goofish.com/item?spm=a21ybx.personal.feeds.82.12e16ac2PYxLX9&amp;id=994980775877&amp;categoryId=50023914</v>
      </c>
      <c r="I93"/>
      <c r="J93"/>
      <c r="K93"/>
      <c r="L93"/>
    </row>
    <row r="94" ht="25.5" customHeight="1">
      <c r="A94" t="inlineStr">
        <is>
          <t>ppt模板工作汇报高</t>
        </is>
      </c>
      <c r="B94">
        <v>164</v>
      </c>
      <c r="C94" t="inlineStr">
        <is>
          <t>不好意思! 这个资源丢失了，请等管理员操作~</t>
        </is>
      </c>
      <c r="D94" t="inlineStr">
        <is>
          <t>是</t>
        </is>
      </c>
      <c r="E94" t="inlineStr">
        <is>
          <t>ppt模板工作汇报高级红色商务个人项目述职报告季度年终总结复盘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t>
        </is>
      </c>
      <c r="F94" s="2" t="str">
        <f>=HYPERLINK("http://img.alicdn.com/bao/uploaded/i2/O1CN01J1o19L1dZ5wpSgARi_!!4611686018427387605-0-fleamarket.jpg_790x10000Q90.jpg_.webp", "img.alicdn.com/bao/uploaded/i2/O1CN01J1o19L1dZ5wpSgARi_!!4611686018427387605-0-fleamarket.jpg_790x10000Q90.jpg_.webp")</f>
        <v>img.alicdn.com/bao/uploaded/i2/O1CN01J1o19L1dZ5wpSgARi_!!4611686018427387605-0-fleamarket.jpg_790x10000Q90.jpg_.webp</v>
      </c>
      <c r="G94"/>
      <c r="H94" s="2" t="str">
        <f>=HYPERLINK("https://www.goofish.com/item?spm=a21ybx.personal.feeds.476.12e16ac2PYxLX9&amp;id=986224278767&amp;categoryId=50023914", "https://www.goofish.com/item?spm=a21ybx.personal.feeds.476.12e16ac2PYxLX9&amp;id=986224278767&amp;categoryId=50023914")</f>
        <v>https://www.goofish.com/item?spm=a21ybx.personal.feeds.476.12e16ac2PYxLX9&amp;id=986224278767&amp;categoryId=50023914</v>
      </c>
      <c r="I94"/>
      <c r="J94"/>
      <c r="K94"/>
      <c r="L94"/>
    </row>
    <row r="95" ht="25.5" customHeight="1">
      <c r="A95" t="inlineStr">
        <is>
          <t>卡通可爱小学生幼儿园</t>
        </is>
      </c>
      <c r="B95">
        <v>165</v>
      </c>
      <c r="C95" t="inlineStr">
        <is>
          <t>不好意思! 这个资源丢失了，请等管理员操作~</t>
        </is>
      </c>
      <c r="D95" t="inlineStr">
        <is>
          <t>是</t>
        </is>
      </c>
      <c r="E95" t="inlineStr">
        <is>
          <t>卡通可爱小学生幼儿园情绪管理心理健康教育主题班会动态ppt模板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5" s="2" t="str">
        <f>=HYPERLINK("http://img.alicdn.com/bao/uploaded/i3/O1CN01Tf9s1R1dZ5wkQ9iZB_!!4611686018427387605-0-fleamarket.jpg_790x10000Q90.jpg_.webp", "img.alicdn.com/bao/uploaded/i3/O1CN01Tf9s1R1dZ5wkQ9iZB_!!4611686018427387605-0-fleamarket.jpg_790x10000Q90.jpg_.webp")</f>
        <v>img.alicdn.com/bao/uploaded/i3/O1CN01Tf9s1R1dZ5wkQ9iZB_!!4611686018427387605-0-fleamarket.jpg_790x10000Q90.jpg_.webp</v>
      </c>
      <c r="G95"/>
      <c r="H95" s="2" t="str">
        <f>=HYPERLINK("https://www.goofish.com/item?spm=a21ybx.personal.feeds.519.12e16ac2PYxLX9&amp;id=984358905461&amp;categoryId=50023914", "https://www.goofish.com/item?spm=a21ybx.personal.feeds.519.12e16ac2PYxLX9&amp;id=984358905461&amp;categoryId=50023914")</f>
        <v>https://www.goofish.com/item?spm=a21ybx.personal.feeds.519.12e16ac2PYxLX9&amp;id=984358905461&amp;categoryId=50023914</v>
      </c>
      <c r="I95"/>
      <c r="J95"/>
      <c r="K95"/>
      <c r="L95"/>
    </row>
    <row r="96" ht="25.5" customHeight="1">
      <c r="A96" t="inlineStr">
        <is>
          <t>中小学期中期末考试表</t>
        </is>
      </c>
      <c r="B96">
        <v>166</v>
      </c>
      <c r="C96" t="inlineStr">
        <is>
          <t>不好意思! 这个资源丢失了，请等管理员操作~</t>
        </is>
      </c>
      <c r="D96" t="inlineStr">
        <is>
          <t>是</t>
        </is>
      </c>
      <c r="E96" t="inlineStr">
        <is>
          <t>中小学期中期末考试表彰大会学校班级颁奖PPT模板课件素材可修改
——★24小时自动秒发百度网盘 ★——
——★24小时自动秒发百度网盘 ★——
——★24小时自动秒发百度网盘 ★——
55套期中期末表彰
PPT模板+赠发言稿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6" s="2" t="str">
        <f>=HYPERLINK("http://img.alicdn.com/bao/uploaded/i1/O1CN01qSBRA01dZ5xKmsXp0_!!4611686018427387605-0-fleamarket.jpg_790x10000Q90.jpg_.webp", "img.alicdn.com/bao/uploaded/i1/O1CN01qSBRA01dZ5xKmsXp0_!!4611686018427387605-0-fleamarket.jpg_790x10000Q90.jpg_.webp")</f>
        <v>img.alicdn.com/bao/uploaded/i1/O1CN01qSBRA01dZ5xKmsXp0_!!4611686018427387605-0-fleamarket.jpg_790x10000Q90.jpg_.webp</v>
      </c>
      <c r="G96"/>
      <c r="H96" s="2" t="str">
        <f>=HYPERLINK("https://www.goofish.com/item?spm=a21ybx.personal.feeds.146.12e16ac2PYxLX9&amp;id=994107443561&amp;categoryId=50023914", "https://www.goofish.com/item?spm=a21ybx.personal.feeds.146.12e16ac2PYxLX9&amp;id=994107443561&amp;categoryId=50023914")</f>
        <v>https://www.goofish.com/item?spm=a21ybx.personal.feeds.146.12e16ac2PYxLX9&amp;id=994107443561&amp;categoryId=50023914</v>
      </c>
      <c r="I96"/>
      <c r="J96"/>
      <c r="K96"/>
      <c r="L96"/>
    </row>
    <row r="97" ht="25.5" customHeight="1">
      <c r="A97" t="inlineStr">
        <is>
          <t>高校教育教学成果奖项</t>
        </is>
      </c>
      <c r="B97">
        <v>167</v>
      </c>
      <c r="C97" t="inlineStr">
        <is>
          <t>不好意思! 这个资源丢失了，请等管理员操作~</t>
        </is>
      </c>
      <c r="D97" t="inlineStr">
        <is>
          <t>是</t>
        </is>
      </c>
      <c r="E97" t="inlineStr">
        <is>
          <t>高校教育教学成果奖项改革教改课题申报书思政课程案例立项申请书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7" s="2" t="str">
        <f>=HYPERLINK("http://img.alicdn.com/bao/uploaded/i1/O1CN01f6arXb1dZ5wxmGhqe_!!4611686018427387605-0-fleamarket.jpg_790x10000Q90.jpg_.webp", "img.alicdn.com/bao/uploaded/i1/O1CN01f6arXb1dZ5wxmGhqe_!!4611686018427387605-0-fleamarket.jpg_790x10000Q90.jpg_.webp")</f>
        <v>img.alicdn.com/bao/uploaded/i1/O1CN01f6arXb1dZ5wxmGhqe_!!4611686018427387605-0-fleamarket.jpg_790x10000Q90.jpg_.webp</v>
      </c>
      <c r="G97"/>
      <c r="H97" s="2" t="str">
        <f>=HYPERLINK("https://www.goofish.com/item?spm=a21ybx.personal.feeds.426.12e16ac2PYxLX9&amp;id=989101033032&amp;categoryId=50023914", "https://www.goofish.com/item?spm=a21ybx.personal.feeds.426.12e16ac2PYxLX9&amp;id=989101033032&amp;categoryId=50023914")</f>
        <v>https://www.goofish.com/item?spm=a21ybx.personal.feeds.426.12e16ac2PYxLX9&amp;id=989101033032&amp;categoryId=50023914</v>
      </c>
      <c r="I97"/>
      <c r="J97"/>
      <c r="K97"/>
      <c r="L97"/>
    </row>
    <row r="98" ht="25.5" customHeight="1">
      <c r="A98" t="inlineStr">
        <is>
          <t>思维导图ppt模板可</t>
        </is>
      </c>
      <c r="B98">
        <v>169</v>
      </c>
      <c r="C98" t="inlineStr">
        <is>
          <t>不好意思! 这个资源丢失了，请等管理员操作~</t>
        </is>
      </c>
      <c r="D98" t="inlineStr">
        <is>
          <t>是</t>
        </is>
      </c>
      <c r="E98" t="inlineStr">
        <is>
          <t>思维导图ppt模板可编辑word流程逻辑数据图表鱼骨树状逻辑时间轴
——★24小时自动秒发百度网盘 ★——
——★24小时自动秒发百度网盘 ★——
——★24小时自动秒发百度网盘 ★——
4000款思维导图模板 PPT+Word+Xmind 可编辑 源文件
结构图 流程图 气泡图 鱼骨图 逻辑图 组织图 时间轴 树形图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8" s="2" t="str">
        <f>=HYPERLINK("http://img.alicdn.com/bao/uploaded/i1/O1CN01aedjLd1dZ5xLsjsZx_!!4611686018427387605-0-fleamarket.jpg_790x10000Q90.jpg_.webp", "img.alicdn.com/bao/uploaded/i1/O1CN01aedjLd1dZ5xLsjsZx_!!4611686018427387605-0-fleamarket.jpg_790x10000Q90.jpg_.webp")</f>
        <v>img.alicdn.com/bao/uploaded/i1/O1CN01aedjLd1dZ5xLsjsZx_!!4611686018427387605-0-fleamarket.jpg_790x10000Q90.jpg_.webp</v>
      </c>
      <c r="G98"/>
      <c r="H98" s="2" t="str">
        <f>=HYPERLINK("https://www.goofish.com/item?spm=a21ybx.personal.feeds.127.12e16ac2PYxLX9&amp;id=994960374702&amp;categoryId=50023914", "https://www.goofish.com/item?spm=a21ybx.personal.feeds.127.12e16ac2PYxLX9&amp;id=994960374702&amp;categoryId=50023914")</f>
        <v>https://www.goofish.com/item?spm=a21ybx.personal.feeds.127.12e16ac2PYxLX9&amp;id=994960374702&amp;categoryId=50023914</v>
      </c>
      <c r="I98"/>
      <c r="J98"/>
      <c r="K98"/>
      <c r="L98"/>
    </row>
    <row r="99" ht="25.5" customHeight="1">
      <c r="A99" t="inlineStr">
        <is>
          <t>中国风典雅大气简约古</t>
        </is>
      </c>
      <c r="B99">
        <v>170</v>
      </c>
      <c r="C99" t="inlineStr">
        <is>
          <t>不好意思! 这个资源丢失了，请等管理员操作~</t>
        </is>
      </c>
      <c r="D99" t="inlineStr">
        <is>
          <t>是</t>
        </is>
      </c>
      <c r="E99" t="inlineStr">
        <is>
          <t>中国风典雅大气简约古风国潮水墨教学教育说课件通用动态ppt模板
——★24小时自动秒发百度网盘 ★——
——★24小时自动秒发百度网盘 ★——
——★24小时自动秒发百度网盘 ★——
10款中国古风PPt
大小:798MB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99" s="2" t="str">
        <f>=HYPERLINK("http://img.alicdn.com/bao/uploaded/i3/O1CN01yCvXfY1dZ5wznTLhN_!!4611686018427387605-0-fleamarket.jpg_790x10000Q90.jpg_.webp", "img.alicdn.com/bao/uploaded/i3/O1CN01yCvXfY1dZ5wznTLhN_!!4611686018427387605-0-fleamarket.jpg_790x10000Q90.jpg_.webp")</f>
        <v>img.alicdn.com/bao/uploaded/i3/O1CN01yCvXfY1dZ5wznTLhN_!!4611686018427387605-0-fleamarket.jpg_790x10000Q90.jpg_.webp</v>
      </c>
      <c r="G99"/>
      <c r="H99" s="2" t="str">
        <f>=HYPERLINK("https://www.goofish.com/item?spm=a21ybx.personal.feeds.397.12e16ac2PYxLX9&amp;id=989991817946&amp;categoryId=50023914", "https://www.goofish.com/item?spm=a21ybx.personal.feeds.397.12e16ac2PYxLX9&amp;id=989991817946&amp;categoryId=50023914")</f>
        <v>https://www.goofish.com/item?spm=a21ybx.personal.feeds.397.12e16ac2PYxLX9&amp;id=989991817946&amp;categoryId=50023914</v>
      </c>
      <c r="I99"/>
      <c r="J99"/>
      <c r="K99"/>
      <c r="L99"/>
    </row>
    <row r="100" ht="25.5" customHeight="1">
      <c r="A100" t="inlineStr">
        <is>
          <t>草图大师模型SU园林</t>
        </is>
      </c>
      <c r="B100">
        <v>171</v>
      </c>
      <c r="C100" t="inlineStr">
        <is>
          <t>【超级会员V1】通过百度网盘分享的文件：草图大师园林景观…
链接:https://pan.baidu.com/s/1XRXq69z1u3DnWVee8LLrUA 
提取码:acx4
复制这段内容打开「百度网盘APP 即可获取」</t>
        </is>
      </c>
      <c r="D100" t="inlineStr">
        <is>
          <t>是</t>
        </is>
      </c>
      <c r="E100" t="inlineStr">
        <is>
          <t>草图大师模型SU园林景观植物花草树木灌木Sketchup凉亭2D组件单体
——★24小时自动秒发百度网盘 ★——
——★24小时自动秒发百度网盘 ★——
——★24小时自动秒发百度网盘 ★——
2025新款模型2D/3D植物/景观墙/喷泉/盆栽/石头/凉亭/灯具/人物等
SU园林 8000套 园林景观40大分类 草图景观单体模型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0" s="2" t="str">
        <f>=HYPERLINK("http://img.alicdn.com/bao/uploaded/i4/O1CN01Z3fGC41dZ5xKbLfqc_!!4611686018427387605-0-fleamarket.jpg_790x10000Q90.jpg_.webp", "img.alicdn.com/bao/uploaded/i4/O1CN01Z3fGC41dZ5xKbLfqc_!!4611686018427387605-0-fleamarket.jpg_790x10000Q90.jpg_.webp")</f>
        <v>img.alicdn.com/bao/uploaded/i4/O1CN01Z3fGC41dZ5xKbLfqc_!!4611686018427387605-0-fleamarket.jpg_790x10000Q90.jpg_.webp</v>
      </c>
      <c r="G100"/>
      <c r="H100" s="2" t="str">
        <f>=HYPERLINK("https://www.goofish.com/item?spm=a21ybx.personal.feeds.151.12e16ac2PYxLX9&amp;id=994379570043&amp;categoryId=50023914", "https://www.goofish.com/item?spm=a21ybx.personal.feeds.151.12e16ac2PYxLX9&amp;id=994379570043&amp;categoryId=50023914")</f>
        <v>https://www.goofish.com/item?spm=a21ybx.personal.feeds.151.12e16ac2PYxLX9&amp;id=994379570043&amp;categoryId=50023914</v>
      </c>
      <c r="I100"/>
      <c r="J100"/>
      <c r="K100"/>
      <c r="L100"/>
    </row>
    <row r="101" ht="25.5" customHeight="1">
      <c r="A101" t="inlineStr">
        <is>
          <t>中国民间神话故事pp</t>
        </is>
      </c>
      <c r="B101">
        <v>172</v>
      </c>
      <c r="C101" t="inlineStr">
        <is>
          <t>不好意思! 这个资源丢失了，请等管理员操作~</t>
        </is>
      </c>
      <c r="D101" t="inlineStr">
        <is>
          <t>是</t>
        </is>
      </c>
      <c r="E101" t="inlineStr">
        <is>
          <t>中国民间神话故事ppt模板绘本古代神话传说女娲补天后羿课件演讲
——★24小时自动秒发百度网盘 ★——
——★24小时自动秒发百度网盘 ★——
——★24小时自动秒发百度网盘 ★——
神话故事/民间故事/演讲等
成品PPT模板，故事均含文字和插画
成品PPT，您可直接演讲使用!PPT文字可修改
我们家是高清版!电视/大屏幕/投影仪均可使用!
放心拍!今年新整理!很全很全很全!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1" s="2" t="str">
        <f>=HYPERLINK("http://img.alicdn.com/bao/uploaded/i3/O1CN01umSjMF1dZ5wkMBkjT_!!4611686018427387605-0-fleamarket.jpg_790x10000Q90.jpg_.webp", "img.alicdn.com/bao/uploaded/i3/O1CN01umSjMF1dZ5wkMBkjT_!!4611686018427387605-0-fleamarket.jpg_790x10000Q90.jpg_.webp")</f>
        <v>img.alicdn.com/bao/uploaded/i3/O1CN01umSjMF1dZ5wkMBkjT_!!4611686018427387605-0-fleamarket.jpg_790x10000Q90.jpg_.webp</v>
      </c>
      <c r="G101"/>
      <c r="H101" s="2" t="str">
        <f>=HYPERLINK("https://www.goofish.com/item?spm=a21ybx.personal.feeds.503.12e16ac2PYxLX9&amp;id=985524880575&amp;categoryId=50023914", "https://www.goofish.com/item?spm=a21ybx.personal.feeds.503.12e16ac2PYxLX9&amp;id=985524880575&amp;categoryId=50023914")</f>
        <v>https://www.goofish.com/item?spm=a21ybx.personal.feeds.503.12e16ac2PYxLX9&amp;id=985524880575&amp;categoryId=50023914</v>
      </c>
      <c r="I101"/>
      <c r="J101"/>
      <c r="K101"/>
      <c r="L101"/>
    </row>
    <row r="102" ht="25.5" customHeight="1">
      <c r="A102" t="inlineStr">
        <is>
          <t>我爱你中国 红歌祖国</t>
        </is>
      </c>
      <c r="B102">
        <v>173</v>
      </c>
      <c r="C102" t="inlineStr">
        <is>
          <t>不好意思! 这个资源丢失了，请等管理员操作~</t>
        </is>
      </c>
      <c r="D102" t="inlineStr">
        <is>
          <t>是</t>
        </is>
      </c>
      <c r="E102" t="inlineStr">
        <is>
          <t>我爱你中国 红歌祖国朗诵歌曲爱国庆伴奏演出led舞台背景视频素材
——★24小时自动秒发百度网盘 ★——
——★24小时自动秒发百度网盘 ★——
——★24小时自动秒发百度网盘 ★——
视频尺寸:1920X1080
时长有:3分钟 4分钟 5分钟等
原唱+伴奏+无声+歌词+MP3
有字幕+无字幕
这个视频品质非常高!现场大屏播放效果高清!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2" s="2" t="str">
        <f>=HYPERLINK("http://img.alicdn.com/bao/uploaded/i3/O1CN01tT1of61dZ5wkTpKIx_!!4611686018427387605-0-fleamarket.jpg_790x10000Q90.jpg_.webp", "img.alicdn.com/bao/uploaded/i3/O1CN01tT1of61dZ5wkTpKIx_!!4611686018427387605-0-fleamarket.jpg_790x10000Q90.jpg_.webp")</f>
        <v>img.alicdn.com/bao/uploaded/i3/O1CN01tT1of61dZ5wkTpKIx_!!4611686018427387605-0-fleamarket.jpg_790x10000Q90.jpg_.webp</v>
      </c>
      <c r="G102"/>
      <c r="H102" s="2" t="str">
        <f>=HYPERLINK("https://www.goofish.com/item?spm=a21ybx.personal.feeds.505.12e16ac2PYxLX9&amp;id=983568003573&amp;categoryId=50023914", "https://www.goofish.com/item?spm=a21ybx.personal.feeds.505.12e16ac2PYxLX9&amp;id=983568003573&amp;categoryId=50023914")</f>
        <v>https://www.goofish.com/item?spm=a21ybx.personal.feeds.505.12e16ac2PYxLX9&amp;id=983568003573&amp;categoryId=50023914</v>
      </c>
      <c r="I102"/>
      <c r="J102"/>
      <c r="K102"/>
      <c r="L102"/>
    </row>
    <row r="103" ht="25.5" customHeight="1">
      <c r="A103" t="inlineStr">
        <is>
          <t>2026马年红色简约</t>
        </is>
      </c>
      <c r="B103">
        <v>174</v>
      </c>
      <c r="C103" t="inlineStr">
        <is>
          <t>不好意思! 这个资源丢失了，请等管理员操作~</t>
        </is>
      </c>
      <c r="D103" t="inlineStr">
        <is>
          <t>是</t>
        </is>
      </c>
      <c r="E103" t="inlineStr">
        <is>
          <t>2026马年红色简约商务高级感年终工作总结汇报暨新年计划ppt模板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3" s="2" t="str">
        <f>=HYPERLINK("http://img.alicdn.com/bao/uploaded/i1/O1CN01k8qEDF1dZ5wxw7oSG_!!4611686018427387605-0-fleamarket.jpg_790x10000Q90.jpg_.webp", "img.alicdn.com/bao/uploaded/i1/O1CN01k8qEDF1dZ5wxw7oSG_!!4611686018427387605-0-fleamarket.jpg_790x10000Q90.jpg_.webp")</f>
        <v>img.alicdn.com/bao/uploaded/i1/O1CN01k8qEDF1dZ5wxw7oSG_!!4611686018427387605-0-fleamarket.jpg_790x10000Q90.jpg_.webp</v>
      </c>
      <c r="G103"/>
      <c r="H103" s="2" t="str">
        <f>=HYPERLINK("https://www.goofish.com/item?spm=a21ybx.personal.feeds.416.12e16ac2PYxLX9&amp;id=989296193820&amp;categoryId=50023914", "https://www.goofish.com/item?spm=a21ybx.personal.feeds.416.12e16ac2PYxLX9&amp;id=989296193820&amp;categoryId=50023914")</f>
        <v>https://www.goofish.com/item?spm=a21ybx.personal.feeds.416.12e16ac2PYxLX9&amp;id=989296193820&amp;categoryId=50023914</v>
      </c>
      <c r="I103"/>
      <c r="J103"/>
      <c r="K103"/>
      <c r="L103"/>
    </row>
    <row r="104" ht="25.5" customHeight="1">
      <c r="A104" t="inlineStr">
        <is>
          <t>全国大学生职业生涯规</t>
        </is>
      </c>
      <c r="B104">
        <v>175</v>
      </c>
      <c r="C104" t="inlineStr">
        <is>
          <t>不好意思! 这个资源丢失了，请等管理员操作~</t>
        </is>
      </c>
      <c r="D104" t="inlineStr">
        <is>
          <t>是</t>
        </is>
      </c>
      <c r="E104" t="inlineStr">
        <is>
          <t>全国大学生职业生涯规划大赛职规赛就业计划书高级感红色ppt模板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t>
        </is>
      </c>
      <c r="F104" s="2" t="str">
        <f>=HYPERLINK("http://img.alicdn.com/bao/uploaded/i2/O1CN01eqinHG1dZ5xBHBCCj_!!4611686018427387605-0-fleamarket.jpg_790x10000Q90.jpg_.webp", "img.alicdn.com/bao/uploaded/i2/O1CN01eqinHG1dZ5xBHBCCj_!!4611686018427387605-0-fleamarket.jpg_790x10000Q90.jpg_.webp")</f>
        <v>img.alicdn.com/bao/uploaded/i2/O1CN01eqinHG1dZ5xBHBCCj_!!4611686018427387605-0-fleamarket.jpg_790x10000Q90.jpg_.webp</v>
      </c>
      <c r="G104"/>
      <c r="H104" s="2" t="str">
        <f>=HYPERLINK("https://www.goofish.com/item?spm=a21ybx.personal.feeds.302.12e16ac2PYxLX9&amp;id=992027734857&amp;categoryId=50023914", "https://www.goofish.com/item?spm=a21ybx.personal.feeds.302.12e16ac2PYxLX9&amp;id=992027734857&amp;categoryId=50023914")</f>
        <v>https://www.goofish.com/item?spm=a21ybx.personal.feeds.302.12e16ac2PYxLX9&amp;id=992027734857&amp;categoryId=50023914</v>
      </c>
      <c r="I104"/>
      <c r="J104"/>
      <c r="K104"/>
      <c r="L104"/>
    </row>
    <row r="105" ht="25.5" customHeight="1">
      <c r="A105" t="inlineStr">
        <is>
          <t>2025七上语文人教版全套资料473个文件</t>
        </is>
      </c>
      <c r="B105">
        <v>176</v>
      </c>
      <c r="C105" t="inlineStr">
        <is>
          <t>不好意思! 这个资源丢失了，请等管理员操作~</t>
        </is>
      </c>
      <c r="D105" t="inlineStr">
        <is>
          <t>是</t>
        </is>
      </c>
      <c r="E105" t="inlineStr">
        <is>
          <t>✅ 包含473个文件，覆盖预习、复习、知识积累、考试冲刺全场景，助力孩子抢占学习先机✅ 涵盖必背内容、基础字词句、每课一练、早背晚默、重点归纳、单元检测、古诗文训练、名著专题等多类资料✅ 拍下百度网盘自动发货，标价即为卖价，无需等待，快速获取资料虚拟商品，拍下后无法退换，资料仅限学习使用。</t>
        </is>
      </c>
      <c r="F105" s="2" t="str">
        <f>=HYPERLINK("https://s.coze.cn/t/KV-hLagusOA/", "https://s.coze.cn/t/KV-hLagusOA/")</f>
        <v>https://s.coze.cn/t/KV-hLagusOA/</v>
      </c>
      <c r="G105"/>
      <c r="H105" s="2" t="str">
        <f>=HYPERLINK("https://www.goofish.com/item?spm=a21ybx.search.searchFeedList.5.1b377e61Ma7Ms3&amp;id=948726934630&amp;categoryId=202036301", "https://www.goofish.com/item?spm=a21ybx.search.searchFeedList.5.1b377e61Ma7Ms3&amp;id=948726934630&amp;categoryId=202036301")</f>
        <v>https://www.goofish.com/item?spm=a21ybx.search.searchFeedList.5.1b377e61Ma7Ms3&amp;id=948726934630&amp;categoryId=202036301</v>
      </c>
      <c r="I105"/>
      <c r="J105"/>
      <c r="K105"/>
      <c r="L105"/>
    </row>
    <row r="106" ht="25.5" customHeight="1">
      <c r="A106" t="inlineStr">
        <is>
          <t>新人教A版高中数学全套课件教案</t>
        </is>
      </c>
      <c r="B106">
        <v>177</v>
      </c>
      <c r="C106" t="inlineStr">
        <is>
          <t>不好意思! 这个资源丢失了，请等管理员操作~</t>
        </is>
      </c>
      <c r="D106" t="inlineStr">
        <is>
          <t>是</t>
        </is>
      </c>
      <c r="E106" t="inlineStr">
        <is>
          <t>✅ 特聘100名一线特级教师整理编撰，包含必修一二三和选修一二三全套电子版资料，更懂课堂教学✅ 优质PPT课件、精品教案，紧跟教学前沿，符合新课改，教学设计规范标准，轻松应对备课与检查✅ 适用于老师备课、学生自学、家长辅导，满足多种学习教学场景✅ 百度网盘发货，支持在线播放，标价为整理辛苦费注意事项：电子资料非实物，一经售出不退不换。资料来源于网络公开渠道，仅供学习交流使用，不用于商业用途，如涉及侵权，请及时联系删除。</t>
        </is>
      </c>
      <c r="F106" s="2" t="str">
        <f>=HYPERLINK("https://s.coze.cn/t/Tpk-8uFD06I/", "https://s.coze.cn/t/Tpk-8uFD06I/")</f>
        <v>https://s.coze.cn/t/Tpk-8uFD06I/</v>
      </c>
      <c r="G106"/>
      <c r="H106" s="2" t="str">
        <f>=HYPERLINK("https://www.goofish.com/item?spm=a21ybx.search.searchFeedList.26.1b377e61Ma7Ms3&amp;id=977151259449&amp;categoryId=202036301", "https://www.goofish.com/item?spm=a21ybx.search.searchFeedList.26.1b377e61Ma7Ms3&amp;id=977151259449&amp;categoryId=202036301")</f>
        <v>https://www.goofish.com/item?spm=a21ybx.search.searchFeedList.26.1b377e61Ma7Ms3&amp;id=977151259449&amp;categoryId=202036301</v>
      </c>
      <c r="I106"/>
      <c r="J106"/>
      <c r="K106"/>
      <c r="L106"/>
    </row>
    <row r="107" ht="25.5" customHeight="1">
      <c r="A107" t="inlineStr">
        <is>
          <t>2025新中特PDF及课后答案复习资料</t>
        </is>
      </c>
      <c r="B107">
        <v>178</v>
      </c>
      <c r="C107" t="inlineStr">
        <is>
          <t>【超级会员V1】通过百度网盘分享的文件：1-新中特
链接:https://pan.baidu.com/s/1xkhBUWjWSmcgL7JfZkDL1w 
提取码:x8iz
复制这段内容打开「百度网盘APP 即可获取」</t>
        </is>
      </c>
      <c r="D107" t="inlineStr">
        <is>
          <t>是</t>
        </is>
      </c>
      <c r="E107" t="inlineStr">
        <is>
          <t>✅ 包含2024和2021新中特复习资料，涵盖知识点总结、题库答案、课后习题答案、考试重难点等，覆盖研究生政治考试复习需求✅ 一手资料，完整无广告，避免其他店铺二次加工的干扰✅ 适用于研究生、本科生、博士生及相关课程学习者，满足不同学习场景✅ 拍下秒发货，百度网盘和夸克网盘双渠道发送，7*24小时自动发送，无需等待虚拟商品，拍下后无法退换，资料仅限学习使用。</t>
        </is>
      </c>
      <c r="F107" s="2" t="str">
        <f>=HYPERLINK("https://s.coze.cn/t/N4Vwqra8orI/", "https://s.coze.cn/t/N4Vwqra8orI/")</f>
        <v>https://s.coze.cn/t/N4Vwqra8orI/</v>
      </c>
      <c r="G107"/>
      <c r="H107" s="2" t="str">
        <f>=HYPERLINK("https://www.goofish.com/item?spm=a21ybx.search.searchFeedList.10.1b377e61Ma7Ms3&amp;id=993356819001&amp;categoryId=202036301", "https://www.goofish.com/item?spm=a21ybx.search.searchFeedList.10.1b377e61Ma7Ms3&amp;id=993356819001&amp;categoryId=202036301")</f>
        <v>https://www.goofish.com/item?spm=a21ybx.search.searchFeedList.10.1b377e61Ma7Ms3&amp;id=993356819001&amp;categoryId=202036301</v>
      </c>
      <c r="I107"/>
      <c r="J107"/>
      <c r="K107"/>
      <c r="L107"/>
    </row>
    <row r="108" ht="25.5" customHeight="1">
      <c r="A108" t="inlineStr">
        <is>
          <t>2025版毛概期末题库，24h秒发</t>
        </is>
      </c>
      <c r="B108">
        <v>179</v>
      </c>
      <c r="C108" t="inlineStr">
        <is>
          <t>不好意思! 这个资源丢失了，请等管理员操作~</t>
        </is>
      </c>
      <c r="D108" t="inlineStr">
        <is>
          <t>是</t>
        </is>
      </c>
      <c r="E108" t="inlineStr">
        <is>
          <t>✅ 大学老师提供的最新版毛概题库，包含八章全部内容，有选择题、大题、简答题，附带课后习题答案和复习笔记✅ 24小时自动发货，无需等待，助力期末高效复习虚拟商品，拍下后无法退换，资料仅限学习使用。</t>
        </is>
      </c>
      <c r="F108" s="2" t="str">
        <f>=HYPERLINK("https://s.coze.cn/t/u_Bp4BZlnl0/", "https://s.coze.cn/t/u_Bp4BZlnl0/")</f>
        <v>https://s.coze.cn/t/u_Bp4BZlnl0/</v>
      </c>
      <c r="G108"/>
      <c r="H108" s="2" t="str">
        <f>=HYPERLINK("https://www.goofish.com/item?spm=a21ybx.search.searchFeedList.29.1b377e61Ma7Ms3&amp;id=937046458029&amp;categoryId=202036301", "https://www.goofish.com/item?spm=a21ybx.search.searchFeedList.29.1b377e61Ma7Ms3&amp;id=937046458029&amp;categoryId=202036301")</f>
        <v>https://www.goofish.com/item?spm=a21ybx.search.searchFeedList.29.1b377e61Ma7Ms3&amp;id=937046458029&amp;categoryId=202036301</v>
      </c>
      <c r="I108"/>
      <c r="J108"/>
      <c r="K108"/>
      <c r="L108"/>
    </row>
    <row r="109" ht="25.5" customHeight="1">
      <c r="A109" t="inlineStr">
        <is>
          <t>25届国网财会类考试资料，含题库讲义</t>
        </is>
      </c>
      <c r="B109">
        <v>180</v>
      </c>
      <c r="C109" t="inlineStr">
        <is>
          <t>不好意思! 这个资源丢失了，请等管理员操作~</t>
        </is>
      </c>
      <c r="D109" t="inlineStr">
        <is>
          <t>是</t>
        </is>
      </c>
      <c r="E109" t="inlineStr">
        <is>
          <t>✅ 涵盖财务管理、会计类等财会专业，刚更新25届题库、讲义和模拟卷，资料最新最全✅ 独家筛选分类多家机构核心资料，包含网课视频、讲义、题库、真题模拟题和笔记，节省复习时间✅ 25届大纲和解析版企业文化（附快速记忆方法），时政更新至25年1月，含押题题库和重点题库拍前必看：图里的资料都有，需要就拍。虚拟商品，拍下后无法退换，资料仅限学习使用。</t>
        </is>
      </c>
      <c r="F109" s="2" t="str">
        <f>=HYPERLINK("https://s.coze.cn/t/b9mOUjJKOtc/", "https://s.coze.cn/t/b9mOUjJKOtc/")</f>
        <v>https://s.coze.cn/t/b9mOUjJKOtc/</v>
      </c>
      <c r="G109"/>
      <c r="H109" s="2" t="str">
        <f>=HYPERLINK("https://www.goofish.com/item?spm=a21ybx.search.searchFeedList.5.1b377e61Ma7Ms3&amp;id=903850991084&amp;categoryId=202036301", "https://www.goofish.com/item?spm=a21ybx.search.searchFeedList.5.1b377e61Ma7Ms3&amp;id=903850991084&amp;categoryId=202036301")</f>
        <v>https://www.goofish.com/item?spm=a21ybx.search.searchFeedList.5.1b377e61Ma7Ms3&amp;id=903850991084&amp;categoryId=202036301</v>
      </c>
      <c r="I109"/>
      <c r="J109"/>
      <c r="K109"/>
      <c r="L109"/>
    </row>
    <row r="110" ht="25.5" customHeight="1">
      <c r="A110" t="inlineStr">
        <is>
          <t>自考15040新思想概论，资料超全</t>
        </is>
      </c>
      <c r="B110">
        <v>181</v>
      </c>
      <c r="C110" t="inlineStr">
        <is>
          <t>1.
【超级会员V2】通过百度网盘分享的文件：L35-1504…
链接:https://pan.baidu.com/s/1NV_Se1aZJBKtKrUTTlGXCA 
提取码:9a1q
复制这段内容打开「百度网盘APP 即可获取」
2.
【超级会员V2】通过百度网盘分享的文件：【15040】新…
链接:https://pan.baidu.com/s/1d-kMawzSuUpS9ovnn9r_dA 
提取码:174w
复制这段内容打开「百度网盘APP 即可获取」
3.
【超级会员V2】通过百度网盘分享的文件：15040（新版…
链接:https://pan.baidu.com/s/1YrUnpEXvFbJ-kGYb9ScH9Q 
提取码:uwx7
复制这段内容打开「百度网盘APP 即可获取」
4. 15043
【超级会员V2】通过百度网盘分享的文件：15043史纲（…
链接:https://pan.baidu.com/s/1IHlxUT1l2dnESM1gql-Nyw 
提取码:9080
复制这段内容打开「百度网盘APP 即可获取」
5. 15044
【超级会员V2】通过百度网盘分享的文件：15044马原（…
链接:https://pan.baidu.com/s/1Uh6Ty-J287WRW0bBqbCYYA 
提取码:4n6f
复制这段内容打开「百度网盘APP 即可获取」</t>
        </is>
      </c>
      <c r="D110" t="inlineStr">
        <is>
          <t>是</t>
        </is>
      </c>
      <c r="E110" t="inlineStr">
        <is>
          <t>✅ 包含2504精讲视频、2504串讲、最新历年真题、讲义、复习资料，全方位覆盖自考备考需求✅ 高清版资料，可网盘在线观看，格式排版清晰，支持直接打印✅ 拍下速发度盘，自动发本科目全部资料，还赠送复习资料✅ 电子版资料，一经售出不退不换，如有遗漏或链接失效可私信解决祝所有考生顺利通关，拿下本科证！</t>
        </is>
      </c>
      <c r="F110" s="2" t="str">
        <f>=HYPERLINK("https://s.coze.cn/t/z2jY7K8vacY/", "https://s.coze.cn/t/z2jY7K8vacY/")</f>
        <v>https://s.coze.cn/t/z2jY7K8vacY/</v>
      </c>
      <c r="G110"/>
      <c r="H110" s="2" t="str">
        <f>=HYPERLINK("https://www.goofish.com/item?spm=a21ybx.search.searchFeedList.28.1b377e61Ma7Ms3&amp;id=939071072800&amp;categoryId=202036301", "https://www.goofish.com/item?spm=a21ybx.search.searchFeedList.28.1b377e61Ma7Ms3&amp;id=939071072800&amp;categoryId=202036301")</f>
        <v>https://www.goofish.com/item?spm=a21ybx.search.searchFeedList.28.1b377e61Ma7Ms3&amp;id=939071072800&amp;categoryId=202036301</v>
      </c>
      <c r="I110"/>
      <c r="J110"/>
      <c r="K110"/>
      <c r="L110"/>
    </row>
    <row r="111" ht="25.5" customHeight="1">
      <c r="A111" t="inlineStr">
        <is>
          <t>25新版小学知识大盘点语数英三科</t>
        </is>
      </c>
      <c r="B111">
        <v>182</v>
      </c>
      <c r="C111" t="inlineStr">
        <is>
          <t>不好意思! 这个资源丢失了，请等管理员操作~</t>
        </is>
      </c>
      <c r="D111" t="inlineStr">
        <is>
          <t>是</t>
        </is>
      </c>
      <c r="E111" t="inlineStr">
        <is>
          <t>✅ 小学1-6年级知识点全面盘点梳理，不分年级、版本，全国通用，适合预习、复习使用✅ 高清pdf扫描版本，可自行打印，扫码看视频讲解、听音频，2025最新版✅ 三科打包1元，语文含小学知识大盘点＋高频必刷题，数学含小学知识大盘点＋思维导图，英语含小学知识大盘点＋高频必刷题✅ 发百度网盘，链接永久有效，可随时查看转存下载免责申明:本店所有资料版权归原作者和出版社所有，标价仅为自己收集整理的辛苦费，不代表原实物价格。如有侵权，立删。</t>
        </is>
      </c>
      <c r="F111" s="2" t="str">
        <f>=HYPERLINK("https://s.coze.cn/t/1gYfsb-tiPA/", "https://s.coze.cn/t/1gYfsb-tiPA/")</f>
        <v>https://s.coze.cn/t/1gYfsb-tiPA/</v>
      </c>
      <c r="G111"/>
      <c r="H111" s="2" t="str">
        <f>=HYPERLINK("https://www.goofish.com/item?spm=a21ybx.search.searchFeedList.8.1b377e61Ma7Ms3&amp;id=946001438110&amp;categoryId=202036301", "https://www.goofish.com/item?spm=a21ybx.search.searchFeedList.8.1b377e61Ma7Ms3&amp;id=946001438110&amp;categoryId=202036301")</f>
        <v>https://www.goofish.com/item?spm=a21ybx.search.searchFeedList.8.1b377e61Ma7Ms3&amp;id=946001438110&amp;categoryId=202036301</v>
      </c>
      <c r="I111"/>
      <c r="J111"/>
      <c r="K111"/>
      <c r="L111"/>
    </row>
    <row r="112" ht="25.5" customHeight="1">
      <c r="A112" t="inlineStr">
        <is>
          <t>26初级护师历年真题，2010-2025年全含</t>
        </is>
      </c>
      <c r="B112">
        <v>183</v>
      </c>
      <c r="C112" t="inlineStr">
        <is>
          <t>【超级会员V1】通过百度网盘分享的文件：2026新初级护…
链接:https://pan.baidu.com/s/1HdM7kHpBkWy44tlXsTRxTg 
提取码:75gn
复制这段内容打开「百度网盘APP 即可获取」</t>
        </is>
      </c>
      <c r="D112" t="inlineStr">
        <is>
          <t>是</t>
        </is>
      </c>
      <c r="E112" t="inlineStr">
        <is>
          <t>✅ 包含2010-2025年初级护师真题及答案解析，2025年真题已更新，题目与答案分开，方便下载打印做题✅ 资料丰富，有彩色考点笔记、口诀速记、计算公式、模拟文档题，还赠送高频考题✅ 拍下秒发百度网盘，可下载可打印，助力26年初级护师备考整理不易，发出不退换，希望理解，记得给个好评。</t>
        </is>
      </c>
      <c r="F112" s="2" t="str">
        <f>=HYPERLINK("https://s.coze.cn/t/d_szbpW8vzg/", "https://s.coze.cn/t/d_szbpW8vzg/")</f>
        <v>https://s.coze.cn/t/d_szbpW8vzg/</v>
      </c>
      <c r="G112"/>
      <c r="H112" s="2" t="str">
        <f>=HYPERLINK("https://www.goofish.com/item?spm=a21ybx.search.searchFeedList.27.1b377e61Ma7Ms3&amp;id=857227411020&amp;categoryId=202036301", "https://www.goofish.com/item?spm=a21ybx.search.searchFeedList.27.1b377e61Ma7Ms3&amp;id=857227411020&amp;categoryId=202036301")</f>
        <v>https://www.goofish.com/item?spm=a21ybx.search.searchFeedList.27.1b377e61Ma7Ms3&amp;id=857227411020&amp;categoryId=202036301</v>
      </c>
      <c r="I112"/>
      <c r="J112"/>
      <c r="K112"/>
      <c r="L112"/>
    </row>
    <row r="113" ht="25.5" customHeight="1">
      <c r="A113" t="inlineStr">
        <is>
          <t>思想课期末冲刺包，大一到大三全覆盖</t>
        </is>
      </c>
      <c r="B113">
        <v>184</v>
      </c>
      <c r="C113" t="inlineStr">
        <is>
          <t>不好意思! 这个资源丢失了，请等管理员操作~</t>
        </is>
      </c>
      <c r="D113" t="inlineStr">
        <is>
          <t>是</t>
        </is>
      </c>
      <c r="E113" t="inlineStr">
        <is>
          <t>✅ 2023版思想课重点笔记，期末重点一目了然，助力期末高效复习✅ 每个章节课后习题答案全收录，巩固知识点，查漏补缺✅ 题库及答案汇总、知识点总结+思维导图，让复习更有针对性✅ 适用于考研政治笔试、考研马理论复试、期末课后习题复习标价直接拍，虚拟商品，拍下后不退不换。</t>
        </is>
      </c>
      <c r="F113" s="2" t="str">
        <f>=HYPERLINK("https://s.coze.cn/t/7cpaTYE2BDU/", "https://s.coze.cn/t/7cpaTYE2BDU/")</f>
        <v>https://s.coze.cn/t/7cpaTYE2BDU/</v>
      </c>
      <c r="G113"/>
      <c r="H113" s="2" t="str">
        <f>=HYPERLINK("https://www.goofish.com/item?spm=a21ybx.search.searchFeedList.17.1b377e61Ma7Ms3&amp;id=975519024031&amp;categoryId=202036301", "https://www.goofish.com/item?spm=a21ybx.search.searchFeedList.17.1b377e61Ma7Ms3&amp;id=975519024031&amp;categoryId=202036301")</f>
        <v>https://www.goofish.com/item?spm=a21ybx.search.searchFeedList.17.1b377e61Ma7Ms3&amp;id=975519024031&amp;categoryId=202036301</v>
      </c>
      <c r="I113"/>
      <c r="J113"/>
      <c r="K113"/>
      <c r="L113"/>
    </row>
    <row r="114" ht="25.5" customHeight="1">
      <c r="A114" t="inlineStr">
        <is>
          <t>沪科版初中数学七到九年级讲义</t>
        </is>
      </c>
      <c r="B114">
        <v>185</v>
      </c>
      <c r="C114" t="inlineStr">
        <is>
          <t>【超级会员V1】通过百度网盘分享的文件：沪科版初中数学
链接:https://pan.baidu.com/s/1_jt_lRXlLOxK91pwHqz-RA 
提取码:661p
复制这段内容打开「百度网盘APP 即可获取」</t>
        </is>
      </c>
      <c r="D114" t="inlineStr">
        <is>
          <t>是</t>
        </is>
      </c>
      <c r="E114" t="inlineStr">
        <is>
          <t>✅ 讲义按课本章节整理，每章分基础版和提高版，均含知识点讲解与配套巩固练习✅ 适合在校老师课堂专题讲解、课外辅导一对一或班课直接使用✅ 一册1元，全套5元，送中考总复习，系统自动发货新教材新题，版权所有，有完整创作时间线，禁止翻卖，资料翻卖会追究。认准正版，根据新教材更新资料。</t>
        </is>
      </c>
      <c r="F114" s="2" t="str">
        <f>=HYPERLINK("https://s.coze.cn/t/UgEPzNN3fr8/", "https://s.coze.cn/t/UgEPzNN3fr8/")</f>
        <v>https://s.coze.cn/t/UgEPzNN3fr8/</v>
      </c>
      <c r="G114"/>
      <c r="H114" s="2" t="str">
        <f>=HYPERLINK("https://www.goofish.com/item?spm=a21ybx.search.searchFeedList.4.1b377e61Ma7Ms3&amp;id=807129218718&amp;categoryId=202036301", "https://www.goofish.com/item?spm=a21ybx.search.searchFeedList.4.1b377e61Ma7Ms3&amp;id=807129218718&amp;categoryId=202036301")</f>
        <v>https://www.goofish.com/item?spm=a21ybx.search.searchFeedList.4.1b377e61Ma7Ms3&amp;id=807129218718&amp;categoryId=202036301</v>
      </c>
      <c r="I114"/>
      <c r="J114"/>
      <c r="K114"/>
      <c r="L114"/>
    </row>
    <row r="115" ht="25.5" customHeight="1">
      <c r="A115" t="inlineStr">
        <is>
          <t>2023版马原PDF，本科考研政治必备</t>
        </is>
      </c>
      <c r="B115">
        <v>187</v>
      </c>
      <c r="C115" t="inlineStr">
        <is>
          <t>【超级会员V1】通过百度网盘分享的文件：23版马原电子版…
链接:https://pan.baidu.com/s/12ZxFIN1ah7_-jzviEeNSgg 
提取码:v23q
复制这段内容打开「百度网盘APP 即可获取</t>
        </is>
      </c>
      <c r="D115" t="inlineStr">
        <is>
          <t>是</t>
        </is>
      </c>
      <c r="E115" t="inlineStr">
        <is>
          <t>✅ 高等教育出版社正版教材PDF电子版，是本科学习与考研政治复习的必备资料✅ 拍下秒发百度网盘链接，获取速度超快，助力高效备考✅ 其他相关资料可随时咨询，全方位满足学习需求虚拟商品，拍下后不退不换，资料仅限学习使用。</t>
        </is>
      </c>
      <c r="F115" s="2" t="str">
        <f>=HYPERLINK("https://s.coze.cn/t/9zQ6oYAAubk/", "https://s.coze.cn/t/9zQ6oYAAubk/")</f>
        <v>https://s.coze.cn/t/9zQ6oYAAubk/</v>
      </c>
      <c r="G115"/>
      <c r="H115" s="2" t="str">
        <f>=HYPERLINK("https://www.goofish.com/item?spm=a21ybx.search.searchFeedList.7.1b377e61Ma7Ms3&amp;id=999178498819&amp;categoryId=201460510", "https://www.goofish.com/item?spm=a21ybx.search.searchFeedList.7.1b377e61Ma7Ms3&amp;id=999178498819&amp;categoryId=201460510")</f>
        <v>https://www.goofish.com/item?spm=a21ybx.search.searchFeedList.7.1b377e61Ma7Ms3&amp;id=999178498819&amp;categoryId=201460510</v>
      </c>
      <c r="I115"/>
      <c r="J115"/>
      <c r="K115"/>
      <c r="L115"/>
    </row>
    <row r="116" ht="25.5" customHeight="1">
      <c r="A116" t="inlineStr">
        <is>
          <t>2025高中名校试卷真题库，9科全含</t>
        </is>
      </c>
      <c r="B116">
        <v>189</v>
      </c>
      <c r="C116" t="inlineStr">
        <is>
          <t>不好意思! 这个资源丢失了，请等管理员操作~</t>
        </is>
      </c>
      <c r="D116" t="inlineStr">
        <is>
          <t>是</t>
        </is>
      </c>
      <c r="E116" t="inlineStr">
        <is>
          <t>✅ 高一、高二资料覆盖2024.7-2025.7，已整理至25年5月，包更新至对应时间；高三资料覆盖2024.6-2025.6，已整理至25年5月，包更新至25年6月✅ 高考9科按月整理，收录各地区名校试卷，配详细答案解析，掌握最新考试动态✅ 标价为三个年级打包价，每个年级几千套试卷，适合教学工作者研究试题和学生刷题✅ 24小时自动发渡盘，电子资料永久保存，可自行打印，方便学习使用试卷海量，不排除个别无答案，介意勿拍。价格为资料整理费用，如有侵权，联系客服删除。</t>
        </is>
      </c>
      <c r="F116" s="2" t="str">
        <f>=HYPERLINK("https://s.coze.cn/t/Td95X_zW8QM/", "https://s.coze.cn/t/Td95X_zW8QM/")</f>
        <v>https://s.coze.cn/t/Td95X_zW8QM/</v>
      </c>
      <c r="G116"/>
      <c r="H116" s="2" t="str">
        <f>=HYPERLINK("https://www.goofish.com/item?spm=a21ybx.search.searchFeedList.14.1b377e61Ma7Ms3&amp;id=945296404459&amp;categoryId=202036301", "https://www.goofish.com/item?spm=a21ybx.search.searchFeedList.14.1b377e61Ma7Ms3&amp;id=945296404459&amp;categoryId=202036301")</f>
        <v>https://www.goofish.com/item?spm=a21ybx.search.searchFeedList.14.1b377e61Ma7Ms3&amp;id=945296404459&amp;categoryId=202036301</v>
      </c>
      <c r="I116"/>
      <c r="J116"/>
      <c r="K116"/>
      <c r="L116"/>
    </row>
    <row r="117" ht="25.5" customHeight="1">
      <c r="A117" t="inlineStr">
        <is>
          <t>小学英语语法练习题，58页电子版</t>
        </is>
      </c>
      <c r="B117">
        <v>190</v>
      </c>
      <c r="C117" t="inlineStr">
        <is>
          <t>不好意思! 这个资源丢失了，请等管理员操作~</t>
        </is>
      </c>
      <c r="D117" t="inlineStr">
        <is>
          <t>是</t>
        </is>
      </c>
      <c r="E117" t="inlineStr">
        <is>
          <t>✅ 58页电子版练习资料，PDF可直接打印，含语法知识点和专项练习，讲解全面易懂，是巩固语法的优质选择✅ 全国教材通用，适配人教版、外研版、牛津版等多种教材✅ 拍下24小时自动发百度网盘链接，链接永不失效，可随时查看使用虚拟商品，因素材可复制性，一经发货概不退款，不接受退换。</t>
        </is>
      </c>
      <c r="F117" s="2" t="str">
        <f>=HYPERLINK("https://s.coze.cn/t/GyIU2gxyntY/", "https://s.coze.cn/t/GyIU2gxyntY/")</f>
        <v>https://s.coze.cn/t/GyIU2gxyntY/</v>
      </c>
      <c r="G117"/>
      <c r="H117" s="2" t="str">
        <f>=HYPERLINK("https://www.goofish.com/item?spm=a21ybx.search.searchFeedList.3.1b377e61Ma7Ms3&amp;id=941464310692&amp;categoryId=202036301", "https://www.goofish.com/item?spm=a21ybx.search.searchFeedList.3.1b377e61Ma7Ms3&amp;id=941464310692&amp;categoryId=202036301")</f>
        <v>https://www.goofish.com/item?spm=a21ybx.search.searchFeedList.3.1b377e61Ma7Ms3&amp;id=941464310692&amp;categoryId=202036301</v>
      </c>
      <c r="I117"/>
      <c r="J117"/>
      <c r="K117"/>
      <c r="L117"/>
    </row>
    <row r="118" ht="25.5" customHeight="1">
      <c r="A118" t="inlineStr">
        <is>
          <t>计算机408考研资料合集，持续更新</t>
        </is>
      </c>
      <c r="B118">
        <v>191</v>
      </c>
      <c r="C118" t="inlineStr">
        <is>
          <t>不好意思! 这个资源丢失了，请等管理员操作~</t>
        </is>
      </c>
      <c r="D118" t="inlineStr">
        <is>
          <t>是</t>
        </is>
      </c>
      <c r="E118" t="inlineStr">
        <is>
          <t>✅ 包含408八套卷答案解析、26竟成模拟题及解析、26零壹模拟卷、灰灰考研八套26年模拟题等优质资料✅ 百度网盘发货，完整电子版资料按年份分类整理，方便查找使用✅ 拍下稍等即可获取链接，后续资料会持续更新，助力考研备考虚拟商品，拍下后不退不换，资料仅限学习使用。</t>
        </is>
      </c>
      <c r="F118" s="2" t="str">
        <f>=HYPERLINK("https://s.coze.cn/t/2F5GkX50lIY/", "https://s.coze.cn/t/2F5GkX50lIY/")</f>
        <v>https://s.coze.cn/t/2F5GkX50lIY/</v>
      </c>
      <c r="G118"/>
      <c r="H118" s="2" t="str">
        <f>=HYPERLINK("https://www.goofish.com/item?spm=a21ybx.search.searchFeedList.23.1b377e61Ma7Ms3&amp;id=991304162422&amp;categoryId=202036301", "https://www.goofish.com/item?spm=a21ybx.search.searchFeedList.23.1b377e61Ma7Ms3&amp;id=991304162422&amp;categoryId=202036301")</f>
        <v>https://www.goofish.com/item?spm=a21ybx.search.searchFeedList.23.1b377e61Ma7Ms3&amp;id=991304162422&amp;categoryId=202036301</v>
      </c>
      <c r="I118"/>
      <c r="J118"/>
      <c r="K118"/>
      <c r="L118"/>
    </row>
    <row r="119" ht="25.5" customHeight="1">
      <c r="A119" t="inlineStr">
        <is>
          <t>高中匠心地理课件全套，人教版</t>
        </is>
      </c>
      <c r="B119">
        <v>192</v>
      </c>
      <c r="C119" t="inlineStr">
        <is>
          <t>【超级会员V1】通过百度网盘分享的文件：Q118
链接:https://pan.baidu.com/s/1Vf3Xn_2VBvPjENiqD6DHwg 
提取码:47d4
复制这段内容打开「百度网盘APP 即可获取」</t>
        </is>
      </c>
      <c r="D119" t="inlineStr">
        <is>
          <t>是</t>
        </is>
      </c>
      <c r="E119" t="inlineStr">
        <is>
          <t>✅ 包含匠心必修一、二课件，选择性必修一、二、三课件，区域地理课件（中国和世界地理）以及高三复习课件一轮二轮✅ 赠送匠心微专题课件，标价即为打包价，一站式获取优质地理教学资料✅ 适用于高中地理教学备课，助力老师打造精彩课堂特殊商品，不退不换，感兴趣可直接下单。</t>
        </is>
      </c>
      <c r="F119" s="2" t="str">
        <f>=HYPERLINK("https://s.coze.cn/t/oZYPR3nF7kc/", "https://s.coze.cn/t/oZYPR3nF7kc/")</f>
        <v>https://s.coze.cn/t/oZYPR3nF7kc/</v>
      </c>
      <c r="G119"/>
      <c r="H119" s="2" t="str">
        <f>=HYPERLINK("https://www.goofish.com/item?spm=a21ybx.search.searchFeedList.14.1b377e61Ma7Ms3&amp;id=974278541118&amp;categoryId=202036301", "https://www.goofish.com/item?spm=a21ybx.search.searchFeedList.14.1b377e61Ma7Ms3&amp;id=974278541118&amp;categoryId=202036301")</f>
        <v>https://www.goofish.com/item?spm=a21ybx.search.searchFeedList.14.1b377e61Ma7Ms3&amp;id=974278541118&amp;categoryId=202036301</v>
      </c>
      <c r="I119"/>
      <c r="J119"/>
      <c r="K119"/>
      <c r="L119"/>
    </row>
    <row r="120" ht="25.5" customHeight="1">
      <c r="A120" t="inlineStr">
        <is>
          <t>曼昆宏观经济学第十十一版全套资料</t>
        </is>
      </c>
      <c r="B120">
        <v>193</v>
      </c>
      <c r="C120" t="inlineStr">
        <is>
          <t>不好意思! 这个资源丢失了，请等管理员操作~</t>
        </is>
      </c>
      <c r="D120" t="inlineStr">
        <is>
          <t>是</t>
        </is>
      </c>
      <c r="E120" t="inlineStr">
        <is>
          <t>✅ 包含宏观经济学第十版、第十一版曼昆pdf笔记、教材、练习题以及课后习题答案，助力期末考试重点复习✅ 标价即拍价，价格市面最低，性价比超高虚拟商品，拍下后不退不换，资料仅限学习使用。</t>
        </is>
      </c>
      <c r="F120" s="2" t="str">
        <f>=HYPERLINK("https://s.coze.cn/t/zQESkpCL80o/", "https://s.coze.cn/t/zQESkpCL80o/")</f>
        <v>https://s.coze.cn/t/zQESkpCL80o/</v>
      </c>
      <c r="G120"/>
      <c r="H120" s="2" t="str">
        <f>=HYPERLINK("https://www.goofish.com/item?spm=a21ybx.search.searchFeedList.23.1b377e61Ma7Ms3&amp;id=953373572384&amp;categoryId=202036301", "https://www.goofish.com/item?spm=a21ybx.search.searchFeedList.23.1b377e61Ma7Ms3&amp;id=953373572384&amp;categoryId=202036301")</f>
        <v>https://www.goofish.com/item?spm=a21ybx.search.searchFeedList.23.1b377e61Ma7Ms3&amp;id=953373572384&amp;categoryId=202036301</v>
      </c>
      <c r="I120"/>
      <c r="J120"/>
      <c r="K120"/>
      <c r="L120"/>
    </row>
    <row r="121" ht="25.5" customHeight="1">
      <c r="A121" t="inlineStr">
        <is>
          <t>2026新高考数学题型全解Word版</t>
        </is>
      </c>
      <c r="B121">
        <v>194</v>
      </c>
      <c r="C121" t="inlineStr">
        <is>
          <t>不好意思! 这个资源丢失了，请等管理员操作~</t>
        </is>
      </c>
      <c r="D121" t="inlineStr">
        <is>
          <t>是</t>
        </is>
      </c>
      <c r="E121" t="inlineStr">
        <is>
          <t>✅ 讲义覆盖高考所有题型，例题和练习题多选自历年新高考真题及各省市优质模拟题，助学生熟悉高考命题风格与难度，适应高考节奏✅ 对真题详细分类解析，梳理数学知识，帮助学生构建完整知识体系，明确复习方向✅ 提供学生版和教师版原版Word，可编辑可打印，适用于高考数学一轮复习高中数学必备资料，助力高考数学复习。</t>
        </is>
      </c>
      <c r="F121" s="2" t="str">
        <f>=HYPERLINK("https://s.coze.cn/t/QXDoL5W8zCw/", "https://s.coze.cn/t/QXDoL5W8zCw/")</f>
        <v>https://s.coze.cn/t/QXDoL5W8zCw/</v>
      </c>
      <c r="G121"/>
      <c r="H121" s="2" t="str">
        <f>=HYPERLINK("https://www.goofish.com/item?spm=a21ybx.search.searchFeedList.4.1b377e61Ma7Ms3&amp;id=947259655001&amp;categoryId=202036301", "https://www.goofish.com/item?spm=a21ybx.search.searchFeedList.4.1b377e61Ma7Ms3&amp;id=947259655001&amp;categoryId=202036301")</f>
        <v>https://www.goofish.com/item?spm=a21ybx.search.searchFeedList.4.1b377e61Ma7Ms3&amp;id=947259655001&amp;categoryId=202036301</v>
      </c>
      <c r="I121"/>
      <c r="J121"/>
      <c r="K121"/>
      <c r="L121"/>
    </row>
    <row r="122" ht="25.5" customHeight="1">
      <c r="A122" t="inlineStr">
        <is>
          <t>2025新人教版高中政治必背知识点7册</t>
        </is>
      </c>
      <c r="B122">
        <v>196</v>
      </c>
      <c r="C122" t="inlineStr">
        <is>
          <t>不好意思! 这个资源丢失了，请等管理员操作~</t>
        </is>
      </c>
      <c r="D122" t="inlineStr">
        <is>
          <t>是</t>
        </is>
      </c>
      <c r="E122" t="inlineStr">
        <is>
          <t>✅ 高中全年级必修+选修7册知识点梳理，含填空版和背诵版，每单元两份Word文档（挖空版+答案版）✅ 专为新人教版设计，适配高考总复习一轮、二轮备考，快速记忆核心考点✅ 点击“直接刀成”5秒内发百度网盘，电子版资料即拍即得✅ 注意：仅限新人教版课本使用，其他版本勿拍，虚拟商品不退换</t>
        </is>
      </c>
      <c r="F122" s="2" t="str">
        <f>=HYPERLINK("https://s.coze.cn/t/uHV9WF_cGG4/", "https://s.coze.cn/t/uHV9WF_cGG4/")</f>
        <v>https://s.coze.cn/t/uHV9WF_cGG4/</v>
      </c>
      <c r="G122"/>
      <c r="H122" s="2" t="str">
        <f>=HYPERLINK("https://www.goofish.com/item?spm=a21ybx.search.searchFeedList.13.1b377e61Ma7Ms3&amp;id=953038530018&amp;categoryId=202036301", "https://www.goofish.com/item?spm=a21ybx.search.searchFeedList.13.1b377e61Ma7Ms3&amp;id=953038530018&amp;categoryId=202036301")</f>
        <v>https://www.goofish.com/item?spm=a21ybx.search.searchFeedList.13.1b377e61Ma7Ms3&amp;id=953038530018&amp;categoryId=202036301</v>
      </c>
      <c r="I122"/>
      <c r="J122"/>
      <c r="K122"/>
      <c r="L122"/>
    </row>
    <row r="123" ht="25.5" customHeight="1">
      <c r="A123" t="inlineStr">
        <is>
          <t>26+25武忠祥选填技巧课 高效提分</t>
        </is>
      </c>
      <c r="B123">
        <v>197</v>
      </c>
      <c r="C123" t="inlineStr">
        <is>
          <t>不好意思! 这个资源丢失了，请等管理员操作~</t>
        </is>
      </c>
      <c r="D123" t="inlineStr">
        <is>
          <t>是</t>
        </is>
      </c>
      <c r="E123" t="inlineStr">
        <is>
          <t>✅ 涵盖26选填技巧课（实时更新）与25完整版选填技巧课，搭配视频板书，满足不同复习节奏需求✅ 包含25武忠祥《解题密码 选填题》练习题详解，攻克选填难题✅ 视频为mp4格式，无需额外播放器，百度网盘、夸克网盘自动发货，便捷获取✅ 武忠祥名师授课，课程质量高，助力考生提升选填答题能力注意：26课程更新较慢，复习进度快的同学可选择25版课程</t>
        </is>
      </c>
      <c r="F123" s="2" t="str">
        <f>=HYPERLINK("https://s.coze.cn/t/M0casKewyfQ/", "https://s.coze.cn/t/M0casKewyfQ/")</f>
        <v>https://s.coze.cn/t/M0casKewyfQ/</v>
      </c>
      <c r="G123"/>
      <c r="H123" s="2" t="str">
        <f>=HYPERLINK("https://www.goofish.com/item?spm=a21ybx.search.searchFeedList.20.1b377e61Ma7Ms3&amp;id=989632758919&amp;categoryId=202036301", "https://www.goofish.com/item?spm=a21ybx.search.searchFeedList.20.1b377e61Ma7Ms3&amp;id=989632758919&amp;categoryId=202036301")</f>
        <v>https://www.goofish.com/item?spm=a21ybx.search.searchFeedList.20.1b377e61Ma7Ms3&amp;id=989632758919&amp;categoryId=202036301</v>
      </c>
      <c r="I123"/>
      <c r="J123"/>
      <c r="K123"/>
      <c r="L123"/>
    </row>
    <row r="124" ht="25.5" customHeight="1">
      <c r="A124" t="inlineStr">
        <is>
          <t>小学英语语法知识点汇总 超全超实用</t>
        </is>
      </c>
      <c r="B124">
        <v>198</v>
      </c>
      <c r="C124" t="inlineStr">
        <is>
          <t>不好意思! 这个资源丢失了，请等管理员操作~</t>
        </is>
      </c>
      <c r="D124" t="inlineStr">
        <is>
          <t>是</t>
        </is>
      </c>
      <c r="E124" t="inlineStr">
        <is>
          <t>✅ 4套小学语法知识点，覆盖方位介词、be动词等核心考点
✅ 超可爱画风贴合孩子审美，高清打印，实用学习资源
✅ 拍下自动网盘发货，助力孩子英语语法学习
✅ 本品为电子档，可打印，非纸质，特殊商品不退不换</t>
        </is>
      </c>
      <c r="F124" s="2" t="str">
        <f>=HYPERLINK("https://s.coze.cn/t/jLJfmo7oA8M/", "https://s.coze.cn/t/jLJfmo7oA8M/")</f>
        <v>https://s.coze.cn/t/jLJfmo7oA8M/</v>
      </c>
      <c r="G124"/>
      <c r="H124" s="2" t="str">
        <f>=HYPERLINK("https://www.goofish.com/item?spm=a21ybx.search.searchFeedList.28.8a9c7781EUE2gV&amp;id=840975571095&amp;categoryId=202036301", "https://www.goofish.com/item?spm=a21ybx.search.searchFeedList.28.8a9c7781EUE2gV&amp;id=840975571095&amp;categoryId=202036301")</f>
        <v>https://www.goofish.com/item?spm=a21ybx.search.searchFeedList.28.8a9c7781EUE2gV&amp;id=840975571095&amp;categoryId=202036301</v>
      </c>
      <c r="I124">
        <v>840975571095</v>
      </c>
      <c r="J124"/>
      <c r="K124"/>
      <c r="L124"/>
    </row>
    <row r="125" ht="25.5" customHeight="1">
      <c r="A125" t="inlineStr">
        <is>
          <t>初中数学核心知识点2 七-九年级</t>
        </is>
      </c>
      <c r="B125">
        <v>199</v>
      </c>
      <c r="C125" t="inlineStr">
        <is>
          <t>不好意思! 这个资源丢失了，请等管理员操作~</t>
        </is>
      </c>
      <c r="D125" t="inlineStr">
        <is>
          <t>是</t>
        </is>
      </c>
      <c r="E125" t="inlineStr">
        <is>
          <t>✅ 7 - 9年级数学上下册完整知识点，助力全面复习
✅ 彩色高清手写字体，分单元呈现，清晰易读
✅ 知识点、复习要点详细，共七年级上36页、七年级下46页、八年级上41页、八年级下36页、九年级上43页、九年级下29页
✅ 拍下自动免拼秒发货，为电子版，需自行打印
✅ 特殊商品不退不换</t>
        </is>
      </c>
      <c r="F125" s="2" t="str">
        <f>=HYPERLINK("https://s.coze.cn/t/KkZaNBvc1Ls/", "https://s.coze.cn/t/KkZaNBvc1Ls/")</f>
        <v>https://s.coze.cn/t/KkZaNBvc1Ls/</v>
      </c>
      <c r="G125"/>
      <c r="H125" s="2" t="str">
        <f>=HYPERLINK("https://www.goofish.com/item?spm=a21ybx.search.searchFeedList.17.8a9c7781EUE2gV&amp;id=972355523680&amp;categoryId=202036301", "https://www.goofish.com/item?spm=a21ybx.search.searchFeedList.17.8a9c7781EUE2gV&amp;id=972355523680&amp;categoryId=202036301")</f>
        <v>https://www.goofish.com/item?spm=a21ybx.search.searchFeedList.17.8a9c7781EUE2gV&amp;id=972355523680&amp;categoryId=202036301</v>
      </c>
      <c r="I125">
        <v>972355523680</v>
      </c>
      <c r="J125"/>
      <c r="K125"/>
      <c r="L125"/>
    </row>
    <row r="126" ht="25.5" customHeight="1">
      <c r="A126" t="inlineStr">
        <is>
          <t>25新版初中历史知识点总结 人教版</t>
        </is>
      </c>
      <c r="B126">
        <v>200</v>
      </c>
      <c r="C126" t="inlineStr">
        <is>
          <t>不好意思! 这个资源丢失了，请等管理员操作~</t>
        </is>
      </c>
      <c r="D126" t="inlineStr">
        <is>
          <t>是</t>
        </is>
      </c>
      <c r="E126" t="inlineStr">
        <is>
          <t>✅ 2025年春季新版初中历史7 - 9年级全册知识点，按单元整理，排版清晰
✅ 高清无水印，附带电子教材，与新版教材同步
✅ 帮助孩子建立完整知识体系，助力初中历史学习
✅ 拍下自动发出，为电子版，需自行打印
✅ 特殊商品不退不换</t>
        </is>
      </c>
      <c r="F126" s="2" t="str">
        <f>=HYPERLINK("https://s.coze.cn/t/0Pt4d8_1knY/", "https://s.coze.cn/t/0Pt4d8_1knY/")</f>
        <v>https://s.coze.cn/t/0Pt4d8_1knY/</v>
      </c>
      <c r="G126"/>
      <c r="H126" s="2" t="str">
        <f>=HYPERLINK("https://www.goofish.com/item?spm=a21ybx.search.searchFeedList.6.8a9c7781EUE2gV&amp;id=964547040083&amp;categoryId=202036301", "https://www.goofish.com/item?spm=a21ybx.search.searchFeedList.6.8a9c7781EUE2gV&amp;id=964547040083&amp;categoryId=202036301")</f>
        <v>https://www.goofish.com/item?spm=a21ybx.search.searchFeedList.6.8a9c7781EUE2gV&amp;id=964547040083&amp;categoryId=202036301</v>
      </c>
      <c r="I126">
        <v>964547040083</v>
      </c>
      <c r="J126"/>
      <c r="K126"/>
      <c r="L126"/>
    </row>
    <row r="127" ht="25.5" customHeight="1">
      <c r="A127" t="inlineStr">
        <is>
          <t>马工程管理学背诵笔记 考研通用</t>
        </is>
      </c>
      <c r="B127">
        <v>201</v>
      </c>
      <c r="C127" t="inlineStr">
        <is>
          <t>【超级会员V2】通过百度网盘分享的文件：马工程《管理学》
链接:https://pan.baidu.com/s/1tyQwC2Ff5-1ssHL5dDykWg 
提取码:64t1
复制这段内容打开「百度网盘APP 即可获取」</t>
        </is>
      </c>
      <c r="D127" t="inlineStr">
        <is>
          <t>是</t>
        </is>
      </c>
      <c r="E127" t="inlineStr">
        <is>
          <t>✅ 涵盖知识点归纳、思维导图、名词解释等多维度内容，助力考研、期末考试、专升本
✅ 自动发货，下单秒发，无需等待
✅ 发货方式为百度网盘，获取便捷
✅ 特殊商品不退不换</t>
        </is>
      </c>
      <c r="F127" s="2" t="str">
        <f>=HYPERLINK("https://s.coze.cn/t/bi0MQejNwj8/", "https://s.coze.cn/t/bi0MQejNwj8/")</f>
        <v>https://s.coze.cn/t/bi0MQejNwj8/</v>
      </c>
      <c r="G127"/>
      <c r="H127" s="2" t="str">
        <f>=HYPERLINK("https://www.goofish.com/item?spm=a21ybx.search.searchFeedList.28.8a9c7781EUE2gV&amp;id=897597778346&amp;categoryId=202036301", "https://www.goofish.com/item?spm=a21ybx.search.searchFeedList.28.8a9c7781EUE2gV&amp;id=897597778346&amp;categoryId=202036301")</f>
        <v>https://www.goofish.com/item?spm=a21ybx.search.searchFeedList.28.8a9c7781EUE2gV&amp;id=897597778346&amp;categoryId=202036301</v>
      </c>
      <c r="I127">
        <v>897597778346</v>
      </c>
      <c r="J127"/>
      <c r="K127"/>
      <c r="L127"/>
    </row>
    <row r="128" ht="25.5" customHeight="1">
      <c r="A128" t="inlineStr">
        <is>
          <t>陈振明公共管理学 笔记题库1元</t>
        </is>
      </c>
      <c r="B128">
        <v>202</v>
      </c>
      <c r="C128" t="inlineStr">
        <is>
          <t>不好意思! 这个资源丢失了，请等管理员操作~</t>
        </is>
      </c>
      <c r="D128" t="inlineStr">
        <is>
          <t>是</t>
        </is>
      </c>
      <c r="E128" t="inlineStr">
        <is>
          <t>✅ 包含陈振明公共管理学笔记、知识点总结及配套题库，助力学习
✅ 仅需1元，不满意随时退，物超所值
✅ 24小时自动发货，迅雷网盘电子版，无实物
✅ 店主不定时在线，直接下单即可</t>
        </is>
      </c>
      <c r="F128" s="2" t="str">
        <f>=HYPERLINK("https://s.coze.cn/t/ENZRs-E0opI/", "https://s.coze.cn/t/ENZRs-E0opI/")</f>
        <v>https://s.coze.cn/t/ENZRs-E0opI/</v>
      </c>
      <c r="G128"/>
      <c r="H128" s="2" t="str">
        <f>=HYPERLINK("https://www.goofish.com/item?spm=a21ybx.search.searchFeedList.6.8a9c7781EUE2gV&amp;id=803480465473&amp;categoryId=202036301", "https://www.goofish.com/item?spm=a21ybx.search.searchFeedList.6.8a9c7781EUE2gV&amp;id=803480465473&amp;categoryId=202036301")</f>
        <v>https://www.goofish.com/item?spm=a21ybx.search.searchFeedList.6.8a9c7781EUE2gV&amp;id=803480465473&amp;categoryId=202036301</v>
      </c>
      <c r="I128">
        <v>803480465473</v>
      </c>
      <c r="J128"/>
      <c r="K128"/>
      <c r="L128"/>
    </row>
    <row r="129" ht="25.5" customHeight="1">
      <c r="A129" t="inlineStr">
        <is>
          <t>思想课期末冲刺包 大一到大三全覆盖</t>
        </is>
      </c>
      <c r="B129">
        <v>203</v>
      </c>
      <c r="C129" t="inlineStr">
        <is>
          <t>不好意思! 这个资源丢失了，请等管理员操作~</t>
        </is>
      </c>
      <c r="D129" t="inlineStr">
        <is>
          <t>是</t>
        </is>
      </c>
      <c r="E129" t="inlineStr">
        <is>
          <t>✅ 包含重点复习笔记、课后习题答案、题库及答案汇总、知识点总结和思维导图
✅ 适用于考研政治笔试、考研马理论复试、期末课后习题复习
✅ 标价直接拍，助力高效复习
✅ 特殊商品不退不换</t>
        </is>
      </c>
      <c r="F129" s="2" t="str">
        <f>=HYPERLINK("https://s.coze.cn/t/1gdNFvAMtZA/", "https://s.coze.cn/t/1gdNFvAMtZA/")</f>
        <v>https://s.coze.cn/t/1gdNFvAMtZA/</v>
      </c>
      <c r="G129"/>
      <c r="H129" s="2" t="str">
        <f>=HYPERLINK("https://www.goofish.com/item?spm=a21ybx.search.searchFeedList.15.8a9c7781EUE2gV&amp;id=975519024031&amp;categoryId=202036301", "https://www.goofish.com/item?spm=a21ybx.search.searchFeedList.15.8a9c7781EUE2gV&amp;id=975519024031&amp;categoryId=202036301")</f>
        <v>https://www.goofish.com/item?spm=a21ybx.search.searchFeedList.15.8a9c7781EUE2gV&amp;id=975519024031&amp;categoryId=202036301</v>
      </c>
      <c r="I129">
        <v>975519024031</v>
      </c>
      <c r="J129"/>
      <c r="K129"/>
      <c r="L129"/>
    </row>
    <row r="130" ht="25.5" customHeight="1">
      <c r="A130" t="inlineStr">
        <is>
          <t>Powerup启蒙英语知识清单 彩图电子档</t>
        </is>
      </c>
      <c r="B130">
        <v>204</v>
      </c>
      <c r="C130" t="inlineStr">
        <is>
          <t>不好意思! 这个资源丢失了，请等管理员操作~</t>
        </is>
      </c>
      <c r="D130" t="inlineStr">
        <is>
          <t>是</t>
        </is>
      </c>
      <c r="E130" t="inlineStr">
        <is>
          <t>✅ 整合词汇、句型、知识点，听力阅读文本图文编排，美观实用
✅ 全册近百页，涵盖预备级0 - 9单元，适合入门小朋友
✅ 付款自动发货，百度网盘电子档
✅ 拍下发货后不退不换，本材料仅交流使用，如有侵权联系客服删除</t>
        </is>
      </c>
      <c r="F130" s="2" t="str">
        <f>=HYPERLINK("https://s.coze.cn/t/zwRS-KvfQUU/", "https://s.coze.cn/t/zwRS-KvfQUU/")</f>
        <v>https://s.coze.cn/t/zwRS-KvfQUU/</v>
      </c>
      <c r="G130"/>
      <c r="H130" s="2" t="str">
        <f>=HYPERLINK("https://www.goofish.com/item?spm=a21ybx.search.searchFeedList.17.8a9c7781EUE2gV&amp;id=913176572609&amp;categoryId=202036301", "https://www.goofish.com/item?spm=a21ybx.search.searchFeedList.17.8a9c7781EUE2gV&amp;id=913176572609&amp;categoryId=202036301")</f>
        <v>https://www.goofish.com/item?spm=a21ybx.search.searchFeedList.17.8a9c7781EUE2gV&amp;id=913176572609&amp;categoryId=202036301</v>
      </c>
      <c r="I130">
        <v>913176572609</v>
      </c>
      <c r="J130"/>
      <c r="K130"/>
      <c r="L130"/>
    </row>
    <row r="131" ht="25.5" customHeight="1">
      <c r="A131" t="inlineStr">
        <is>
          <t>二十届四中全会必刷100题 知识点电子版</t>
        </is>
      </c>
      <c r="B131">
        <v>205</v>
      </c>
      <c r="C131" t="inlineStr">
        <is>
          <t>不好意思! 这个资源丢失了，请等管理员操作~</t>
        </is>
      </c>
      <c r="D131" t="inlineStr">
        <is>
          <t>是</t>
        </is>
      </c>
      <c r="E131" t="inlineStr">
        <is>
          <t>✅ 包含全会公报全文及重点标注、必刷100题题本、答案解析、必考知识点总结
✅ 内容全面系统，知识点梳理清晰，适合考研、公务员考试使用
✅ 拍下秒发百度网盘链接，0.1秒发货
✅ 虚拟资料，一经售出不退不换。文件来自公开网络资源，仅供学习交流，版权归原作者所有</t>
        </is>
      </c>
      <c r="F131" s="2" t="str">
        <f>=HYPERLINK("https://s.coze.cn/t/vscrO4cjvBE/", "https://s.coze.cn/t/vscrO4cjvBE/")</f>
        <v>https://s.coze.cn/t/vscrO4cjvBE/</v>
      </c>
      <c r="G131"/>
      <c r="H131" s="2" t="str">
        <f>=HYPERLINK("https://www.goofish.com/item?spm=a21ybx.search.searchFeedList.3.8a9c7781EUE2gV&amp;id=990063242795&amp;categoryId=202036301", "https://www.goofish.com/item?spm=a21ybx.search.searchFeedList.3.8a9c7781EUE2gV&amp;id=990063242795&amp;categoryId=202036301")</f>
        <v>https://www.goofish.com/item?spm=a21ybx.search.searchFeedList.3.8a9c7781EUE2gV&amp;id=990063242795&amp;categoryId=202036301</v>
      </c>
      <c r="I131">
        <v>990063242795</v>
      </c>
      <c r="J131"/>
      <c r="K131"/>
      <c r="L131"/>
    </row>
    <row r="132" ht="25.5" customHeight="1">
      <c r="A132" t="inlineStr">
        <is>
          <t>25新版初中生物知识点1 人教版</t>
        </is>
      </c>
      <c r="B132">
        <v>206</v>
      </c>
      <c r="C132" t="inlineStr">
        <is>
          <t>【超级会员V1】通过百度网盘分享的文件：【A75】【25…
链接:https://pan.baidu.com/s/1yvKdPRNtzXC0agcZQ-JImA 
提取码:2g39
复制这段内容打开「百度网盘APP 即可获取」</t>
        </is>
      </c>
      <c r="D132" t="inlineStr">
        <is>
          <t>是</t>
        </is>
      </c>
      <c r="E132" t="inlineStr">
        <is>
          <t>✅ 2025年春季新版初中生物人教版七、八年级上下册知识点，按单元整理，排版清晰
✅ 高清无水印，附带电子教材，与新版教材同步
✅ 帮助孩子建立完整知识体系，助力初中生物学习
✅ 拍下自动发出，为电子版，需自行打印
✅ 标价即售价，24小时自动发货，发网盘链接，发出后不退</t>
        </is>
      </c>
      <c r="F132" s="2" t="str">
        <f>=HYPERLINK("https://s.coze.cn/t/N08ETV1110Y/", "https://s.coze.cn/t/N08ETV1110Y/")</f>
        <v>https://s.coze.cn/t/N08ETV1110Y/</v>
      </c>
      <c r="G132"/>
      <c r="H132" s="2" t="str">
        <f>=HYPERLINK("https://www.goofish.com/item?spm=a21ybx.search.searchFeedList.11.8a9c7781EUE2gV&amp;id=958862186537&amp;categoryId=202036301", "https://www.goofish.com/item?spm=a21ybx.search.searchFeedList.11.8a9c7781EUE2gV&amp;id=958862186537&amp;categoryId=202036301")</f>
        <v>https://www.goofish.com/item?spm=a21ybx.search.searchFeedList.11.8a9c7781EUE2gV&amp;id=958862186537&amp;categoryId=202036301</v>
      </c>
      <c r="I132">
        <v>958862186537</v>
      </c>
      <c r="J132"/>
      <c r="K132"/>
      <c r="L132"/>
    </row>
    <row r="133" ht="25.5" customHeight="1">
      <c r="A133" t="inlineStr">
        <is>
          <t>医学基础知识笔记 事业单位E类知识点</t>
        </is>
      </c>
      <c r="B133">
        <v>207</v>
      </c>
      <c r="C133" t="inlineStr">
        <is>
          <t>不好意思! 这个资源丢失了，请等管理员操作~</t>
        </is>
      </c>
      <c r="D133" t="inlineStr">
        <is>
          <t>是</t>
        </is>
      </c>
      <c r="E133" t="inlineStr">
        <is>
          <t>✅ 涵盖解剖学、生理学、病理学、药理学等知识，几百页重点文档，表格归纳，彩色标记重点
✅ 24年最新医学基础知识笔记，知识点和题穿插，适用于e类联考、医疗编等各种医疗招聘考试
✅ 百度夸克网盘秒发，电子版pdf版，拍下不退换
✅ 今日新加考前必备60页有水印，职测三测笔记</t>
        </is>
      </c>
      <c r="F133" s="2" t="str">
        <f>=HYPERLINK("https://s.coze.cn/t/XWfEokoINRQ/", "https://s.coze.cn/t/XWfEokoINRQ/")</f>
        <v>https://s.coze.cn/t/XWfEokoINRQ/</v>
      </c>
      <c r="G133"/>
      <c r="H133" s="2" t="str">
        <f>=HYPERLINK("https://www.goofish.com/item?spm=a21ybx.search.searchFeedList.29.8a9c7781EUE2gV&amp;id=900391285231&amp;categoryId=202036301", "https://www.goofish.com/item?spm=a21ybx.search.searchFeedList.29.8a9c7781EUE2gV&amp;id=900391285231&amp;categoryId=202036301")</f>
        <v>https://www.goofish.com/item?spm=a21ybx.search.searchFeedList.29.8a9c7781EUE2gV&amp;id=900391285231&amp;categoryId=202036301</v>
      </c>
      <c r="I133">
        <v>900391285231</v>
      </c>
      <c r="J133"/>
      <c r="K133"/>
      <c r="L133"/>
    </row>
    <row r="134" ht="25.5" customHeight="1">
      <c r="A134" t="inlineStr">
        <is>
          <t>河南专升本 邵玉普生理病理解剖学网课</t>
        </is>
      </c>
      <c r="B134">
        <v>208</v>
      </c>
      <c r="C134" t="inlineStr">
        <is>
          <t>不好意思! 这个资源丢失了，请等管理员操作~</t>
        </is>
      </c>
      <c r="D134" t="inlineStr">
        <is>
          <t>是</t>
        </is>
      </c>
      <c r="E134" t="inlineStr">
        <is>
          <t>✅ 包含基础精讲151课时、强化课、题海站、考前冲刺，还有历年真题、各大平台试卷和知识点总结
✅ 内容全面有保障，适合26、27年备考河南专升本的小伙伴
✅ 拍下即可获取，早学早准备
✅ 有问题可联系客服，虚拟资料拍下不退换</t>
        </is>
      </c>
      <c r="F134" s="2" t="str">
        <f>=HYPERLINK("https://s.coze.cn/t/WDsvrYyttQk/", "https://s.coze.cn/t/WDsvrYyttQk/")</f>
        <v>https://s.coze.cn/t/WDsvrYyttQk/</v>
      </c>
      <c r="G134"/>
      <c r="H134" s="2" t="str">
        <f>=HYPERLINK("https://www.goofish.com/item?spm=a21ybx.search.searchFeedList.20.8a9c7781EUE2gV&amp;id=820629307824&amp;categoryId=202036301", "https://www.goofish.com/item?spm=a21ybx.search.searchFeedList.20.8a9c7781EUE2gV&amp;id=820629307824&amp;categoryId=202036301")</f>
        <v>https://www.goofish.com/item?spm=a21ybx.search.searchFeedList.20.8a9c7781EUE2gV&amp;id=820629307824&amp;categoryId=202036301</v>
      </c>
      <c r="I134">
        <v>820629307824</v>
      </c>
      <c r="J134"/>
      <c r="K134"/>
      <c r="L134"/>
    </row>
    <row r="135" ht="25.5" customHeight="1">
      <c r="A135" t="inlineStr">
        <is>
          <t>初中化学九年级知识点2 新人教版</t>
        </is>
      </c>
      <c r="B135">
        <v>209</v>
      </c>
      <c r="C135" t="inlineStr">
        <is>
          <t>不好意思! 这个资源丢失了，请等管理员操作~</t>
        </is>
      </c>
      <c r="D135" t="inlineStr">
        <is>
          <t>是</t>
        </is>
      </c>
      <c r="E135" t="inlineStr">
        <is>
          <t>✅ 彩色标注要点汇总笔记，知识清晰直观，易于理解和记忆
✅ 包含学生版和教师版，全面覆盖上下册各单元知识清单
✅ 百度和夸克网盘24小时自动发货，格式为word(docx)和pdf
✅ 关注享粉丝价，不定时0元送资料，售后不退，素材收集于网络，仅供学习交流</t>
        </is>
      </c>
      <c r="F135" s="2" t="str">
        <f>=HYPERLINK("https://s.coze.cn/t/56VXQZzAIHE/", "https://s.coze.cn/t/56VXQZzAIHE/")</f>
        <v>https://s.coze.cn/t/56VXQZzAIHE/</v>
      </c>
      <c r="G135"/>
      <c r="H135" s="2" t="str">
        <f>=HYPERLINK("https://www.goofish.com/item?spm=a21ybx.search.searchFeedList.10.8a9c7781EUE2gV&amp;id=916675673685&amp;categoryId=202036301", "https://www.goofish.com/item?spm=a21ybx.search.searchFeedList.10.8a9c7781EUE2gV&amp;id=916675673685&amp;categoryId=202036301")</f>
        <v>https://www.goofish.com/item?spm=a21ybx.search.searchFeedList.10.8a9c7781EUE2gV&amp;id=916675673685&amp;categoryId=202036301</v>
      </c>
      <c r="I135">
        <v>916675673685</v>
      </c>
      <c r="J135"/>
      <c r="K135"/>
      <c r="L135"/>
    </row>
    <row r="136" ht="25.5" customHeight="1">
      <c r="A136" t="inlineStr">
        <is>
          <t>数据结构复习资料 重点笔记+试题卷</t>
        </is>
      </c>
      <c r="B136">
        <v>210</v>
      </c>
      <c r="C136" t="inlineStr">
        <is>
          <t>不好意思! 这个资源丢失了，请等管理员操作~</t>
        </is>
      </c>
      <c r="D136" t="inlineStr">
        <is>
          <t>是</t>
        </is>
      </c>
      <c r="E136" t="inlineStr">
        <is>
          <t>✅ 包含重点笔记、知识点总结、名词解释、试题卷，内容全面，别人家没有我家全
✅ 适用于考研、专升本、期末考试，助力高效复习
✅ 标价就是实价，直接拍，马上涨价，想要赶紧
✅ 虚拟资料，拍下不退换，素材收集于网络，仅供学习交流</t>
        </is>
      </c>
      <c r="F136" s="2" t="str">
        <f>=HYPERLINK("https://s.coze.cn/t/ie37Abf_fmU/", "https://s.coze.cn/t/ie37Abf_fmU/")</f>
        <v>https://s.coze.cn/t/ie37Abf_fmU/</v>
      </c>
      <c r="G136"/>
      <c r="H136" s="2" t="str">
        <f>=HYPERLINK("https://www.goofish.com/item?spm=a21ybx.search.searchFeedList.25.8a9c7781EUE2gV&amp;id=790712824124&amp;categoryId=202036301", "https://www.goofish.com/item?spm=a21ybx.search.searchFeedList.25.8a9c7781EUE2gV&amp;id=790712824124&amp;categoryId=202036301")</f>
        <v>https://www.goofish.com/item?spm=a21ybx.search.searchFeedList.25.8a9c7781EUE2gV&amp;id=790712824124&amp;categoryId=202036301</v>
      </c>
      <c r="I136">
        <v>790712824124</v>
      </c>
      <c r="J136"/>
      <c r="K136"/>
      <c r="L136"/>
    </row>
    <row r="137" ht="25.5" customHeight="1">
      <c r="A137" t="inlineStr">
        <is>
          <t>中考复习资料 初中全科知识点汇总</t>
        </is>
      </c>
      <c r="B137">
        <v>211</v>
      </c>
      <c r="C137" t="inlineStr">
        <is>
          <t>不好意思! 这个资源丢失了，请等管理员操作~</t>
        </is>
      </c>
      <c r="D137" t="inlineStr">
        <is>
          <t>是</t>
        </is>
      </c>
      <c r="E137" t="inlineStr">
        <is>
          <t>✅ 涵盖语文、数学、英语、物理、化学、生物、政治、历史、地理九科知识点及考点归纳
✅ 高清可打印可修改，全国通用版，助力快速掌握考点
✅ 标价即售价，24小时自动发货，发百度网盘链接，发出后不退
✅ 拍“2人小刀”可自动拼单成功，电脑自动发货</t>
        </is>
      </c>
      <c r="F137" s="2" t="str">
        <f>=HYPERLINK("https://s.coze.cn/t/PZngmo59Jh4/", "https://s.coze.cn/t/PZngmo59Jh4/")</f>
        <v>https://s.coze.cn/t/PZngmo59Jh4/</v>
      </c>
      <c r="G137"/>
      <c r="H137" s="2" t="str">
        <f>=HYPERLINK("https://www.goofish.com/item?spm=a21ybx.search.searchFeedList.21.8a9c7781EUE2gV&amp;id=885646937927&amp;categoryId=202036301", "https://www.goofish.com/item?spm=a21ybx.search.searchFeedList.21.8a9c7781EUE2gV&amp;id=885646937927&amp;categoryId=202036301")</f>
        <v>https://www.goofish.com/item?spm=a21ybx.search.searchFeedList.21.8a9c7781EUE2gV&amp;id=885646937927&amp;categoryId=202036301</v>
      </c>
      <c r="I137">
        <v>885646937927</v>
      </c>
      <c r="J137"/>
      <c r="K137"/>
      <c r="L137"/>
    </row>
    <row r="138" ht="25.5" customHeight="1">
      <c r="A138" t="inlineStr">
        <is>
          <t>初中物理知识点大全 中考复习资料</t>
        </is>
      </c>
      <c r="B138">
        <v>212</v>
      </c>
      <c r="C138" t="inlineStr">
        <is>
          <t>不好意思! 这个资源丢失了，请等管理员操作~</t>
        </is>
      </c>
      <c r="D138" t="inlineStr">
        <is>
          <t>是</t>
        </is>
      </c>
      <c r="E138" t="inlineStr">
        <is>
          <t>✅ 包含初中物理名师手写笔记，78页26个模板，彩色版重难点突出
✅ 60个题型精炼难点解析（Word版可编辑），攻克压强、浮力、电学等难点
✅ 初中物理公式汇总和知识点梳理，助力中考复习
✅ 百度和夸克双盘齐发，可直接点“2人小刀”自动免拼秒发货，售出不退不换</t>
        </is>
      </c>
      <c r="F138" s="2" t="str">
        <f>=HYPERLINK("https://s.coze.cn/t/nmaLII4hQGw/", "https://s.coze.cn/t/nmaLII4hQGw/")</f>
        <v>https://s.coze.cn/t/nmaLII4hQGw/</v>
      </c>
      <c r="G138"/>
      <c r="H138" s="2" t="str">
        <f>=HYPERLINK("https://www.goofish.com/item?spm=a21ybx.search.searchFeedList.5.8a9c7781EUE2gV&amp;id=959087637204&amp;categoryId=202036301", "https://www.goofish.com/item?spm=a21ybx.search.searchFeedList.5.8a9c7781EUE2gV&amp;id=959087637204&amp;categoryId=202036301")</f>
        <v>https://www.goofish.com/item?spm=a21ybx.search.searchFeedList.5.8a9c7781EUE2gV&amp;id=959087637204&amp;categoryId=202036301</v>
      </c>
      <c r="I138">
        <v>959087637204</v>
      </c>
      <c r="J138"/>
      <c r="K138"/>
      <c r="L138"/>
    </row>
    <row r="139" ht="25.5" customHeight="1">
      <c r="A139" t="inlineStr">
        <is>
          <t>七年级上册小四门知识点总结 2025新版</t>
        </is>
      </c>
      <c r="B139">
        <v>213</v>
      </c>
      <c r="C139" t="inlineStr">
        <is>
          <t>不好意思! 这个资源丢失了，请等管理员操作~</t>
        </is>
      </c>
      <c r="D139" t="inlineStr">
        <is>
          <t>是</t>
        </is>
      </c>
      <c r="E139" t="inlineStr">
        <is>
          <t>✅ 包含地理19页、历史26页、生物34页、道法19页，PDF格式电子资料
✅ 最新人教版知识要点和梳理，助力七年级上册小四门学习
✅ 百度和夸克网盘双发，拍下自动秒发，24小时自动发货
✅ 标价即售价，电子资料拍下不退不换，介意勿拍</t>
        </is>
      </c>
      <c r="F139" s="2" t="str">
        <f>=HYPERLINK("https://s.coze.cn/t/A34mDauo8Jk/", "https://s.coze.cn/t/A34mDauo8Jk/")</f>
        <v>https://s.coze.cn/t/A34mDauo8Jk/</v>
      </c>
      <c r="G139"/>
      <c r="H139" s="2" t="str">
        <f>=HYPERLINK("https://www.goofish.com/item?spm=a21ybx.search.searchFeedList.16.8a9c7781EUE2gV&amp;id=982867610076&amp;categoryId=202036301", "https://www.goofish.com/item?spm=a21ybx.search.searchFeedList.16.8a9c7781EUE2gV&amp;id=982867610076&amp;categoryId=202036301")</f>
        <v>https://www.goofish.com/item?spm=a21ybx.search.searchFeedList.16.8a9c7781EUE2gV&amp;id=982867610076&amp;categoryId=202036301</v>
      </c>
      <c r="I139">
        <v>982867610076</v>
      </c>
      <c r="J139"/>
      <c r="K139"/>
      <c r="L139"/>
    </row>
    <row r="140" ht="25.5" customHeight="1">
      <c r="A140" t="inlineStr">
        <is>
          <t>Power Up 1级知识清单 彩色图文</t>
        </is>
      </c>
      <c r="B140">
        <v>215</v>
      </c>
      <c r="C140" t="inlineStr">
        <is>
          <t>不好意思! 这个资源丢失了，请等管理员操作~</t>
        </is>
      </c>
      <c r="D140" t="inlineStr">
        <is>
          <t>是</t>
        </is>
      </c>
      <c r="E140" t="inlineStr">
        <is>
          <t>✅ 1 - 9单元全册彩色图文，整合词汇、句型、知识点
✅ 听力阅读文本图文编排，美观实用，助力启蒙英语学习
✅ 电子版，网盘秒发
✅ 虚拟资料，拍下不退不换，素材收集于网络，仅供学习交流</t>
        </is>
      </c>
      <c r="F140" s="2" t="str">
        <f>=HYPERLINK("https://s.coze.cn/t/dg2uIcxbqgM/", "https://s.coze.cn/t/dg2uIcxbqgM/")</f>
        <v>https://s.coze.cn/t/dg2uIcxbqgM/</v>
      </c>
      <c r="G140"/>
      <c r="H140" s="2" t="str">
        <f>=HYPERLINK("https://www.goofish.com/item?spm=a21ybx.search.searchFeedList.29.8a9c7781EUE2gV&amp;id=965534018503&amp;categoryId=202036301", "https://www.goofish.com/item?spm=a21ybx.search.searchFeedList.29.8a9c7781EUE2gV&amp;id=965534018503&amp;categoryId=202036301")</f>
        <v>https://www.goofish.com/item?spm=a21ybx.search.searchFeedList.29.8a9c7781EUE2gV&amp;id=965534018503&amp;categoryId=202036301</v>
      </c>
      <c r="I140">
        <v>965534018503</v>
      </c>
      <c r="J140"/>
      <c r="K140"/>
      <c r="L140"/>
    </row>
    <row r="141" ht="25.5" customHeight="1">
      <c r="A141" t="inlineStr">
        <is>
          <t>陈孝彬教育管理学 笔记题库1元</t>
        </is>
      </c>
      <c r="B141">
        <v>216</v>
      </c>
      <c r="C141" t="inlineStr">
        <is>
          <t>不好意思! 这个资源丢失了，请等管理员操作~</t>
        </is>
      </c>
      <c r="D141" t="inlineStr">
        <is>
          <t>是</t>
        </is>
      </c>
      <c r="E141" t="inlineStr">
        <is>
          <t>✅ 包含陈孝彬教育管理学笔记、知识点总结及配套题库，助力学习
✅ 仅需1元，不满意随时退，物超所值
✅ 24小时自动发货，迅雷网盘电子版，无实物
✅ 店主不定时在线，直接拍，拍完不满意直接退，自动退款</t>
        </is>
      </c>
      <c r="F141" s="2" t="str">
        <f>=HYPERLINK("https://s.coze.cn/t/Y9NA3muQ8CY/", "https://s.coze.cn/t/Y9NA3muQ8CY/")</f>
        <v>https://s.coze.cn/t/Y9NA3muQ8CY/</v>
      </c>
      <c r="G141"/>
      <c r="H141" s="2" t="str">
        <f>=HYPERLINK("https://www.goofish.com/item?spm=a21ybx.search.searchFeedList.19.8a9c7781EUE2gV&amp;id=803344754555&amp;categoryId=202036301", "https://www.goofish.com/item?spm=a21ybx.search.searchFeedList.19.8a9c7781EUE2gV&amp;id=803344754555&amp;categoryId=202036301")</f>
        <v>https://www.goofish.com/item?spm=a21ybx.search.searchFeedList.19.8a9c7781EUE2gV&amp;id=803344754555&amp;categoryId=202036301</v>
      </c>
      <c r="I141">
        <v>803344754555</v>
      </c>
      <c r="J141"/>
      <c r="K141"/>
      <c r="L141"/>
    </row>
    <row r="142" ht="25.5" customHeight="1">
      <c r="A142" t="inlineStr">
        <is>
          <t>马克思主义基本原理 2笔记题库</t>
        </is>
      </c>
      <c r="B142">
        <v>217</v>
      </c>
      <c r="C142" t="inlineStr">
        <is>
          <t>不好意思! 这个资源丢失了，请等管理员操作~</t>
        </is>
      </c>
      <c r="D142" t="inlineStr">
        <is>
          <t>是</t>
        </is>
      </c>
      <c r="E142" t="inlineStr">
        <is>
          <t>✅ 包含23版马克思主义基本原理笔记、知识点总结及配套题库，助力学习
✅ 仅需1元，不满意随时退，物超所值
✅ 24小时自动发货，迅雷网盘电子版，无实物
✅ 内容不满意直接退款，有帮助可帮忙好评</t>
        </is>
      </c>
      <c r="F142" s="2" t="str">
        <f>=HYPERLINK("https://s.coze.cn/t/u7r3aMG4_I8/", "https://s.coze.cn/t/u7r3aMG4_I8/")</f>
        <v>https://s.coze.cn/t/u7r3aMG4_I8/</v>
      </c>
      <c r="G142"/>
      <c r="H142" s="2" t="str">
        <f>=HYPERLINK("https://www.goofish.com/item?spm=a21ybx.search.searchFeedList.18.8a9c7781EUE2gV&amp;id=800793702147&amp;categoryId=202036301", "https://www.goofish.com/item?spm=a21ybx.search.searchFeedList.18.8a9c7781EUE2gV&amp;id=800793702147&amp;categoryId=202036301")</f>
        <v>https://www.goofish.com/item?spm=a21ybx.search.searchFeedList.18.8a9c7781EUE2gV&amp;id=800793702147&amp;categoryId=202036301</v>
      </c>
      <c r="I142">
        <v>800793702147</v>
      </c>
      <c r="J142"/>
      <c r="K142"/>
      <c r="L142"/>
    </row>
    <row r="143" ht="25.5" customHeight="1">
      <c r="A143" t="inlineStr">
        <is>
          <t>初中全科知识点总结 各版本</t>
        </is>
      </c>
      <c r="B143">
        <v>218</v>
      </c>
      <c r="C143" t="inlineStr">
        <is>
          <t>不好意思! 这个资源丢失了，请等管理员操作~</t>
        </is>
      </c>
      <c r="D143" t="inlineStr">
        <is>
          <t>是</t>
        </is>
      </c>
      <c r="E143" t="inlineStr">
        <is>
          <t>✅ 涵盖7 - 9年级上下册9科知识点，人教、北师大等多版本可选
✅ 高清彩色无水印版，可直接打印，助力期末复习
✅ 百度网盘自动发货，可直接点“2人小刀”自动免拼秒发货
✅ 资料可复制，一经售出不退不换，敬请理解</t>
        </is>
      </c>
      <c r="F143" s="2" t="str">
        <f>=HYPERLINK("https://s.coze.cn/t/XUaDiu5TXOM/", "https://s.coze.cn/t/XUaDiu5TXOM/")</f>
        <v>https://s.coze.cn/t/XUaDiu5TXOM/</v>
      </c>
      <c r="G143"/>
      <c r="H143" s="2" t="str">
        <f>=HYPERLINK("https://www.goofish.com/item?spm=a21ybx.search.searchFeedList.5.8a9c7781EUE2gV&amp;id=970589307931&amp;categoryId=202036301", "https://www.goofish.com/item?spm=a21ybx.search.searchFeedList.5.8a9c7781EUE2gV&amp;id=970589307931&amp;categoryId=202036301")</f>
        <v>https://www.goofish.com/item?spm=a21ybx.search.searchFeedList.5.8a9c7781EUE2gV&amp;id=970589307931&amp;categoryId=202036301</v>
      </c>
      <c r="I143">
        <v>970589307931</v>
      </c>
      <c r="J143"/>
      <c r="K143"/>
      <c r="L143"/>
    </row>
    <row r="144" ht="25.5" customHeight="1">
      <c r="A144" t="inlineStr">
        <is>
          <t>四年级数学上知识点总结 人教版</t>
        </is>
      </c>
      <c r="B144">
        <v>219</v>
      </c>
      <c r="C144" t="inlineStr">
        <is>
          <t>【超级会员V1】通过百度网盘分享的文件：4.四年级数学上…
链接:https://pan.baidu.com/s/1Gq8CKw6rtI_syjdZ52TtCw 
提取码:2s47
复制这段内容打开「百度网盘APP 即可获取」</t>
        </is>
      </c>
      <c r="D144" t="inlineStr">
        <is>
          <t>是</t>
        </is>
      </c>
      <c r="E144" t="inlineStr">
        <is>
          <t>✅ 包含14页知识点总结整理和10页四上数学必背公式练习与答案
✅ 老师整理，帮助学生整合知识，形成完整框架，提高学习效率
✅ 拍下自动网盘发货，可打印电子档，非纸质，特殊商品不退不换
✅ 给孩子打印出来读读背背，吃透知识点，轻松学好数学</t>
        </is>
      </c>
      <c r="F144" s="2" t="str">
        <f>=HYPERLINK("https://s.coze.cn/t/e0aWKErQ_0s/", "https://s.coze.cn/t/e0aWKErQ_0s/")</f>
        <v>https://s.coze.cn/t/e0aWKErQ_0s/</v>
      </c>
      <c r="G144"/>
      <c r="H144" s="2" t="str">
        <f>=HYPERLINK("https://www.goofish.com/item?spm=a21ybx.search.searchFeedList.4.8a9c7781EUE2gV&amp;id=844392317181&amp;categoryId=202036301", "https://www.goofish.com/item?spm=a21ybx.search.searchFeedList.4.8a9c7781EUE2gV&amp;id=844392317181&amp;categoryId=202036301")</f>
        <v>https://www.goofish.com/item?spm=a21ybx.search.searchFeedList.4.8a9c7781EUE2gV&amp;id=844392317181&amp;categoryId=202036301</v>
      </c>
      <c r="I144">
        <v>844392317181</v>
      </c>
      <c r="J144"/>
      <c r="K144"/>
      <c r="L144"/>
    </row>
    <row r="145" ht="25.5" customHeight="1">
      <c r="A145" t="inlineStr">
        <is>
          <t>2025年CSP-J初赛知识点训练 配解析</t>
        </is>
      </c>
      <c r="B145">
        <v>220</v>
      </c>
      <c r="C145" t="inlineStr">
        <is>
          <t>【超级会员V1】通过百度网盘分享的文件：CSP-J初赛 …
链接:https://pan.baidu.com/s/1JQDnaRzqu2ltMS0lcpftjQ 
提取码:93b7
复制这段内容打开「百度网盘APP 即可获取」</t>
        </is>
      </c>
      <c r="D145" t="inlineStr">
        <is>
          <t>是</t>
        </is>
      </c>
      <c r="E145" t="inlineStr">
        <is>
          <t>✅ 包含分模块针对性训练及答案解析、初赛知识点总结、18套模拟卷、历年真题、考试大纲等资料
✅ 适合9月份初级入门考试，助力信息学竞赛备考
✅ 百度网盘秒发，拍下即可获取
✅ 虚拟资料，拍下不退不换，素材收集于网络，仅供学习交流</t>
        </is>
      </c>
      <c r="F145" s="2" t="str">
        <f>=HYPERLINK("https://s.coze.cn/t/mgvJTmSdagk/", "https://s.coze.cn/t/mgvJTmSdagk/")</f>
        <v>https://s.coze.cn/t/mgvJTmSdagk/</v>
      </c>
      <c r="G145"/>
      <c r="H145" s="2" t="str">
        <f>=HYPERLINK("https://www.goofish.com/item?spm=a21ybx.search.searchFeedList.21.8a9c7781EUE2gV&amp;id=954570925430&amp;categoryId=202036301", "https://www.goofish.com/item?spm=a21ybx.search.searchFeedList.21.8a9c7781EUE2gV&amp;id=954570925430&amp;categoryId=202036301")</f>
        <v>https://www.goofish.com/item?spm=a21ybx.search.searchFeedList.21.8a9c7781EUE2gV&amp;id=954570925430&amp;categoryId=202036301</v>
      </c>
      <c r="I145">
        <v>954570925430</v>
      </c>
      <c r="J145"/>
      <c r="K145"/>
      <c r="L145"/>
    </row>
    <row r="146" ht="25.5" customHeight="1">
      <c r="A146" t="inlineStr">
        <is>
          <t>八年级历史上册知识点 2025新版人教版</t>
        </is>
      </c>
      <c r="B146">
        <v>221</v>
      </c>
      <c r="C146" t="inlineStr">
        <is>
          <t>不好意思! 这个资源丢失了，请等管理员操作~</t>
        </is>
      </c>
      <c r="D146" t="inlineStr">
        <is>
          <t>是</t>
        </is>
      </c>
      <c r="E146" t="inlineStr">
        <is>
          <t>✅ 包含31页背诵和31页默写PDF文档，同步2025新版人教版教材
✅ 帮助学生高效学习，比啃书更轻松
✅ 24小时拍下自动网盘发货，标价就是卖价，拍下不退
✅ 关注我，持续上新更多优质学习资料</t>
        </is>
      </c>
      <c r="F146" s="2" t="str">
        <f>=HYPERLINK("https://s.coze.cn/t/cdHK2eArOTY/", "https://s.coze.cn/t/cdHK2eArOTY/")</f>
        <v>https://s.coze.cn/t/cdHK2eArOTY/</v>
      </c>
      <c r="G146"/>
      <c r="H146" s="2" t="str">
        <f>=HYPERLINK("https://www.goofish.com/item?spm=a21ybx.search.searchFeedList.17.8a9c7781EUE2gV&amp;id=856532985286&amp;categoryId=202036301", "https://www.goofish.com/item?spm=a21ybx.search.searchFeedList.17.8a9c7781EUE2gV&amp;id=856532985286&amp;categoryId=202036301")</f>
        <v>https://www.goofish.com/item?spm=a21ybx.search.searchFeedList.17.8a9c7781EUE2gV&amp;id=856532985286&amp;categoryId=202036301</v>
      </c>
      <c r="I146">
        <v>856532985286</v>
      </c>
      <c r="J146"/>
      <c r="K146"/>
      <c r="L146"/>
    </row>
    <row r="147" ht="25.5" customHeight="1">
      <c r="A147" t="inlineStr">
        <is>
          <t>中小学英语语法专项训练 34天含答案</t>
        </is>
      </c>
      <c r="B147">
        <v>222</v>
      </c>
      <c r="C147" t="inlineStr">
        <is>
          <t>不好意思! 这个资源丢失了，请等管理员操作~</t>
        </is>
      </c>
      <c r="D147" t="inlineStr">
        <is>
          <t>是</t>
        </is>
      </c>
      <c r="E147" t="inlineStr">
        <is>
          <t>✅ 共67页，34天含答案，一套搞定小学初中语法
✅ 知识点总结 + 针对性练习，助力飞速进步
✅ 拍下自动网盘发货，可打印电子档，非纸质，特殊商品不退不换
✅ 小学英语语法默写小纸条，小升初必备，初中语法共用</t>
        </is>
      </c>
      <c r="F147" s="2" t="str">
        <f>=HYPERLINK("https://s.coze.cn/t/0grPpTA2jDU/", "https://s.coze.cn/t/0grPpTA2jDU/")</f>
        <v>https://s.coze.cn/t/0grPpTA2jDU/</v>
      </c>
      <c r="G147"/>
      <c r="H147" s="2" t="str">
        <f>=HYPERLINK("https://www.goofish.com/item?spm=a21ybx.search.searchFeedList.25.8a9c7781EUE2gV&amp;id=851606394825&amp;categoryId=202036301", "https://www.goofish.com/item?spm=a21ybx.search.searchFeedList.25.8a9c7781EUE2gV&amp;id=851606394825&amp;categoryId=202036301")</f>
        <v>https://www.goofish.com/item?spm=a21ybx.search.searchFeedList.25.8a9c7781EUE2gV&amp;id=851606394825&amp;categoryId=202036301</v>
      </c>
      <c r="I147">
        <v>851606394825</v>
      </c>
      <c r="J147"/>
      <c r="K147"/>
      <c r="L147"/>
    </row>
    <row r="148" ht="25.5" customHeight="1">
      <c r="A148" t="inlineStr">
        <is>
          <t>教科版小学科学知识点汇总 二至六年级</t>
        </is>
      </c>
      <c r="B148">
        <v>223</v>
      </c>
      <c r="C148" t="inlineStr">
        <is>
          <t>不好意思! 这个资源丢失了，请等管理员操作~</t>
        </is>
      </c>
      <c r="D148" t="inlineStr">
        <is>
          <t>是</t>
        </is>
      </c>
      <c r="E148" t="inlineStr">
        <is>
          <t>✅ 涵盖二至六年级科学知识点，精挑细选，助力考点梳理归纳
✅ 24小时自动秒发，百度网盘发货，急用无忧
✅ 电子版资料，拍下不退不换，素材收集于网络，仅供学习交流
✅ 无需询问店主状态，直接拍下即可获取资料</t>
        </is>
      </c>
      <c r="F148" s="2" t="str">
        <f>=HYPERLINK("https://s.coze.cn/t/q9lgPzl95VY/", "https://s.coze.cn/t/q9lgPzl95VY/")</f>
        <v>https://s.coze.cn/t/q9lgPzl95VY/</v>
      </c>
      <c r="G148"/>
      <c r="H148" s="2" t="str">
        <f>=HYPERLINK("https://www.goofish.com/item?spm=a21ybx.search.searchFeedList.19.8a9c7781EUE2gV&amp;id=916670451043&amp;categoryId=202036301", "https://www.goofish.com/item?spm=a21ybx.search.searchFeedList.19.8a9c7781EUE2gV&amp;id=916670451043&amp;categoryId=202036301")</f>
        <v>https://www.goofish.com/item?spm=a21ybx.search.searchFeedList.19.8a9c7781EUE2gV&amp;id=916670451043&amp;categoryId=202036301</v>
      </c>
      <c r="I148">
        <v>916670451043</v>
      </c>
      <c r="J148"/>
      <c r="K148"/>
      <c r="L148"/>
    </row>
    <row r="149" ht="25.5" customHeight="1">
      <c r="A149" t="inlineStr">
        <is>
          <t>九年级化学上册知识点 中考复习</t>
        </is>
      </c>
      <c r="B149">
        <v>224</v>
      </c>
      <c r="C149" t="inlineStr">
        <is>
          <t>不好意思! 这个资源丢失了，请等管理员操作~</t>
        </is>
      </c>
      <c r="D149" t="inlineStr">
        <is>
          <t>是</t>
        </is>
      </c>
      <c r="E149" t="inlineStr">
        <is>
          <t>✅ 人教版新版九年级上册化学知识点归纳总结，含背诵和默写共60页，再送初中化学常见记背小知识点梳理10页
✅ 帮助学生整合知识体系，理清思路，提升学习效率，迅速提升成绩
✅ 24小时在线自动发货，标价就是卖价，拍下不退
✅ 可进主页搜索九年级下册化学单元知识检测小纸条</t>
        </is>
      </c>
      <c r="F149" s="2" t="str">
        <f>=HYPERLINK("https://s.coze.cn/t/tds8gZtytqw/", "https://s.coze.cn/t/tds8gZtytqw/")</f>
        <v>https://s.coze.cn/t/tds8gZtytqw/</v>
      </c>
      <c r="G149"/>
      <c r="H149" s="2" t="str">
        <f>=HYPERLINK("https://www.goofish.com/item?spm=a21ybx.search.searchFeedList.10.8a9c7781EUE2gV&amp;id=854093922187&amp;categoryId=202036301", "https://www.goofish.com/item?spm=a21ybx.search.searchFeedList.10.8a9c7781EUE2gV&amp;id=854093922187&amp;categoryId=202036301")</f>
        <v>https://www.goofish.com/item?spm=a21ybx.search.searchFeedList.10.8a9c7781EUE2gV&amp;id=854093922187&amp;categoryId=202036301</v>
      </c>
      <c r="I149">
        <v>854093922187</v>
      </c>
      <c r="J149"/>
      <c r="K149"/>
      <c r="L149"/>
    </row>
    <row r="150" ht="25.5" customHeight="1">
      <c r="A150" t="inlineStr">
        <is>
          <t>大学军事理论 期末复习笔记题库</t>
        </is>
      </c>
      <c r="B150">
        <v>225</v>
      </c>
      <c r="C150" t="inlineStr">
        <is>
          <t>不好意思! 这个资源丢失了，请等管理员操作~</t>
        </is>
      </c>
      <c r="D150" t="inlineStr">
        <is>
          <t>是</t>
        </is>
      </c>
      <c r="E150" t="inlineStr">
        <is>
          <t>✅ 包含复习笔记、课后习题、考试题库和考研资料，助力大学军事理论期末考试
✅ 拍下发网盘，电子资料，售出不退
✅ 全面覆盖知识点，帮助学生高效复习，提升考试成绩
✅ 虚拟资料，拍下不退不换，素材收集于网络，仅供学习交流</t>
        </is>
      </c>
      <c r="F150" s="2" t="str">
        <f>=HYPERLINK("https://s.coze.cn/t/idUB9zJ93CE/", "https://s.coze.cn/t/idUB9zJ93CE/")</f>
        <v>https://s.coze.cn/t/idUB9zJ93CE/</v>
      </c>
      <c r="G150"/>
      <c r="H150" s="2" t="str">
        <f>=HYPERLINK("https://www.goofish.com/item?spm=a21ybx.search.searchFeedList.28.8a9c7781EUE2gV&amp;id=864793699058&amp;categoryId=202036301", "https://www.goofish.com/item?spm=a21ybx.search.searchFeedList.28.8a9c7781EUE2gV&amp;id=864793699058&amp;categoryId=202036301")</f>
        <v>https://www.goofish.com/item?spm=a21ybx.search.searchFeedList.28.8a9c7781EUE2gV&amp;id=864793699058&amp;categoryId=202036301</v>
      </c>
      <c r="I150">
        <v>864793699058</v>
      </c>
      <c r="J150"/>
      <c r="K150"/>
      <c r="L150"/>
    </row>
    <row r="151" ht="25.5" customHeight="1">
      <c r="A151" t="inlineStr">
        <is>
          <t>1元陈琦教心第三版笔记题库</t>
        </is>
      </c>
      <c r="B151">
        <v>226</v>
      </c>
      <c r="C151" t="inlineStr">
        <is>
          <t>不好意思! 这个资源丢失了，请等管理员操作~</t>
        </is>
      </c>
      <c r="D151" t="inlineStr">
        <is>
          <t>是</t>
        </is>
      </c>
      <c r="E151" t="inlineStr">
        <is>
          <t>✅ 1元获取陈琦当代教育心理学第三版笔记、知识点总结及配套题库PDF电子版，助力学习备考
✅ 统一售价无套路，所有文档一起，所见即所得
✅ 24小时自动发货，迅雷网盘电子版，无实物
✅ 内容不满意直接退款，物超所值
✅ 店主不定时在线，直接下单，不满意自动退款</t>
        </is>
      </c>
      <c r="F151" s="2" t="str">
        <f>=HYPERLINK("https://s.coze.cn/t/SpROQzvysy8/", "https://s.coze.cn/t/SpROQzvysy8/")</f>
        <v>https://s.coze.cn/t/SpROQzvysy8/</v>
      </c>
      <c r="G151"/>
      <c r="H151" s="2" t="str">
        <f>=HYPERLINK("https://www.goofish.com/item?spm=a21ybx.search.searchFeedList.17.8a9c7781EUE2gV&amp;id=803242476262&amp;categoryId=202036301", "https://www.goofish.com/item?spm=a21ybx.search.searchFeedList.17.8a9c7781EUE2gV&amp;id=803242476262&amp;categoryId=202036301")</f>
        <v>https://www.goofish.com/item?spm=a21ybx.search.searchFeedList.17.8a9c7781EUE2gV&amp;id=803242476262&amp;categoryId=202036301</v>
      </c>
      <c r="I151">
        <v>803242476262</v>
      </c>
      <c r="J151"/>
      <c r="K151"/>
      <c r="L151"/>
    </row>
    <row r="152" ht="25.5" customHeight="1">
      <c r="A152" t="inlineStr">
        <is>
          <t>1元陈共财政学笔记题库</t>
        </is>
      </c>
      <c r="B152">
        <v>227</v>
      </c>
      <c r="C152" t="inlineStr">
        <is>
          <t>【超级会员V2】通过百度网盘分享的文件：0046-财政学…
链接:https://pan.baidu.com/s/1Pg1iOBcLzNU-Z03HWKypbA 
提取码:86y1
复制这段内容打开「百度网盘APP 即可获取」</t>
        </is>
      </c>
      <c r="D152" t="inlineStr">
        <is>
          <t>是</t>
        </is>
      </c>
      <c r="E152" t="inlineStr">
        <is>
          <t>✅ 1元获取陈共财政学笔记、知识点总结及配套题库PDF电子版，助力学习备考
✅ 统一售价无套路，所有文档一起，所见即所得
✅ 24小时自动发货，迅雷网盘电子版，无实物
✅ 内容不满意直接退款，物超所值
✅ 店主不定时在线，直接下单，不满意自动退款</t>
        </is>
      </c>
      <c r="F152" s="2" t="str">
        <f>=HYPERLINK("https://s.coze.cn/t/WqELyEbK3Rw/", "https://s.coze.cn/t/WqELyEbK3Rw/")</f>
        <v>https://s.coze.cn/t/WqELyEbK3Rw/</v>
      </c>
      <c r="G152"/>
      <c r="H152" s="2" t="str">
        <f>=HYPERLINK("https://www.goofish.com/item?spm=a21ybx.search.searchFeedList.11.8a9c7781EUE2gV&amp;id=802319479879&amp;categoryId=202036301", "https://www.goofish.com/item?spm=a21ybx.search.searchFeedList.11.8a9c7781EUE2gV&amp;id=802319479879&amp;categoryId=202036301")</f>
        <v>https://www.goofish.com/item?spm=a21ybx.search.searchFeedList.11.8a9c7781EUE2gV&amp;id=802319479879&amp;categoryId=202036301</v>
      </c>
      <c r="I152">
        <v>802319479879</v>
      </c>
      <c r="J152"/>
      <c r="K152"/>
      <c r="L152"/>
    </row>
    <row r="153" ht="25.5" customHeight="1">
      <c r="A153" t="inlineStr">
        <is>
          <t>1元高中学霸九科笔记电子版</t>
        </is>
      </c>
      <c r="B153">
        <v>228</v>
      </c>
      <c r="C153" t="inlineStr">
        <is>
          <t>不好意思! 这个资源丢失了，请等管理员操作~</t>
        </is>
      </c>
      <c r="D153" t="inlineStr">
        <is>
          <t>是</t>
        </is>
      </c>
      <c r="E153" t="inlineStr">
        <is>
          <t>✅ 1元获取全彩高中学霸笔记电子版，涵盖高中九科，全国通用
✅ 高一到高三知识点齐全，重难点标注清晰，助力高效学习
✅ 24小时自动发货，网盘电子版，无实物
✅ 内容不满意直接退款，物超所值</t>
        </is>
      </c>
      <c r="F153" s="2" t="str">
        <f>=HYPERLINK("https://s.coze.cn/t/sQaL3_S_GXM/", "https://s.coze.cn/t/sQaL3_S_GXM/")</f>
        <v>https://s.coze.cn/t/sQaL3_S_GXM/</v>
      </c>
      <c r="G153"/>
      <c r="H153" s="2" t="str">
        <f>=HYPERLINK("https://www.goofish.com/item?spm=a21ybx.search.searchFeedList.15.8a9c7781EUE2gV&amp;id=961103500056&amp;categoryId=202036301", "https://www.goofish.com/item?spm=a21ybx.search.searchFeedList.15.8a9c7781EUE2gV&amp;id=961103500056&amp;categoryId=202036301")</f>
        <v>https://www.goofish.com/item?spm=a21ybx.search.searchFeedList.15.8a9c7781EUE2gV&amp;id=961103500056&amp;categoryId=202036301</v>
      </c>
      <c r="I153">
        <v>961103500056</v>
      </c>
      <c r="J153"/>
      <c r="K153"/>
      <c r="L153"/>
    </row>
    <row r="154" ht="25.5" customHeight="1">
      <c r="A154" t="inlineStr">
        <is>
          <t>苏教四数上册资料包</t>
        </is>
      </c>
      <c r="B154">
        <v>229</v>
      </c>
      <c r="C154" t="inlineStr">
        <is>
          <t>不好意思! 这个资源丢失了，请等管理员操作~</t>
        </is>
      </c>
      <c r="D154" t="inlineStr">
        <is>
          <t>是</t>
        </is>
      </c>
      <c r="E154" t="inlineStr">
        <is>
          <t>✅ 1元获取苏教版四年级数学上册全套资料，包含课件PPT、单元知识、课时练等20项内容
✅ 老师备课上课，学生自用预习复习都适用
✅ 拍下自动发货，秒发百度网盘链接
✅ 虚拟资料，发货后不退，看清楚再拍</t>
        </is>
      </c>
      <c r="F154" s="2" t="str">
        <f>=HYPERLINK("https://s.coze.cn/t/t3OEqCOEgz0/", "https://s.coze.cn/t/t3OEqCOEgz0/")</f>
        <v>https://s.coze.cn/t/t3OEqCOEgz0/</v>
      </c>
      <c r="G154"/>
      <c r="H154" s="2" t="str">
        <f>=HYPERLINK("https://www.goofish.com/item?spm=a21ybx.search.searchFeedList.3.8a9c7781EUE2gV&amp;id=955639234096&amp;categoryId=202036301", "https://www.goofish.com/item?spm=a21ybx.search.searchFeedList.3.8a9c7781EUE2gV&amp;id=955639234096&amp;categoryId=202036301")</f>
        <v>https://www.goofish.com/item?spm=a21ybx.search.searchFeedList.3.8a9c7781EUE2gV&amp;id=955639234096&amp;categoryId=202036301</v>
      </c>
      <c r="I154">
        <v>955639234096</v>
      </c>
      <c r="J154"/>
      <c r="K154"/>
      <c r="L154"/>
    </row>
    <row r="155" ht="25.5" customHeight="1">
      <c r="A155" t="inlineStr">
        <is>
          <t>拉扎维模集知识点总结</t>
        </is>
      </c>
      <c r="B155">
        <v>230</v>
      </c>
      <c r="C155" t="inlineStr">
        <is>
          <t>不好意思! 这个资源丢失了，请等管理员操作~</t>
        </is>
      </c>
      <c r="D155" t="inlineStr">
        <is>
          <t>是</t>
        </is>
      </c>
      <c r="E155" t="inlineStr">
        <is>
          <t>✅ 1元获取拉扎维模集第二版知识点总结，共1w多字，提供pdf和word格式，可自行删改补充
✅ 适合模拟IC入门、学习，本科生/研究生找工作笔试/面试复习回顾
✅ 赠送第二版英文版答案、西交和复旦模集ppt及其他模集教材
✅ 发百度网盘链接，永不失效，售出不退
✅ 所有文件均获取自网络公开渠道，仅供学习和交流使用</t>
        </is>
      </c>
      <c r="F155" s="2" t="str">
        <f>=HYPERLINK("https://s.coze.cn/t/YFDxYaEXdnY/", "https://s.coze.cn/t/YFDxYaEXdnY/")</f>
        <v>https://s.coze.cn/t/YFDxYaEXdnY/</v>
      </c>
      <c r="G155"/>
      <c r="H155" s="2" t="str">
        <f>=HYPERLINK("https://www.goofish.com/item?spm=a21ybx.search.searchFeedList.24.8a9c7781EUE2gV&amp;id=906122766199&amp;categoryId=202036301", "https://www.goofish.com/item?spm=a21ybx.search.searchFeedList.24.8a9c7781EUE2gV&amp;id=906122766199&amp;categoryId=202036301")</f>
        <v>https://www.goofish.com/item?spm=a21ybx.search.searchFeedList.24.8a9c7781EUE2gV&amp;id=906122766199&amp;categoryId=202036301</v>
      </c>
      <c r="I155">
        <v>906122766199</v>
      </c>
      <c r="J155"/>
      <c r="K155"/>
      <c r="L155"/>
    </row>
    <row r="156" ht="25.5" customHeight="1">
      <c r="A156" t="inlineStr">
        <is>
          <t>25新版初中道法知识点总结</t>
        </is>
      </c>
      <c r="B156">
        <v>231</v>
      </c>
      <c r="C156" t="inlineStr">
        <is>
          <t>不好意思! 这个资源丢失了，请等管理员操作~</t>
        </is>
      </c>
      <c r="D156" t="inlineStr">
        <is>
          <t>是</t>
        </is>
      </c>
      <c r="E156" t="inlineStr">
        <is>
          <t>✅ 1元获取25新版人教版初中道法七八九年级上下册知识点整理
✅ 分单元呈现清晰，高清无水印，知识点、复习要点可背诵可默写
✅ 助力孩子寒暑假和日常学习建立知识结构
✅ 拍下自动发出，秒发网盘链接</t>
        </is>
      </c>
      <c r="F156" s="2" t="str">
        <f>=HYPERLINK("https://s.coze.cn/t/jhsmP1ifkrg/", "https://s.coze.cn/t/jhsmP1ifkrg/")</f>
        <v>https://s.coze.cn/t/jhsmP1ifkrg/</v>
      </c>
      <c r="G156"/>
      <c r="H156" s="2" t="str">
        <f>=HYPERLINK("https://www.goofish.com/item?spm=a21ybx.search.searchFeedList.4.8a9c7781EUE2gV&amp;id=952242400136&amp;categoryId=202036301", "https://www.goofish.com/item?spm=a21ybx.search.searchFeedList.4.8a9c7781EUE2gV&amp;id=952242400136&amp;categoryId=202036301")</f>
        <v>https://www.goofish.com/item?spm=a21ybx.search.searchFeedList.4.8a9c7781EUE2gV&amp;id=952242400136&amp;categoryId=202036301</v>
      </c>
      <c r="I156">
        <v>952242400136</v>
      </c>
      <c r="J156"/>
      <c r="K156"/>
      <c r="L156"/>
    </row>
    <row r="157" ht="25.5" customHeight="1">
      <c r="A157" t="inlineStr">
        <is>
          <t>1元素描知识点总结大全</t>
        </is>
      </c>
      <c r="B157">
        <v>232</v>
      </c>
      <c r="C157" t="inlineStr">
        <is>
          <t>不好意思! 这个资源丢失了，请等管理员操作~</t>
        </is>
      </c>
      <c r="D157" t="inlineStr">
        <is>
          <t>是</t>
        </is>
      </c>
      <c r="E157" t="inlineStr">
        <is>
          <t>✅ 1元获取素描知识点总结大全，包含几何体结构、透视、明暗五大调等完整知识点
✅ 图片清晰，可直接打印学习，内容全面实用，适合美术生、艺考生、零基础学习者
✅ 涵盖各类几何体结构解析，一点透视两点透视三点透视都有
✅ 拍下自动秒发度盘链接，虚拟物品发货后不支持退款</t>
        </is>
      </c>
      <c r="F157" s="2" t="str">
        <f>=HYPERLINK("https://s.coze.cn/t/4gN_GYYVgy4/", "https://s.coze.cn/t/4gN_GYYVgy4/")</f>
        <v>https://s.coze.cn/t/4gN_GYYVgy4/</v>
      </c>
      <c r="G157"/>
      <c r="H157" s="2" t="str">
        <f>=HYPERLINK("https://www.goofish.com/item?spm=a21ybx.search.searchFeedList.20.8a9c7781EUE2gV&amp;id=927163842317&amp;categoryId=202036301", "https://www.goofish.com/item?spm=a21ybx.search.searchFeedList.20.8a9c7781EUE2gV&amp;id=927163842317&amp;categoryId=202036301")</f>
        <v>https://www.goofish.com/item?spm=a21ybx.search.searchFeedList.20.8a9c7781EUE2gV&amp;id=927163842317&amp;categoryId=202036301</v>
      </c>
      <c r="I157">
        <v>927163842317</v>
      </c>
      <c r="J157"/>
      <c r="K157"/>
      <c r="L157"/>
    </row>
    <row r="158" ht="25.5" customHeight="1">
      <c r="A158" t="inlineStr">
        <is>
          <t>1元化工原理笔记考研资料</t>
        </is>
      </c>
      <c r="B158">
        <v>233</v>
      </c>
      <c r="C158" t="inlineStr">
        <is>
          <t>不好意思! 这个资源丢失了，请等管理员操作~</t>
        </is>
      </c>
      <c r="D158" t="inlineStr">
        <is>
          <t>是</t>
        </is>
      </c>
      <c r="E158" t="inlineStr">
        <is>
          <t>✅ 1元获取《化工原理》笔记、知识点总结、公式总结、教案课件ppt等全套资料
✅ 包含名词解释、试题习题库、基本概念、学习指导等内容，助力考研和期末复习
✅ 拍下发网盘，祝大家考试顺利</t>
        </is>
      </c>
      <c r="F158" s="2" t="str">
        <f>=HYPERLINK("https://s.coze.cn/t/UCXrV0fcIUo/", "https://s.coze.cn/t/UCXrV0fcIUo/")</f>
        <v>https://s.coze.cn/t/UCXrV0fcIUo/</v>
      </c>
      <c r="G158"/>
      <c r="H158" s="2" t="str">
        <f>=HYPERLINK("https://www.goofish.com/item?spm=a21ybx.search.searchFeedList.5.8a9c7781EUE2gV&amp;id=986987479792&amp;categoryId=202036301", "https://www.goofish.com/item?spm=a21ybx.search.searchFeedList.5.8a9c7781EUE2gV&amp;id=986987479792&amp;categoryId=202036301")</f>
        <v>https://www.goofish.com/item?spm=a21ybx.search.searchFeedList.5.8a9c7781EUE2gV&amp;id=986987479792&amp;categoryId=202036301</v>
      </c>
      <c r="I158">
        <v>986987479792</v>
      </c>
      <c r="J158"/>
      <c r="K158"/>
      <c r="L158"/>
    </row>
    <row r="159" ht="25.5" customHeight="1">
      <c r="A159" t="inlineStr">
        <is>
          <t>1元小学英语语法知识点汇总</t>
        </is>
      </c>
      <c r="B159">
        <v>234</v>
      </c>
      <c r="C159" t="inlineStr">
        <is>
          <t>不好意思! 这个资源丢失了，请等管理员操作~</t>
        </is>
      </c>
      <c r="D159" t="inlineStr">
        <is>
          <t>是</t>
        </is>
      </c>
      <c r="E159" t="inlineStr">
        <is>
          <t>✅ 1元获取小学英语语法知识点汇总，覆盖小学阶段所有重点语法内容，适合小学生巩固基础
✅ 包含七天搞定小学1000单词、小学生英语词汇手册、短语汇总、基础语法、核心知识点、高频考点句型
✅ 超可爱画风，激发孩子学习兴趣，高清可打印，方便家长和孩子随时练习
✅ 24小时自动发货，拍下即得，省时省力
✅ 请不要直接申请退款，有任何问题私信沟通，一定妥善处理</t>
        </is>
      </c>
      <c r="F159" s="2" t="str">
        <f>=HYPERLINK("https://s.coze.cn/t/vSc6cmBG1fk/", "https://s.coze.cn/t/vSc6cmBG1fk/")</f>
        <v>https://s.coze.cn/t/vSc6cmBG1fk/</v>
      </c>
      <c r="G159"/>
      <c r="H159" s="2" t="str">
        <f>=HYPERLINK("https://www.goofish.com/item?spm=a21ybx.search.searchFeedList.8.8a9c7781EUE2gV&amp;id=950210867162&amp;categoryId=202036301", "https://www.goofish.com/item?spm=a21ybx.search.searchFeedList.8.8a9c7781EUE2gV&amp;id=950210867162&amp;categoryId=202036301")</f>
        <v>https://www.goofish.com/item?spm=a21ybx.search.searchFeedList.8.8a9c7781EUE2gV&amp;id=950210867162&amp;categoryId=202036301</v>
      </c>
      <c r="I159">
        <v>950210867162</v>
      </c>
      <c r="J159"/>
      <c r="K159"/>
      <c r="L159"/>
    </row>
    <row r="160" ht="25.5" customHeight="1">
      <c r="A160" t="inlineStr">
        <is>
          <t>1元25部编小学语文知识点</t>
        </is>
      </c>
      <c r="B160">
        <v>235</v>
      </c>
      <c r="C160" t="inlineStr">
        <is>
          <t>不好意思! 这个资源丢失了，请等管理员操作~</t>
        </is>
      </c>
      <c r="D160" t="inlineStr">
        <is>
          <t>是</t>
        </is>
      </c>
      <c r="E160" t="inlineStr">
        <is>
          <t>✅ 1元获取2025秋季新部编人教版小学语文1-6年级上下册知识点总结梳理PDF电子版
✅ 包含1-6年级上册和下册的知识要点，内容包括生字词汇总、课文重点解析等
✅ 内容完整，图文清晰，适合小学生使用
✅ 电子版资料，百度网盘发货，24小时内自动发送链接
✅ 虚拟商品，一经售出不退不换，介意勿拍</t>
        </is>
      </c>
      <c r="F160" s="2" t="str">
        <f>=HYPERLINK("https://s.coze.cn/t/Xa65zLrK2-g/", "https://s.coze.cn/t/Xa65zLrK2-g/")</f>
        <v>https://s.coze.cn/t/Xa65zLrK2-g/</v>
      </c>
      <c r="G160"/>
      <c r="H160" s="2" t="str">
        <f>=HYPERLINK("https://www.goofish.com/item?spm=a21ybx.search.searchFeedList.9.8a9c7781EUE2gV&amp;id=986421932285&amp;categoryId=202036301", "https://www.goofish.com/item?spm=a21ybx.search.searchFeedList.9.8a9c7781EUE2gV&amp;id=986421932285&amp;categoryId=202036301")</f>
        <v>https://www.goofish.com/item?spm=a21ybx.search.searchFeedList.9.8a9c7781EUE2gV&amp;id=986421932285&amp;categoryId=202036301</v>
      </c>
      <c r="I160">
        <v>986421932285</v>
      </c>
      <c r="J160"/>
      <c r="K160"/>
      <c r="L160"/>
    </row>
    <row r="161" ht="25.5" customHeight="1">
      <c r="A161" t="inlineStr">
        <is>
          <t>1元地理会考速背口诀资料包</t>
        </is>
      </c>
      <c r="B161">
        <v>236</v>
      </c>
      <c r="C161" t="inlineStr">
        <is>
          <t>不好意思! 这个资源丢失了，请等管理员操作~</t>
        </is>
      </c>
      <c r="D161" t="inlineStr">
        <is>
          <t>是</t>
        </is>
      </c>
      <c r="E161" t="inlineStr">
        <is>
          <t>✅ 1元获取2025年人教版地理会考知识归纳总结提纲速背口诀，包含必考知识点、真题、全真模拟卷等全套资料
✅ 刷完直接稳冲A，考前翻盘就靠它
✅ 电子版资料，百度网盘发货，售出不退不换
✅ 资料较多，请挑选适合自己孩子的模块进行学习，介意资料多的勿拍</t>
        </is>
      </c>
      <c r="F161" s="2" t="str">
        <f>=HYPERLINK("https://s.coze.cn/t/EzyJAC0n5yE/", "https://s.coze.cn/t/EzyJAC0n5yE/")</f>
        <v>https://s.coze.cn/t/EzyJAC0n5yE/</v>
      </c>
      <c r="G161"/>
      <c r="H161" s="2" t="str">
        <f>=HYPERLINK("https://www.goofish.com/item?spm=a21ybx.search.searchFeedList.15.8a9c7781EUE2gV&amp;id=900447161588&amp;categoryId=202036301", "https://www.goofish.com/item?spm=a21ybx.search.searchFeedList.15.8a9c7781EUE2gV&amp;id=900447161588&amp;categoryId=202036301")</f>
        <v>https://www.goofish.com/item?spm=a21ybx.search.searchFeedList.15.8a9c7781EUE2gV&amp;id=900447161588&amp;categoryId=202036301</v>
      </c>
      <c r="I161">
        <v>900447161588</v>
      </c>
      <c r="J161"/>
      <c r="K161"/>
      <c r="L161"/>
    </row>
    <row r="162" ht="25.5" customHeight="1">
      <c r="A162" t="inlineStr">
        <is>
          <t>1元25新版初中英语知识点</t>
        </is>
      </c>
      <c r="B162">
        <v>237</v>
      </c>
      <c r="C162" t="inlineStr">
        <is>
          <t>不好意思! 这个资源丢失了，请等管理员操作~</t>
        </is>
      </c>
      <c r="D162" t="inlineStr">
        <is>
          <t>是</t>
        </is>
      </c>
      <c r="E162" t="inlineStr">
        <is>
          <t>✅ 1元获取25年春季新版人教版初中英语知识点总结，包含七八九年级上下册知识点整理
✅ 排版清楚，高清无水印，附带电子教材，与新版教材同步
✅ 帮助孩子建立完整的知识体系，助力初中英语学习
✅ 拍下自动发出百度网盘链接，24小时自动发货，发出后不退</t>
        </is>
      </c>
      <c r="F162" s="2" t="str">
        <f>=HYPERLINK("https://s.coze.cn/t/VtodpIEEanw/", "https://s.coze.cn/t/VtodpIEEanw/")</f>
        <v>https://s.coze.cn/t/VtodpIEEanw/</v>
      </c>
      <c r="G162"/>
      <c r="H162" s="2" t="str">
        <f>=HYPERLINK("https://www.goofish.com/item?spm=a21ybx.search.searchFeedList.11.8a9c7781EUE2gV&amp;id=949665713898&amp;categoryId=202036301", "https://www.goofish.com/item?spm=a21ybx.search.searchFeedList.11.8a9c7781EUE2gV&amp;id=949665713898&amp;categoryId=202036301")</f>
        <v>https://www.goofish.com/item?spm=a21ybx.search.searchFeedList.11.8a9c7781EUE2gV&amp;id=949665713898&amp;categoryId=202036301</v>
      </c>
      <c r="I162">
        <v>949665713898</v>
      </c>
      <c r="J162"/>
      <c r="K162"/>
      <c r="L162"/>
    </row>
    <row r="163" ht="25.5" customHeight="1">
      <c r="A163" t="inlineStr">
        <is>
          <t>1元沪教小学数学知识点</t>
        </is>
      </c>
      <c r="B163">
        <v>238</v>
      </c>
      <c r="C163" t="inlineStr">
        <is>
          <t>【超级会员V2】通过百度网盘分享的文件：沪教上海版(五四…
链接:https://pan.baidu.com/s/1XIiTGMHLI1xDZoDW5JCkpA 
提取码:623o
复制这段内容打开「百度网盘APP 即可获取」</t>
        </is>
      </c>
      <c r="D163" t="inlineStr">
        <is>
          <t>是</t>
        </is>
      </c>
      <c r="E163" t="inlineStr">
        <is>
          <t>✅ 1元获取沪教上海版(五四制)小学数学知识点归纳总结word，一二三四五年级word版，可编辑可打印
✅ 1 - 5年级全部打包，标价即是卖价，需要直接拍
✅ 发百度网盘链接，永不失效，售出不退
✅ 任何情况不要申请退款，私信沟通处理，小店经营不易
✅ 所有文件均获取自网络公开渠道，仅供学习和交流使用</t>
        </is>
      </c>
      <c r="F163" s="2" t="str">
        <f>=HYPERLINK("https://s.coze.cn/t/afxM5Y0xtl0/", "https://s.coze.cn/t/afxM5Y0xtl0/")</f>
        <v>https://s.coze.cn/t/afxM5Y0xtl0/</v>
      </c>
      <c r="G163"/>
      <c r="H163" s="2" t="str">
        <f>=HYPERLINK("https://www.goofish.com/item?spm=a21ybx.search.searchFeedList.11.8a9c7781EUE2gV&amp;id=902717085328&amp;categoryId=202036301", "https://www.goofish.com/item?spm=a21ybx.search.searchFeedList.11.8a9c7781EUE2gV&amp;id=902717085328&amp;categoryId=202036301")</f>
        <v>https://www.goofish.com/item?spm=a21ybx.search.searchFeedList.11.8a9c7781EUE2gV&amp;id=902717085328&amp;categoryId=202036301</v>
      </c>
      <c r="I163">
        <v>902717085328</v>
      </c>
      <c r="J163"/>
      <c r="K163"/>
      <c r="L163"/>
    </row>
    <row r="164" ht="25.5" customHeight="1">
      <c r="A164" t="inlineStr">
        <is>
          <t>1元PU1英语知识清单</t>
        </is>
      </c>
      <c r="B164">
        <v>239</v>
      </c>
      <c r="C164" t="inlineStr">
        <is>
          <t>【超级会员V1】通过百度网盘分享的文件：PU1知识清单彩…等2个文件
链接:https://pan.baidu.com/s/1olJORRXNxbsZ_uDLxyk4qA 
提取码:1rr3
复制这段内容打开「百度网盘APP 即可获取」</t>
        </is>
      </c>
      <c r="D164" t="inlineStr">
        <is>
          <t>是</t>
        </is>
      </c>
      <c r="E164" t="inlineStr">
        <is>
          <t>✅ 1元获取Power up 1级别PU1级图文知识清单彩图电子资料，1 - 9单元齐全，一个单元8 - 9页PDF【无听力】
✅ 送PU1意大利斜体描红一套，词汇、句型、知识点整合归纳，听力阅读文本图文编排美观实用
✅ 资料默认不支持二次编辑，盗用图片将投诉到底
✅ 电子素材非实物，只发百度网盘链接，链接永久有效，下单后不接受退货退款
✅ 不懂网盘下载操作、要求发邮箱附件、对软件操作不熟的请勿拍，不指导软件操作、无远程服务、不帮转格式
✅ 所有文件均获取自网络公开渠道，仅供学习和交流使用，所有版权归版权人所有，如版权方认为侵犯了您的版权，请及时联系小店删除</t>
        </is>
      </c>
      <c r="F164" s="2" t="str">
        <f>=HYPERLINK("https://s.coze.cn/t/kydUdp3H2ls/", "https://s.coze.cn/t/kydUdp3H2ls/")</f>
        <v>https://s.coze.cn/t/kydUdp3H2ls/</v>
      </c>
      <c r="G164"/>
      <c r="H164" s="2" t="str">
        <f>=HYPERLINK("https://www.goofish.com/item?spm=a21ybx.search.searchFeedList.19.8a9c7781EUE2gV&amp;id=893703804428&amp;categoryId=202036301", "https://www.goofish.com/item?spm=a21ybx.search.searchFeedList.19.8a9c7781EUE2gV&amp;id=893703804428&amp;categoryId=202036301")</f>
        <v>https://www.goofish.com/item?spm=a21ybx.search.searchFeedList.19.8a9c7781EUE2gV&amp;id=893703804428&amp;categoryId=202036301</v>
      </c>
      <c r="I164">
        <v>893703804428</v>
      </c>
      <c r="J164"/>
      <c r="K164"/>
      <c r="L164"/>
    </row>
    <row r="165" ht="25.5" customHeight="1">
      <c r="A165" t="inlineStr">
        <is>
          <t>1元2026江苏食品专转本资料</t>
        </is>
      </c>
      <c r="B165">
        <v>240</v>
      </c>
      <c r="C165" t="inlineStr">
        <is>
          <t>1. 【超级会员V1】通过百度网盘分享的文件：食品专转本（全）
链接:https://pan.baidu.com/s/1FsLqiLOYoYXJBRU2IY89ug 
提取码:2x4n
复制这段内容打开「百度网盘APP 即可获取」
2. 【超级会员V2】通过百度网盘分享的文件：25最新兴国、复…
链接:https://pan.baidu.com/s/186CkI1CUnJzIF6LI2dZP7w 
提取码:a55y
复制这段内容打开「百度网盘APP 即可获取」</t>
        </is>
      </c>
      <c r="D165" t="inlineStr">
        <is>
          <t>是</t>
        </is>
      </c>
      <c r="E165" t="inlineStr">
        <is>
          <t>✅ 1元获取2026江苏专转本食品类模拟卷、理论、实操、知识点总结、讲义复习资料及全套网课，资料包更新到考前前一天
✅ 送最新25兴国、付航、职考时代等高数模拟卷70余份一套，加赠各个机构24/23历年模拟卷百余套
✅ 包含复航全套专业、实操网课资料、冲刺模拟卷、背诵知识点、知识点总结、复习背诵资料、相关课本资料、名词解释、理论单元习题、营养学课件、卫生学课件、刷题册、综合模拟卷等
✅ 背诵讲义丰富，知识点全面，助力考试取得130以上高分，祝你金榜题名，迈进双一流高校
✅ 电子版资料，网盘分享，一经销售不退不换，下单前请仔细阅读资料介绍</t>
        </is>
      </c>
      <c r="F165" s="2" t="str">
        <f>=HYPERLINK("https://s.coze.cn/t/Y6qVMoGZ9mc/", "https://s.coze.cn/t/Y6qVMoGZ9mc/")</f>
        <v>https://s.coze.cn/t/Y6qVMoGZ9mc/</v>
      </c>
      <c r="G165"/>
      <c r="H165" s="2" t="str">
        <f>=HYPERLINK("https://www.goofish.com/item?spm=a21ybx.search.searchFeedList.25.8a9c7781EUE2gV&amp;id=890038247485&amp;categoryId=202036301", "https://www.goofish.com/item?spm=a21ybx.search.searchFeedList.25.8a9c7781EUE2gV&amp;id=890038247485&amp;categoryId=202036301")</f>
        <v>https://www.goofish.com/item?spm=a21ybx.search.searchFeedList.25.8a9c7781EUE2gV&amp;id=890038247485&amp;categoryId=202036301</v>
      </c>
      <c r="I165">
        <v>890038247485</v>
      </c>
      <c r="J165"/>
      <c r="K165"/>
      <c r="L165"/>
    </row>
    <row r="166" ht="25.5" customHeight="1">
      <c r="A166" t="inlineStr">
        <is>
          <t>1元陈敏恒化工原理资料</t>
        </is>
      </c>
      <c r="B166">
        <v>241</v>
      </c>
      <c r="C166" t="inlineStr">
        <is>
          <t>不好意思! 这个资源丢失了，请等管理员操作~</t>
        </is>
      </c>
      <c r="D166" t="inlineStr">
        <is>
          <t>是</t>
        </is>
      </c>
      <c r="E166" t="inlineStr">
        <is>
          <t>✅ 1元获取陈敏恒化工原理笔记、知识点总结及配套题库PDF电子版，第三版第四版第五版都有
✅ 统一售价无套路，所有文档一起，所见即所得，没有单卖
✅ 24小时自动发货，迅雷网盘电子版，无实物，介意勿拍
✅ 内容不满意直接退款，有帮助可以帮忙好评
✅ 店主不定时在线，直接拍，拍完不满意直接退，自动退款</t>
        </is>
      </c>
      <c r="F166" s="2" t="str">
        <f>=HYPERLINK("https://s.coze.cn/t/ecSOZ8dAdmA/", "https://s.coze.cn/t/ecSOZ8dAdmA/")</f>
        <v>https://s.coze.cn/t/ecSOZ8dAdmA/</v>
      </c>
      <c r="G166"/>
      <c r="H166" s="2" t="str">
        <f>=HYPERLINK("https://www.goofish.com/item?spm=a21ybx.search.searchFeedList.4.8a9c7781EUE2gV&amp;id=802559837623&amp;categoryId=202036301", "https://www.goofish.com/item?spm=a21ybx.search.searchFeedList.4.8a9c7781EUE2gV&amp;id=802559837623&amp;categoryId=202036301")</f>
        <v>https://www.goofish.com/item?spm=a21ybx.search.searchFeedList.4.8a9c7781EUE2gV&amp;id=802559837623&amp;categoryId=202036301</v>
      </c>
      <c r="I166">
        <v>802559837623</v>
      </c>
      <c r="J166"/>
      <c r="K166"/>
      <c r="L166"/>
    </row>
    <row r="167" ht="25.5" customHeight="1">
      <c r="A167" t="inlineStr">
        <is>
          <t>1元六上语文知识点总结</t>
        </is>
      </c>
      <c r="B167">
        <v>242</v>
      </c>
      <c r="C167" t="inlineStr">
        <is>
          <t>不好意思! 这个资源丢失了，请等管理员操作~</t>
        </is>
      </c>
      <c r="D167" t="inlineStr">
        <is>
          <t>是</t>
        </is>
      </c>
      <c r="E167" t="inlineStr">
        <is>
          <t>✅ 1元获取六年级语文上册单元知识点总结归纳，8个单元PDF格式共15页，第五单元1张，其他2张
✅ 帮助孩子整合和梳理知识，形成完整知识框架，打印出来早读睡前读读背背，考试轻松拿捏
✅ 24小时拍下在线自动发货，标价就是卖价，不用问在不在，文件有可复制性，拍下不退
✅ 关注我，持续上新，不迷路</t>
        </is>
      </c>
      <c r="F167" s="2" t="str">
        <f>=HYPERLINK("https://s.coze.cn/t/dp8yLDxhscM/", "https://s.coze.cn/t/dp8yLDxhscM/")</f>
        <v>https://s.coze.cn/t/dp8yLDxhscM/</v>
      </c>
      <c r="G167"/>
      <c r="H167" s="2" t="str">
        <f>=HYPERLINK("https://www.goofish.com/item?spm=a21ybx.search.searchFeedList.2.8a9c7781EUE2gV&amp;id=871582681582&amp;categoryId=202036301", "https://www.goofish.com/item?spm=a21ybx.search.searchFeedList.2.8a9c7781EUE2gV&amp;id=871582681582&amp;categoryId=202036301")</f>
        <v>https://www.goofish.com/item?spm=a21ybx.search.searchFeedList.2.8a9c7781EUE2gV&amp;id=871582681582&amp;categoryId=202036301</v>
      </c>
      <c r="I167">
        <v>871582681582</v>
      </c>
      <c r="J167"/>
      <c r="K167"/>
      <c r="L167"/>
    </row>
    <row r="168" ht="25.5" customHeight="1">
      <c r="A168" t="inlineStr">
        <is>
          <t>1元五上英语知识点总结</t>
        </is>
      </c>
      <c r="B168">
        <v>243</v>
      </c>
      <c r="C168" t="inlineStr">
        <is>
          <t>不好意思! 这个资源丢失了，请等管理员操作~</t>
        </is>
      </c>
      <c r="D168" t="inlineStr">
        <is>
          <t>是</t>
        </is>
      </c>
      <c r="E168" t="inlineStr">
        <is>
          <t>✅ 1元获取2025秋五年级上册英语单元知识点总结（人教版），将零散知识点整合成完整知识体系，每单元后有巩固训练
✅ PDF文档19页含答案，17页是知识点和巩固训练 + 2页答案
✅ 24小时拍下在线自动网盘发货，标价就是卖价，文件有可复制性，拍下不退
✅ 关注我，持续上新，不迷路</t>
        </is>
      </c>
      <c r="F168" s="2" t="str">
        <f>=HYPERLINK("https://s.coze.cn/t/95iHvjOvM8I/", "https://s.coze.cn/t/95iHvjOvM8I/")</f>
        <v>https://s.coze.cn/t/95iHvjOvM8I/</v>
      </c>
      <c r="G168"/>
      <c r="H168" s="2" t="str">
        <f>=HYPERLINK("https://www.goofish.com/item?spm=a21ybx.search.searchFeedList.25.8a9c7781EUE2gV&amp;id=965189915740&amp;categoryId=202036301", "https://www.goofish.com/item?spm=a21ybx.search.searchFeedList.25.8a9c7781EUE2gV&amp;id=965189915740&amp;categoryId=202036301")</f>
        <v>https://www.goofish.com/item?spm=a21ybx.search.searchFeedList.25.8a9c7781EUE2gV&amp;id=965189915740&amp;categoryId=202036301</v>
      </c>
      <c r="I168">
        <v>965189915740</v>
      </c>
      <c r="J168"/>
      <c r="K168"/>
      <c r="L168"/>
    </row>
    <row r="169" ht="25.5" customHeight="1">
      <c r="A169" t="inlineStr">
        <is>
          <t>1元大学物理期末复习资料</t>
        </is>
      </c>
      <c r="B169">
        <v>244</v>
      </c>
      <c r="C169" t="inlineStr">
        <is>
          <t>不好意思! 这个资源丢失了，请等管理员操作~</t>
        </is>
      </c>
      <c r="D169" t="inlineStr">
        <is>
          <t>是</t>
        </is>
      </c>
      <c r="E169" t="inlineStr">
        <is>
          <t>✅ 1元获取大学物理期末考试知识点总结习题题库复习资料PDF电子版
✅ 电子版PDF，下单秒发，无需询问
✅ 助力大学物理期末复习，轻松应对考试</t>
        </is>
      </c>
      <c r="F169" s="2" t="str">
        <f>=HYPERLINK("https://s.coze.cn/t/Ml-FjUnTXbM/", "https://s.coze.cn/t/Ml-FjUnTXbM/")</f>
        <v>https://s.coze.cn/t/Ml-FjUnTXbM/</v>
      </c>
      <c r="G169"/>
      <c r="H169" s="2" t="str">
        <f>=HYPERLINK("https://www.goofish.com/item?spm=a21ybx.search.searchFeedList.3.8a9c7781EUE2gV&amp;id=907477920426&amp;categoryId=202036301", "https://www.goofish.com/item?spm=a21ybx.search.searchFeedList.3.8a9c7781EUE2gV&amp;id=907477920426&amp;categoryId=202036301")</f>
        <v>https://www.goofish.com/item?spm=a21ybx.search.searchFeedList.3.8a9c7781EUE2gV&amp;id=907477920426&amp;categoryId=202036301</v>
      </c>
      <c r="I169">
        <v>907477920426</v>
      </c>
      <c r="J169"/>
      <c r="K169"/>
      <c r="L169"/>
    </row>
    <row r="170" ht="25.5" customHeight="1">
      <c r="A170" t="inlineStr">
        <is>
          <t>粉笔双VIP1个月省14元5大权益</t>
        </is>
      </c>
      <c r="B170">
        <v>245</v>
      </c>
      <c r="C170" t="inlineStr">
        <is>
          <t>不好意思! 这个资源丢失了，请等管理员操作~</t>
        </is>
      </c>
      <c r="D170" t="inlineStr">
        <is>
          <t>是</t>
        </is>
      </c>
      <c r="E170" t="inlineStr">
        <is>
          <t>✅申论批改+视频解析+规范词积累+试卷分析+专属模考5大权益全包
✅公考省考冲刺提分神器，手机电脑双端可用
✅专属账号充值，安全有保障
✅充值前请核对账号信息，充错责任自负
✅虚拟商品充值成功后不支持退款
✅使用说明及权益以官方介绍为准
有需要直接拍，细节可私聊</t>
        </is>
      </c>
      <c r="F170" s="2" t="str">
        <f>=HYPERLINK("https://s.coze.cn/t/f8H-DKHAR5w/", "https://s.coze.cn/t/f8H-DKHAR5w/")</f>
        <v>https://s.coze.cn/t/f8H-DKHAR5w/</v>
      </c>
      <c r="G170"/>
      <c r="H170" s="2" t="str">
        <f>=HYPERLINK("https://www.goofish.com/item?spm=a21ybx.search.searchFeedList.17.678761adX8C0mh&amp;id=1004515781706&amp;categoryId=201419202", "https://www.goofish.com/item?spm=a21ybx.search.searchFeedList.17.678761adX8C0mh&amp;id=1004515781706&amp;categoryId=201419202")</f>
        <v>https://www.goofish.com/item?spm=a21ybx.search.searchFeedList.17.678761adX8C0mh&amp;id=1004515781706&amp;categoryId=201419202</v>
      </c>
      <c r="I170">
        <v>1004515781706</v>
      </c>
      <c r="J170"/>
      <c r="K170"/>
      <c r="L170"/>
    </row>
    <row r="171" ht="25.5" customHeight="1">
      <c r="A171" t="inlineStr">
        <is>
          <t>3300组AI提示词教程包立省14.9元</t>
        </is>
      </c>
      <c r="B171">
        <v>246</v>
      </c>
      <c r="C171" t="inlineStr">
        <is>
          <t>【超级会员V1】通过百度网盘分享的文件：【Nano-ba…
链接:https://pan.baidu.com/s/1rCnYpAtZwNAF6I-WkfCL-g 
提取码:3w3d
复制这段内容打开「百度网盘APP 即可获取」
【超级会员V1】通过百度网盘分享的文件：【即梦AI】20…
链接:https://pan.baidu.com/s/1DTtt7COFbxS25r4upJzntw 
提取码:4362
复制这段内容打开「百度网盘APP 即可获取」</t>
        </is>
      </c>
      <c r="D171" t="inlineStr">
        <is>
          <t>是</t>
        </is>
      </c>
      <c r="E171" t="inlineStr">
        <is>
          <t>✅Nanobanana2200组+既梦AI1100组共3300组提示词
✅Studio手办+Gemini+Flash教程全覆盖
✅电商p图AI提示词一次到手
✅24小时网盘自动发货秒到账
✅不提供其他服务，请自行研究
✅虚拟资料售出不退款
✅购买即视为同意以上条款</t>
        </is>
      </c>
      <c r="F171" s="2" t="str">
        <f>=HYPERLINK("https://img.alicdn.com/bao/uploaded/i3/3989841414/O1CN01A5KoD11MJf9EXnPe1_!!4611686018427381254-0-xy_item.jpg_790x10000Q90.jpg_.webp", "https://img.alicdn.com/bao/uploaded/i3/3989841414/O1CN01A5KoD11MJf9EXnPe1_!!4611686018427381254-0-xy_item.jpg_790x10000Q90.jpg_.webp")</f>
        <v>https://img.alicdn.com/bao/uploaded/i3/3989841414/O1CN01A5KoD11MJf9EXnPe1_!!4611686018427381254-0-xy_item.jpg_790x10000Q90.jpg_.webp</v>
      </c>
      <c r="G171"/>
      <c r="H171" s="2" t="str">
        <f>=HYPERLINK("https://www.goofish.com/item?spm=a21ybx.search.searchFeedList.8.678761adX8C0mh&amp;id=1004070052849&amp;categoryId=201454708", "https://www.goofish.com/item?spm=a21ybx.search.searchFeedList.8.678761adX8C0mh&amp;id=1004070052849&amp;categoryId=201454708")</f>
        <v>https://www.goofish.com/item?spm=a21ybx.search.searchFeedList.8.678761adX8C0mh&amp;id=1004070052849&amp;categoryId=201454708</v>
      </c>
      <c r="I171">
        <v>1004070052849</v>
      </c>
      <c r="J171"/>
      <c r="K171"/>
      <c r="L171"/>
    </row>
    <row r="172" ht="25.5" customHeight="1">
      <c r="A172" t="inlineStr">
        <is>
          <t>5000+AI美女提示词一键生成视频</t>
        </is>
      </c>
      <c r="B172">
        <v>247</v>
      </c>
      <c r="C172" t="inlineStr">
        <is>
          <t>不好意思! 这个资源丢失了，请等管理员操作~</t>
        </is>
      </c>
      <c r="D172" t="inlineStr">
        <is>
          <t>是</t>
        </is>
      </c>
      <c r="E172" t="inlineStr">
        <is>
          <t>✅2025最新5000+AI美女提示词汇总
✅操作简单一键生成美女视频
✅亲测推荐效果超赞
✅虚拟资料拍下不退不换
✅介意勿拍直接拍即可</t>
        </is>
      </c>
      <c r="F172" s="2" t="str">
        <f>=HYPERLINK("https://s.coze.cn/t/gMz-NVbLg8o/", "https://s.coze.cn/t/gMz-NVbLg8o/")</f>
        <v>https://s.coze.cn/t/gMz-NVbLg8o/</v>
      </c>
      <c r="G172"/>
      <c r="H172" s="2" t="str">
        <f>=HYPERLINK("https://www.goofish.com/item?spm=a21ybx.search.searchFeedList.5.678761adX8C0mh&amp;id=993939430588&amp;categoryId=201454708", "https://www.goofish.com/item?spm=a21ybx.search.searchFeedList.5.678761adX8C0mh&amp;id=993939430588&amp;categoryId=201454708")</f>
        <v>https://www.goofish.com/item?spm=a21ybx.search.searchFeedList.5.678761adX8C0mh&amp;id=993939430588&amp;categoryId=201454708</v>
      </c>
      <c r="I172">
        <v>993939430588</v>
      </c>
      <c r="J172"/>
      <c r="K172"/>
      <c r="L172"/>
    </row>
    <row r="173" ht="25.5" customHeight="1">
      <c r="A173" t="inlineStr">
        <is>
          <t>16000+即梦AI提示词手册实战教程</t>
        </is>
      </c>
      <c r="B173">
        <v>248</v>
      </c>
      <c r="C173" t="inlineStr">
        <is>
          <t>不好意思! 这个资源丢失了，请等管理员操作~</t>
        </is>
      </c>
      <c r="D173" t="inlineStr">
        <is>
          <t>是</t>
        </is>
      </c>
      <c r="E173" t="inlineStr">
        <is>
          <t>✅16000+指令涵盖理论+实战全流程
✅AI生成图片编辑海报设计电商影视艺术全场景
✅AI字体美女帅哥城市创意节日海报自媒体绘画产品包装美食出图全覆盖
✅电子资料拍下自动发货秒到账
✅虚拟资料发出后不退不换</t>
        </is>
      </c>
      <c r="F173" s="2" t="str">
        <f>=HYPERLINK("https://s.coze.cn/t/xHm-QK7w8eM/", "https://s.coze.cn/t/xHm-QK7w8eM/")</f>
        <v>https://s.coze.cn/t/xHm-QK7w8eM/</v>
      </c>
      <c r="G173"/>
      <c r="H173" s="2" t="str">
        <f>=HYPERLINK("https://www.goofish.com/item?spm=a21ybx.search.searchFeedList.15.678761adX8C0mh&amp;id=1000891273568&amp;categoryId=202154631", "https://www.goofish.com/item?spm=a21ybx.search.searchFeedList.15.678761adX8C0mh&amp;id=1000891273568&amp;categoryId=202154631")</f>
        <v>https://www.goofish.com/item?spm=a21ybx.search.searchFeedList.15.678761adX8C0mh&amp;id=1000891273568&amp;categoryId=202154631</v>
      </c>
      <c r="I173">
        <v>1000891273568</v>
      </c>
      <c r="J173"/>
      <c r="K173"/>
      <c r="L173"/>
    </row>
    <row r="174" ht="25.5" customHeight="1">
      <c r="A174" t="inlineStr">
        <is>
          <t>2100+提示词模版170行业秒发货</t>
        </is>
      </c>
      <c r="B174">
        <v>249</v>
      </c>
      <c r="C174" t="inlineStr">
        <is>
          <t>我用夸克网盘给你分享了「F35-AI-提示词」，点击链接或复制整段内容，打开「夸克APP」即可获取。
伏脂尨犭嘀啵好洞座
/~b9ab3A6vvW~:/
链接：https://pan.quark.cn/s/b2d42f95df0c</t>
        </is>
      </c>
      <c r="D174" t="inlineStr">
        <is>
          <t>是</t>
        </is>
      </c>
      <c r="E174" t="inlineStr">
        <is>
          <t>✅2100+提示词模版170+细分行业全覆盖
✅小白套用秒变AI大神一键解锁文案绘画视频
✅适配DeepSeek豆包kimi腾讯元宝等主流AI
✅夸克网盘自动发货秒到账
✅电子资料发货后不退不换</t>
        </is>
      </c>
      <c r="F174" s="2" t="str">
        <f>=HYPERLINK("https://img.alicdn.com/bao/uploaded/i3/O1CN01soJsW41QnD9voxc9n_!!4611686018427382612-53-fleamarket.heic_790x10000Q90.jpg_.webp", "https://img.alicdn.com/bao/uploaded/i3/O1CN01soJsW41QnD9voxc9n_!!4611686018427382612-53-fleamarket.heic_790x10000Q90.jpg_.webp")</f>
        <v>https://img.alicdn.com/bao/uploaded/i3/O1CN01soJsW41QnD9voxc9n_!!4611686018427382612-53-fleamarket.heic_790x10000Q90.jpg_.webp</v>
      </c>
      <c r="G174"/>
      <c r="H174" s="2" t="str">
        <f>=HYPERLINK("https://www.goofish.com/item?spm=a21ybx.search.searchFeedList.11.678761adX8C0mh&amp;id=996855181720&amp;categoryId=202036301", "https://www.goofish.com/item?spm=a21ybx.search.searchFeedList.11.678761adX8C0mh&amp;id=996855181720&amp;categoryId=202036301")</f>
        <v>https://www.goofish.com/item?spm=a21ybx.search.searchFeedList.11.678761adX8C0mh&amp;id=996855181720&amp;categoryId=202036301</v>
      </c>
      <c r="I174">
        <v>996855181720</v>
      </c>
      <c r="J174"/>
      <c r="K174"/>
      <c r="L174"/>
    </row>
    <row r="175" ht="25.5" customHeight="1">
      <c r="A175" t="inlineStr">
        <is>
          <t>2025即梦AI运镜教程零基础入门</t>
        </is>
      </c>
      <c r="B175">
        <v>250</v>
      </c>
      <c r="C175" t="inlineStr">
        <is>
          <t>不好意思! 这个资源丢失了，请等管理员操作~</t>
        </is>
      </c>
      <c r="D175" t="inlineStr">
        <is>
          <t>是</t>
        </is>
      </c>
      <c r="E175" t="inlineStr">
        <is>
          <t>✅动态镜头环绕镜头推进上帝视角全掌握
✅从入门到精通轻松学会AI视频制作
✅零基础快速上手实操课程
✅直接拍自动发货秒到账</t>
        </is>
      </c>
      <c r="F175" s="2" t="str">
        <f>=HYPERLINK("https://img.alicdn.com/bao/uploaded/i2/2790750209/O1CN01NhVEO41DPlsxRpFsZ_!!4611686018427385857-53-xy_item.heic_790x10000Q90.jpg_.webp", "https://img.alicdn.com/bao/uploaded/i2/2790750209/O1CN01NhVEO41DPlsxRpFsZ_!!4611686018427385857-53-xy_item.heic_790x10000Q90.jpg_.webp")</f>
        <v>https://img.alicdn.com/bao/uploaded/i2/2790750209/O1CN01NhVEO41DPlsxRpFsZ_!!4611686018427385857-53-xy_item.heic_790x10000Q90.jpg_.webp</v>
      </c>
      <c r="G175"/>
      <c r="H175" s="2" t="str">
        <f>=HYPERLINK("https://www.goofish.com/item?spm=a21ybx.search.searchFeedList.2.678761adrDPc6J&amp;id=1001266640125&amp;categoryId=201459411", "https://www.goofish.com/item?spm=a21ybx.search.searchFeedList.2.678761adrDPc6J&amp;id=1001266640125&amp;categoryId=201459411")</f>
        <v>https://www.goofish.com/item?spm=a21ybx.search.searchFeedList.2.678761adrDPc6J&amp;id=1001266640125&amp;categoryId=201459411</v>
      </c>
      <c r="I175">
        <v>1001266640125</v>
      </c>
      <c r="J175"/>
      <c r="K175"/>
      <c r="L175"/>
    </row>
    <row r="176" ht="25.5" customHeight="1">
      <c r="A176" t="inlineStr">
        <is>
          <t>NanoBanana提示词合集几十种场景</t>
        </is>
      </c>
      <c r="B176">
        <v>251</v>
      </c>
      <c r="C176" t="inlineStr">
        <is>
          <t>【超级会员V2】通过百度网盘分享的文件：Nano Ban…
链接:https://pan.baidu.com/s/1V6DJQkOrHScE6UEg_fG3zA 
提取码:7f33
复制这段内容打开「百度网盘APP 即可获取」</t>
        </is>
      </c>
      <c r="D176" t="inlineStr">
        <is>
          <t>是</t>
        </is>
      </c>
      <c r="E176" t="inlineStr">
        <is>
          <t>✅AI生图手办AR修复穿搭家居角色动漫全场景适用
✅照片修复视角转换直接套用秒出好图
✅电子资料24小时内自动发货到网盘
✅手机电脑都能下载随时可用
✅虚拟商品售出不退不换</t>
        </is>
      </c>
      <c r="F176" s="2" t="str">
        <f>=HYPERLINK("https://img.alicdn.com/bao/uploaded/i3/O1CN01VyhL6a1G3jfykA2NY_!!4611686018427387095-0-fleamarket.jpg_790x10000Q90.jpg_.webp", "https://img.alicdn.com/bao/uploaded/i3/O1CN01VyhL6a1G3jfykA2NY_!!4611686018427387095-0-fleamarket.jpg_790x10000Q90.jpg_.webp")</f>
        <v>https://img.alicdn.com/bao/uploaded/i3/O1CN01VyhL6a1G3jfykA2NY_!!4611686018427387095-0-fleamarket.jpg_790x10000Q90.jpg_.webp</v>
      </c>
      <c r="G176"/>
      <c r="H176" s="2" t="str">
        <f>=HYPERLINK("https://www.goofish.com/item?spm=a21ybx.search.searchFeedList.29.678761adX8C0mh&amp;id=996998466572&amp;categoryId=201459411", "https://www.goofish.com/item?spm=a21ybx.search.searchFeedList.29.678761adX8C0mh&amp;id=996998466572&amp;categoryId=201459411")</f>
        <v>https://www.goofish.com/item?spm=a21ybx.search.searchFeedList.29.678761adX8C0mh&amp;id=996998466572&amp;categoryId=201459411</v>
      </c>
      <c r="I176">
        <v>996998466572</v>
      </c>
      <c r="J176"/>
      <c r="K176"/>
      <c r="L176"/>
    </row>
    <row r="177" ht="25.5" customHeight="1">
      <c r="A177" t="inlineStr">
        <is>
          <t>Nano Banana即梦AI电商换装提示词</t>
        </is>
      </c>
      <c r="B177">
        <v>252</v>
      </c>
      <c r="C177" t="inlineStr">
        <is>
          <t>亲，久等啦，这是您的发货数据哦！
飞书链接：https://ccnkrmtrpkd2.feishu.cn/wiki/FZsvwvccqi7pqhk9qYQc76NAnkb   密码：8333666##
复制到浏览器输入密码即可查看 可复制  为保证您的权益 客服会持续更新  也会定期修改密码  后期密码不对来滴滴我 【白天都在】</t>
        </is>
      </c>
      <c r="D177" t="inlineStr">
        <is>
          <t>是</t>
        </is>
      </c>
      <c r="E177" t="inlineStr">
        <is>
          <t>✅人工整理内容超全复制即用
✅虚拟换装AI电商提示词全覆盖
✅24小时自动发货飞书网盘双渠道
✅虚拟资料售出不退不换
✅内容丰富主图无法展示完全</t>
        </is>
      </c>
      <c r="F177" s="2" t="str">
        <f>=HYPERLINK("https://img.alicdn.com/bao/uploaded/i2/3989841414/O1CN017T13IN1MJf9XVR4m8_!!4611686018427381254-0-xy_item.jpg_790x10000Q90.jpg_.webp", "https://img.alicdn.com/bao/uploaded/i2/3989841414/O1CN017T13IN1MJf9XVR4m8_!!4611686018427381254-0-xy_item.jpg_790x10000Q90.jpg_.webp")</f>
        <v>https://img.alicdn.com/bao/uploaded/i2/3989841414/O1CN017T13IN1MJf9XVR4m8_!!4611686018427381254-0-xy_item.jpg_790x10000Q90.jpg_.webp</v>
      </c>
      <c r="G177"/>
      <c r="H177" s="2" t="str">
        <f>=HYPERLINK("https://www.goofish.com/item?spm=a21ybx.search.searchFeedList.29.678761adX8C0mh&amp;id=993312345477&amp;categoryId=201454708", "https://www.goofish.com/item?spm=a21ybx.search.searchFeedList.29.678761adX8C0mh&amp;id=993312345477&amp;categoryId=201454708")</f>
        <v>https://www.goofish.com/item?spm=a21ybx.search.searchFeedList.29.678761adX8C0mh&amp;id=993312345477&amp;categoryId=201454708</v>
      </c>
      <c r="I177">
        <v>993312345477</v>
      </c>
      <c r="J177"/>
      <c r="K177"/>
      <c r="L177"/>
    </row>
    <row r="178" ht="25.5" customHeight="1">
      <c r="A178" t="inlineStr">
        <is>
          <t>高阶提示词影视文案无AI痕迹</t>
        </is>
      </c>
      <c r="B178">
        <v>253</v>
      </c>
      <c r="C178" t="inlineStr">
        <is>
          <t>不好意思! 这个资源丢失了，请等管理员操作~</t>
        </is>
      </c>
      <c r="D178" t="inlineStr">
        <is>
          <t>是</t>
        </is>
      </c>
      <c r="E178" t="inlineStr">
        <is>
          <t>✅四大实战模块：通用影视高级洗稿+原创爆款改编+正规解说洗稿+纪录片专项洗稿
✅原创度高逻辑严谨真人手写感
✅24h内网盘自动发货
✅虚拟商品发货后不退不换
✅资料源于网络整理仅供学习交流</t>
        </is>
      </c>
      <c r="F178" s="2" t="str">
        <f>=HYPERLINK("https://img.alicdn.com/bao/uploaded/i4/O1CN01ow927F1yNHfz6ijot_!!4611686018427383270-0-fleamarket.jpg_790x10000Q90.jpg_.webp", "https://img.alicdn.com/bao/uploaded/i4/O1CN01ow927F1yNHfz6ijot_!!4611686018427383270-0-fleamarket.jpg_790x10000Q90.jpg_.webp")</f>
        <v>https://img.alicdn.com/bao/uploaded/i4/O1CN01ow927F1yNHfz6ijot_!!4611686018427383270-0-fleamarket.jpg_790x10000Q90.jpg_.webp</v>
      </c>
      <c r="G178"/>
      <c r="H178" s="2" t="str">
        <f>=HYPERLINK("https://www.goofish.com/item?spm=a21ybx.search.searchFeedList.12.678761adX8C0mh&amp;id=998734162625&amp;categoryId=202152829", "https://www.goofish.com/item?spm=a21ybx.search.searchFeedList.12.678761adX8C0mh&amp;id=998734162625&amp;categoryId=202152829")</f>
        <v>https://www.goofish.com/item?spm=a21ybx.search.searchFeedList.12.678761adX8C0mh&amp;id=998734162625&amp;categoryId=202152829</v>
      </c>
      <c r="I178">
        <v>998734162625</v>
      </c>
      <c r="J178"/>
      <c r="K178"/>
      <c r="L178"/>
    </row>
    <row r="179" ht="25.5" customHeight="1">
      <c r="A179" t="inlineStr">
        <is>
          <t>薛辉8大智能体提示词爆款选题神器</t>
        </is>
      </c>
      <c r="B179">
        <v>254</v>
      </c>
      <c r="C179" t="inlineStr">
        <is>
          <t>不好意思! 这个资源丢失了，请等管理员操作~</t>
        </is>
      </c>
      <c r="D179" t="inlineStr">
        <is>
          <t>是</t>
        </is>
      </c>
      <c r="E179" t="inlineStr">
        <is>
          <t>✅飞书多维表格+8大智能体输入行业3秒生成爆款选题
✅头牌选题最差选题怀旧选题猎奇选题荷尔蒙选题成本选题圈人群选题8大方向全覆盖
✅小红书抖音运营人自媒体博主副业上班族文案困难户必备
✅网盘自动发货秒到账
✅虚拟产品发货后不支持退款介意勿拍</t>
        </is>
      </c>
      <c r="F179" s="2" t="str">
        <f>=HYPERLINK("https://img.alicdn.com/bao/uploaded/i2/O1CN01F4Fa8k1v5vp4GGSkY_!!4611686018427385162-0-fleamarket.jpg_790x10000Q90.jpg_.webp", "https://img.alicdn.com/bao/uploaded/i2/O1CN01F4Fa8k1v5vp4GGSkY_!!4611686018427385162-0-fleamarket.jpg_790x10000Q90.jpg_.webp")</f>
        <v>https://img.alicdn.com/bao/uploaded/i2/O1CN01F4Fa8k1v5vp4GGSkY_!!4611686018427385162-0-fleamarket.jpg_790x10000Q90.jpg_.webp</v>
      </c>
      <c r="G179"/>
      <c r="H179" s="2" t="str">
        <f>=HYPERLINK("https://www.goofish.com/item?spm=a21ybx.search.searchFeedList.7.678761adX8C0mh&amp;id=998250630523&amp;categoryId=202036301", "https://www.goofish.com/item?spm=a21ybx.search.searchFeedList.7.678761adX8C0mh&amp;id=998250630523&amp;categoryId=202036301")</f>
        <v>https://www.goofish.com/item?spm=a21ybx.search.searchFeedList.7.678761adX8C0mh&amp;id=998250630523&amp;categoryId=202036301</v>
      </c>
      <c r="I179">
        <v>998250630523</v>
      </c>
      <c r="J179"/>
      <c r="K179"/>
      <c r="L179"/>
    </row>
    <row r="180" ht="25.5" customHeight="1">
      <c r="A180" t="inlineStr">
        <is>
          <t>70种美女生成提示词原创涨粉神器</t>
        </is>
      </c>
      <c r="B180">
        <v>255</v>
      </c>
      <c r="C180" t="inlineStr">
        <is>
          <t>不好意思! 这个资源丢失了，请等管理员操作~</t>
        </is>
      </c>
      <c r="D180" t="inlineStr">
        <is>
          <t>是</t>
        </is>
      </c>
      <c r="E180" t="inlineStr">
        <is>
          <t>✅2025最新即梦可灵美女生成提示词
✅70多种提示词涵盖8K办公室内户外全场景
✅豆包+即梦+可灵三平台适配单作品10W+
✅7天涨粉5000流量密码原创博主必备
✅只出售提示词资料不教学下单秒发
✅虚拟资料一经出售概不支持退款</t>
        </is>
      </c>
      <c r="F180" s="2" t="str">
        <f>=HYPERLINK("https://img.alicdn.com/bao/uploaded/i1/O1CN01nY2lQl2JsWb9fphjL_!!4611686018427385621-0-fleamarket.jpg_790x10000Q90.jpg_.webp", "https://img.alicdn.com/bao/uploaded/i1/O1CN01nY2lQl2JsWb9fphjL_!!4611686018427385621-0-fleamarket.jpg_790x10000Q90.jpg_.webp")</f>
        <v>https://img.alicdn.com/bao/uploaded/i1/O1CN01nY2lQl2JsWb9fphjL_!!4611686018427385621-0-fleamarket.jpg_790x10000Q90.jpg_.webp</v>
      </c>
      <c r="G180"/>
      <c r="H180" s="2" t="str">
        <f>=HYPERLINK("https://www.goofish.com/item?spm=a21ybx.search.searchFeedList.19.678761adX8C0mh&amp;id=965666812610&amp;categoryId=202036301", "https://www.goofish.com/item?spm=a21ybx.search.searchFeedList.19.678761adX8C0mh&amp;id=965666812610&amp;categoryId=202036301")</f>
        <v>https://www.goofish.com/item?spm=a21ybx.search.searchFeedList.19.678761adX8C0mh&amp;id=965666812610&amp;categoryId=202036301</v>
      </c>
      <c r="I180">
        <v>965666812610</v>
      </c>
      <c r="J180"/>
      <c r="K180"/>
      <c r="L180"/>
    </row>
    <row r="181" ht="25.5" customHeight="1">
      <c r="A181" t="inlineStr">
        <is>
          <t>2100+提示词模版170行业自动发货</t>
        </is>
      </c>
      <c r="B181">
        <v>256</v>
      </c>
      <c r="C181" t="inlineStr">
        <is>
          <t>不好意思! 这个资源丢失了，请等管理员操作~</t>
        </is>
      </c>
      <c r="D181" t="inlineStr">
        <is>
          <t>是</t>
        </is>
      </c>
      <c r="E181" t="inlineStr">
        <is>
          <t>✅2100+提示词模版170+细分行业全覆盖
✅小白也能秒变AI大神文案查资料必备
✅专为新手设计简单易上手
✅夸克网盘自动发货秒到账
✅电子资料售出不退不换介意勿拍</t>
        </is>
      </c>
      <c r="F181" s="2" t="str">
        <f>=HYPERLINK("https://img.alicdn.com/bao/uploaded/i4/O1CN01EsncEF20zsH52PdlD_!!4611686018427387257-0-fleamarket.jpg_790x10000Q90.jpg_.webp", "https://img.alicdn.com/bao/uploaded/i4/O1CN01EsncEF20zsH52PdlD_!!4611686018427387257-0-fleamarket.jpg_790x10000Q90.jpg_.webp")</f>
        <v>https://img.alicdn.com/bao/uploaded/i4/O1CN01EsncEF20zsH52PdlD_!!4611686018427387257-0-fleamarket.jpg_790x10000Q90.jpg_.webp</v>
      </c>
      <c r="G181"/>
      <c r="H181" s="2" t="str">
        <f>=HYPERLINK("https://www.goofish.com/item?spm=a21ybx.search.searchFeedList.6.678761adX8C0mh&amp;id=993089025554&amp;categoryId=202036301", "https://www.goofish.com/item?spm=a21ybx.search.searchFeedList.6.678761adX8C0mh&amp;id=993089025554&amp;categoryId=202036301")</f>
        <v>https://www.goofish.com/item?spm=a21ybx.search.searchFeedList.6.678761adX8C0mh&amp;id=993089025554&amp;categoryId=202036301</v>
      </c>
      <c r="I181">
        <v>993089025554</v>
      </c>
      <c r="J181"/>
      <c r="K181"/>
      <c r="L181"/>
    </row>
    <row r="182" ht="25.5" customHeight="1">
      <c r="A182" t="inlineStr">
        <is>
          <t>5000+分镜提示词合集影视创作神器</t>
        </is>
      </c>
      <c r="B182">
        <v>257</v>
      </c>
      <c r="C182" t="inlineStr">
        <is>
          <t>不好意思! 这个资源丢失了，请等管理员操作~</t>
        </is>
      </c>
      <c r="D182" t="inlineStr">
        <is>
          <t>是</t>
        </is>
      </c>
      <c r="E182" t="inlineStr">
        <is>
          <t>✅5000+分镜提示词覆盖动作人物场景情感科幻
✅武侠打斗都市男女未来宇宙复古年代全包含
✅专业分镜逻辑新手也能轻松掌握
✅适配短视频影视广告漫画AI绘图多平台
✅赠30个热门分镜模板效率提升10倍
✅虚拟商品拍下不退不换
✅网盘链接永不失效</t>
        </is>
      </c>
      <c r="F182" s="2" t="str">
        <f>=HYPERLINK("https://img.alicdn.com/bao/uploaded/i4/O1CN01ebvQ5f1Tbi3yzWUBg_!!4611686018427382577-0-fleamarket.jpg_790x10000Q90.jpg_.webp", "https://img.alicdn.com/bao/uploaded/i4/O1CN01ebvQ5f1Tbi3yzWUBg_!!4611686018427382577-0-fleamarket.jpg_790x10000Q90.jpg_.webp")</f>
        <v>https://img.alicdn.com/bao/uploaded/i4/O1CN01ebvQ5f1Tbi3yzWUBg_!!4611686018427382577-0-fleamarket.jpg_790x10000Q90.jpg_.webp</v>
      </c>
      <c r="G182"/>
      <c r="H182" s="2" t="str">
        <f>=HYPERLINK("https://www.goofish.com/item?spm=a21ybx.search.searchFeedList.7.678761adX8C0mh&amp;id=1001936572801&amp;categoryId=202036301", "https://www.goofish.com/item?spm=a21ybx.search.searchFeedList.7.678761adX8C0mh&amp;id=1001936572801&amp;categoryId=202036301")</f>
        <v>https://www.goofish.com/item?spm=a21ybx.search.searchFeedList.7.678761adX8C0mh&amp;id=1001936572801&amp;categoryId=202036301</v>
      </c>
      <c r="I182">
        <v>1001936572801</v>
      </c>
      <c r="J182"/>
      <c r="K182"/>
      <c r="L182"/>
    </row>
    <row r="183" ht="25.5" customHeight="1">
      <c r="A183" t="inlineStr">
        <is>
          <t>AI提示词生成工具1.3版专业摄影</t>
        </is>
      </c>
      <c r="B183">
        <v>258</v>
      </c>
      <c r="C183" t="inlineStr">
        <is>
          <t>不好意思! 这个资源丢失了，请等管理员操作~</t>
        </is>
      </c>
      <c r="D183" t="inlineStr">
        <is>
          <t>是</t>
        </is>
      </c>
      <c r="E183" t="inlineStr">
        <is>
          <t>✅专业AI提示词生成器源文件支持断网使用
✅自适应电脑手机端多浏览器访问
✅提供画面比例光源构图色彩镜头等参数
✅一键组合生成专业提示词豆包即梦可灵通用
✅百度网盘或夸克网盘下载
✅虚拟商品售出不退请按需下单</t>
        </is>
      </c>
      <c r="F183" s="2" t="str">
        <f>=HYPERLINK("https://video.goofish.com/5f5c17f07688b327/95f3232974846237/20251114_745c256ef8d8af44_542364599747_358075545875155_published_mp4_264_fs_0_xianyu_taobao.mp4?auth_key=1768726515-0-0-7455405bfd4ae41e3f2152fdc9b3c794&amp;biz=xianyu-6af919ac9c3d7577&amp;t=213e039217686665159118854e133f&amp;w=2004&amp;h=2004&amp;e=hd&amp;b=xianyu&amp;p=xianyu_app_xianyu&amp;tr=mp4-264-fs-0-xianyu&amp;iss=false&amp;v=taobao_v2", "https://video.goofish.com/5f5c17f07688b327/95f3232974846237/20251114_745c256ef8d8af44_542364599747_358075545875155_published_mp4_264_fs_0_xianyu_taobao.mp4?auth_key=1768726515-0-0-7455405bfd4ae41e3f2152fdc9b3c794&amp;biz=xianyu-6af919ac9c3d7577&amp;t=213e039217686665159118854e133f&amp;w=2004&amp;h=2004&amp;e=hd&amp;b=xianyu&amp;p=xianyu_app_xianyu&amp;tr=mp4-264-fs-0-xianyu&amp;iss=false&amp;v=taobao_v2")</f>
        <v>https://video.goofish.com/5f5c17f07688b327/95f3232974846237/20251114_745c256ef8d8af44_542364599747_358075545875155_published_mp4_264_fs_0_xianyu_taobao.mp4?auth_key=1768726515-0-0-7455405bfd4ae41e3f2152fdc9b3c794&amp;biz=xianyu-6af919ac9c3d7577&amp;t=213e039217686665159118854e133f&amp;w=2004&amp;h=2004&amp;e=hd&amp;b=xianyu&amp;p=xianyu_app_xianyu&amp;tr=mp4-264-fs-0-xianyu&amp;iss=false&amp;v=taobao_v2</v>
      </c>
      <c r="G183"/>
      <c r="H183" s="2" t="str">
        <f>=HYPERLINK("https://www.goofish.com/item?spm=a21ybx.search.searchFeedList.11.678761adX8C0mh&amp;id=968202757977&amp;categoryId=201454708", "https://www.goofish.com/item?spm=a21ybx.search.searchFeedList.11.678761adX8C0mh&amp;id=968202757977&amp;categoryId=201454708")</f>
        <v>https://www.goofish.com/item?spm=a21ybx.search.searchFeedList.11.678761adX8C0mh&amp;id=968202757977&amp;categoryId=201454708</v>
      </c>
      <c r="I183">
        <v>968202757977</v>
      </c>
      <c r="J183"/>
      <c r="K183"/>
      <c r="L183"/>
    </row>
    <row r="184" ht="25.5" customHeight="1">
      <c r="A184" t="inlineStr">
        <is>
          <t>360组即梦AI电商图提示词自动发货</t>
        </is>
      </c>
      <c r="B184">
        <v>259</v>
      </c>
      <c r="C184" t="inlineStr">
        <is>
          <t>不好意思! 这个资源丢失了，请等管理员操作~</t>
        </is>
      </c>
      <c r="D184" t="inlineStr">
        <is>
          <t>是</t>
        </is>
      </c>
      <c r="E184" t="inlineStr">
        <is>
          <t>✅360组专业电商图片提示词全新整理
✅含电商图提示词合集+图片反推工具
✅24小时网盘自动发货秒到账
✅手机电脑都能用方便快捷
✅虚拟商品拍下不退不换
✅有问题随时私聊</t>
        </is>
      </c>
      <c r="F184" s="2" t="str">
        <f>=HYPERLINK("https://img.alicdn.com/bao/uploaded/i3/1925580977/O1CN015cPBlg1J5W3mzoW4Z_!!4611686018427381937-53-xy_item.heic_790x10000Q90.jpg_.webp", "https://img.alicdn.com/bao/uploaded/i3/1925580977/O1CN015cPBlg1J5W3mzoW4Z_!!4611686018427381937-53-xy_item.heic_790x10000Q90.jpg_.webp")</f>
        <v>https://img.alicdn.com/bao/uploaded/i3/1925580977/O1CN015cPBlg1J5W3mzoW4Z_!!4611686018427381937-53-xy_item.heic_790x10000Q90.jpg_.webp</v>
      </c>
      <c r="G184"/>
      <c r="H184" s="2" t="str">
        <f>=HYPERLINK("https://www.goofish.com/item?spm=a21ybx.search.searchFeedList.22.678761adX8C0mh&amp;id=993594041074&amp;categoryId=201459411", "https://www.goofish.com/item?spm=a21ybx.search.searchFeedList.22.678761adX8C0mh&amp;id=993594041074&amp;categoryId=201459411")</f>
        <v>https://www.goofish.com/item?spm=a21ybx.search.searchFeedList.22.678761adX8C0mh&amp;id=993594041074&amp;categoryId=201459411</v>
      </c>
      <c r="I184">
        <v>993594041074</v>
      </c>
      <c r="J184"/>
      <c r="K184"/>
      <c r="L184"/>
    </row>
    <row r="185" ht="25.5" customHeight="1">
      <c r="A185" t="inlineStr">
        <is>
          <t>10000+即梦AI生图提示词自动发货</t>
        </is>
      </c>
      <c r="B185">
        <v>260</v>
      </c>
      <c r="C185" t="inlineStr">
        <is>
          <t>不好意思! 这个资源丢失了，请等管理员操作~</t>
        </is>
      </c>
      <c r="D185" t="inlineStr">
        <is>
          <t>是</t>
        </is>
      </c>
      <c r="E185" t="inlineStr">
        <is>
          <t>✅10000+多种即梦AI生图提示词
✅适合各种AI生图类型场景全覆盖
✅24小时内自动发货秒到账
✅网盘发货快速便捷
✅电子素材售出不退换
✅感兴趣直接拍有问题私聊</t>
        </is>
      </c>
      <c r="F185" s="2" t="str">
        <f>=HYPERLINK("https://img.alicdn.com/bao/uploaded/i4/823430034/O1CN01exC0dm1C7cZYpQoGp_!!4611686018427382674-53-xy_item.heic_790x10000Q90.jpg_.webp", "https://img.alicdn.com/bao/uploaded/i4/823430034/O1CN01exC0dm1C7cZYpQoGp_!!4611686018427382674-53-xy_item.heic_790x10000Q90.jpg_.webp")</f>
        <v>https://img.alicdn.com/bao/uploaded/i4/823430034/O1CN01exC0dm1C7cZYpQoGp_!!4611686018427382674-53-xy_item.heic_790x10000Q90.jpg_.webp</v>
      </c>
      <c r="G185"/>
      <c r="H185" s="2" t="str">
        <f>=HYPERLINK("https://www.goofish.com/item?spm=a21ybx.search.searchFeedList.17.678761adX8C0mh&amp;id=996869693335&amp;categoryId=201459411", "https://www.goofish.com/item?spm=a21ybx.search.searchFeedList.17.678761adX8C0mh&amp;id=996869693335&amp;categoryId=201459411")</f>
        <v>https://www.goofish.com/item?spm=a21ybx.search.searchFeedList.17.678761adX8C0mh&amp;id=996869693335&amp;categoryId=201459411</v>
      </c>
      <c r="I185">
        <v>996869693335</v>
      </c>
      <c r="J185"/>
      <c r="K185"/>
      <c r="L185"/>
    </row>
    <row r="186" ht="25.5" customHeight="1">
      <c r="A186" t="inlineStr">
        <is>
          <t>Lyra提示词模板600万浏览爆款</t>
        </is>
      </c>
      <c r="B186">
        <v>261</v>
      </c>
      <c r="C186" t="inlineStr">
        <is>
          <t>https://www.kdocs.cn/l/ctp2lcDKvltD?f=301
[文件]lyra.docx
可复制链接到WPS Office中打开文档</t>
        </is>
      </c>
      <c r="D186" t="inlineStr">
        <is>
          <t>是</t>
        </is>
      </c>
      <c r="E186" t="inlineStr">
        <is>
          <t>✅600万浏览6万分享顶级提示词模板
✅四步框架剖析诊断开发交付结构化重塑
✅将模糊想法转化为精确高效AI指令
✅使用简单复制粘贴即可不用动脑
✅拍下自动发货赠基础使用教程
✅虚拟资料售出不退换</t>
        </is>
      </c>
      <c r="F186" s="2" t="str">
        <f>=HYPERLINK("https://img.alicdn.com/bao/uploaded/i3/O1CN01IvnmKe1xgERFX0pfF_!!4611686018427384936-0-fleamarket.jpg_790x10000Q90.jpg_.webp", "https://img.alicdn.com/bao/uploaded/i3/O1CN01IvnmKe1xgERFX0pfF_!!4611686018427384936-0-fleamarket.jpg_790x10000Q90.jpg_.webp")</f>
        <v>https://img.alicdn.com/bao/uploaded/i3/O1CN01IvnmKe1xgERFX0pfF_!!4611686018427384936-0-fleamarket.jpg_790x10000Q90.jpg_.webp</v>
      </c>
      <c r="G186"/>
      <c r="H186" s="2" t="str">
        <f>=HYPERLINK("https://www.goofish.com/item?spm=a21ybx.search.searchFeedList.9.678761adX8C0mh&amp;id=991404056148&amp;categoryId=202152829", "https://www.goofish.com/item?spm=a21ybx.search.searchFeedList.9.678761adX8C0mh&amp;id=991404056148&amp;categoryId=202152829")</f>
        <v>https://www.goofish.com/item?spm=a21ybx.search.searchFeedList.9.678761adX8C0mh&amp;id=991404056148&amp;categoryId=202152829</v>
      </c>
      <c r="I186">
        <v>991404056148</v>
      </c>
      <c r="J186"/>
      <c r="K186"/>
      <c r="L186"/>
    </row>
    <row r="187" ht="25.5" customHeight="1">
      <c r="A187" t="inlineStr">
        <is>
          <t>即梦可灵美女生成提示词持续更新</t>
        </is>
      </c>
      <c r="B187">
        <v>262</v>
      </c>
      <c r="C187" t="inlineStr">
        <is>
          <t>不好意思! 这个资源丢失了，请等管理员操作~</t>
        </is>
      </c>
      <c r="D187" t="inlineStr">
        <is>
          <t>是</t>
        </is>
      </c>
      <c r="E187" t="inlineStr">
        <is>
          <t>✅即梦AI可灵AI美女提示词全覆盖
✅文生图图生视频美女跳舞视频提示词
✅大模型更新即时上传无需担心落后
✅24小时自动发货白天人工在线
✅虚拟资料售出不退换</t>
        </is>
      </c>
      <c r="F187" s="2" t="str">
        <f>=HYPERLINK("https://video.goofish.com/5f5c17f07688b327/703355cb92943696/20251015_20f1ce1e30815b2d_537739186567_342210833335707_published_mp4_264_fs_0_xianyu_taobao.mp4?auth_key=1768726536-0-0-1adf8d530c95f6ef6a0c965f1ea3d5d4&amp;biz=xianyu-21d8bd873d88237b&amp;t=213e039217686665364422202e133f&amp;w=720&amp;h=720&amp;e=hd&amp;b=xianyu&amp;p=xianyu_app_xianyu&amp;tr=mp4-264-fs-0-xianyu&amp;iss=false&amp;v=taobao_v2", "https://video.goofish.com/5f5c17f07688b327/703355cb92943696/20251015_20f1ce1e30815b2d_537739186567_342210833335707_published_mp4_264_fs_0_xianyu_taobao.mp4?auth_key=1768726536-0-0-1adf8d530c95f6ef6a0c965f1ea3d5d4&amp;biz=xianyu-21d8bd873d88237b&amp;t=213e039217686665364422202e133f&amp;w=720&amp;h=720&amp;e=hd&amp;b=xianyu&amp;p=xianyu_app_xianyu&amp;tr=mp4-264-fs-0-xianyu&amp;iss=false&amp;v=taobao_v2")</f>
        <v>https://video.goofish.com/5f5c17f07688b327/703355cb92943696/20251015_20f1ce1e30815b2d_537739186567_342210833335707_published_mp4_264_fs_0_xianyu_taobao.mp4?auth_key=1768726536-0-0-1adf8d530c95f6ef6a0c965f1ea3d5d4&amp;biz=xianyu-21d8bd873d88237b&amp;t=213e039217686665364422202e133f&amp;w=720&amp;h=720&amp;e=hd&amp;b=xianyu&amp;p=xianyu_app_xianyu&amp;tr=mp4-264-fs-0-xianyu&amp;iss=false&amp;v=taobao_v2</v>
      </c>
      <c r="G187"/>
      <c r="H187" s="2" t="str">
        <f>=HYPERLINK("https://www.goofish.com/item?spm=a21ybx.search.searchFeedList.18.678761adX8C0mh&amp;id=984818159396&amp;categoryId=201454708", "https://www.goofish.com/item?spm=a21ybx.search.searchFeedList.18.678761adX8C0mh&amp;id=984818159396&amp;categoryId=201454708")</f>
        <v>https://www.goofish.com/item?spm=a21ybx.search.searchFeedList.18.678761adX8C0mh&amp;id=984818159396&amp;categoryId=201454708</v>
      </c>
      <c r="I187">
        <v>984818159396</v>
      </c>
      <c r="J187"/>
      <c r="K187"/>
      <c r="L187"/>
    </row>
    <row r="188" ht="25.5" customHeight="1">
      <c r="A188" t="inlineStr">
        <is>
          <t>【秒发】100+AI美女生成提示词教程</t>
        </is>
      </c>
      <c r="B188">
        <v>263</v>
      </c>
      <c r="C188" t="inlineStr">
        <is>
          <t>不好意思! 这个资源丢失了，请等管理员操作~</t>
        </is>
      </c>
      <c r="D188" t="inlineStr">
        <is>
          <t>是</t>
        </is>
      </c>
      <c r="E188" t="inlineStr">
        <is>
          <t>✅2025最新100+AI美女生成提示词
✅国产大模型适配文生视频图生图
✅高效方便快捷只需粘贴复制
✅原创内容轻松搞定
✅秒发自动发货</t>
        </is>
      </c>
      <c r="F188" s="2" t="str">
        <f>=HYPERLINK("https://img.alicdn.com/bao/uploaded/i2/O1CN016fvgm22GEGwD8BMKd_!!4611686018427387511-0-fleamarket.jpg_790x10000Q90.jpg_.webp", "https://img.alicdn.com/bao/uploaded/i2/O1CN016fvgm22GEGwD8BMKd_!!4611686018427387511-0-fleamarket.jpg_790x10000Q90.jpg_.webp")</f>
        <v>https://img.alicdn.com/bao/uploaded/i2/O1CN016fvgm22GEGwD8BMKd_!!4611686018427387511-0-fleamarket.jpg_790x10000Q90.jpg_.webp</v>
      </c>
      <c r="G188"/>
      <c r="H188" s="2" t="str">
        <f>=HYPERLINK("https://www.goofish.com/item?spm=a21ybx.search.searchFeedList.5.678761adFZgJN1&amp;id=960645349236&amp;categoryId=201459411", "https://www.goofish.com/item?spm=a21ybx.search.searchFeedList.5.678761adFZgJN1&amp;id=960645349236&amp;categoryId=201459411")</f>
        <v>https://www.goofish.com/item?spm=a21ybx.search.searchFeedList.5.678761adFZgJN1&amp;id=960645349236&amp;categoryId=201459411</v>
      </c>
      <c r="I188">
        <v>960645349236</v>
      </c>
      <c r="J188"/>
      <c r="K188"/>
      <c r="L188"/>
    </row>
    <row r="189" ht="25.5" customHeight="1">
      <c r="A189" t="inlineStr">
        <is>
          <t>【秒发】300个去AI味提示词小说写作</t>
        </is>
      </c>
      <c r="B189">
        <v>264</v>
      </c>
      <c r="C189" t="inlineStr">
        <is>
          <t>不好意思! 这个资源丢失了，请等管理员操作~</t>
        </is>
      </c>
      <c r="D189" t="inlineStr">
        <is>
          <t>是</t>
        </is>
      </c>
      <c r="E189" t="inlineStr">
        <is>
          <t>✅300个去AI味提示词让小说写作更自然流畅
✅确保内容连贯主题递进情节流畅
✅提升信息传达效率强化逻辑过渡
✅调整语气适应场景增强表达精确性
✅注入生动实例保持句式变化节奏感
✅调整语言适应角色提升叙述节奏张力
✅虚拟资料售出不退不换介意勿拍</t>
        </is>
      </c>
      <c r="F189" s="2" t="str">
        <f>=HYPERLINK("https://img.alicdn.com/bao/uploaded/i1/O1CN01kE0L291ph8HstMAQI_!!4611686018427386351-0-fleamarket.jpg_790x10000Q90.jpg_.webp", "https://img.alicdn.com/bao/uploaded/i1/O1CN01kE0L291ph8HstMAQI_!!4611686018427386351-0-fleamarket.jpg_790x10000Q90.jpg_.webp")</f>
        <v>https://img.alicdn.com/bao/uploaded/i1/O1CN01kE0L291ph8HstMAQI_!!4611686018427386351-0-fleamarket.jpg_790x10000Q90.jpg_.webp</v>
      </c>
      <c r="G189"/>
      <c r="H189" s="2" t="str">
        <f>=HYPERLINK("https://www.goofish.com/item?spm=a21ybx.search.searchFeedList.21.678761adFZgJN1&amp;id=985366486723&amp;categoryId=201459411", "https://www.goofish.com/item?spm=a21ybx.search.searchFeedList.21.678761adFZgJN1&amp;id=985366486723&amp;categoryId=201459411")</f>
        <v>https://www.goofish.com/item?spm=a21ybx.search.searchFeedList.21.678761adFZgJN1&amp;id=985366486723&amp;categoryId=201459411</v>
      </c>
      <c r="I189">
        <v>985366486723</v>
      </c>
      <c r="J189"/>
      <c r="K189"/>
      <c r="L189"/>
    </row>
    <row r="190" ht="25.5" customHeight="1">
      <c r="A190" t="inlineStr">
        <is>
          <t>【秒发】2100+提示词170行业小白秒变大</t>
        </is>
      </c>
      <c r="B190">
        <v>265</v>
      </c>
      <c r="C190" t="inlineStr">
        <is>
          <t>不好意思! 这个资源丢失了，请等管理员操作~</t>
        </is>
      </c>
      <c r="D190" t="inlineStr">
        <is>
          <t>是</t>
        </is>
      </c>
      <c r="E190" t="inlineStr">
        <is>
          <t>✅2100+提示词模版170+细分行业全覆盖
✅适配DeepSeek豆包kimi腾讯元宝等主流AI
✅一键解锁文案绘画视频创作各场景
✅小白公式套用秒出高质量回答
✅夸克网盘自动发货
✅电子资料发货后不退介意勿拍</t>
        </is>
      </c>
      <c r="F190" s="2" t="str">
        <f>=HYPERLINK("https://img.alicdn.com/bao/uploaded/i3/O1CN01cNCYDy2IyeHh9WwC0_!!4611686018427386427-53-fleamarket.heic_790x10000Q90.jpg_.webp", "https://img.alicdn.com/bao/uploaded/i3/O1CN01cNCYDy2IyeHh9WwC0_!!4611686018427386427-53-fleamarket.heic_790x10000Q90.jpg_.webp")</f>
        <v>https://img.alicdn.com/bao/uploaded/i3/O1CN01cNCYDy2IyeHh9WwC0_!!4611686018427386427-53-fleamarket.heic_790x10000Q90.jpg_.webp</v>
      </c>
      <c r="G190"/>
      <c r="H190" s="2" t="str">
        <f>=HYPERLINK("https://www.goofish.com/item?spm=a21ybx.search.searchFeedList.20.678761adFZgJN1&amp;id=974492090835&amp;categoryId=202036301", "https://www.goofish.com/item?spm=a21ybx.search.searchFeedList.20.678761adFZgJN1&amp;id=974492090835&amp;categoryId=202036301")</f>
        <v>https://www.goofish.com/item?spm=a21ybx.search.searchFeedList.20.678761adFZgJN1&amp;id=974492090835&amp;categoryId=202036301</v>
      </c>
      <c r="I190">
        <v>974492090835</v>
      </c>
      <c r="J190"/>
      <c r="K190"/>
      <c r="L190"/>
    </row>
    <row r="191" ht="25.5" customHeight="1">
      <c r="A191" t="inlineStr">
        <is>
          <t>【秒发】TRAE通用6A规则+敏捷5S规则提示词</t>
        </is>
      </c>
      <c r="B191">
        <v>266</v>
      </c>
      <c r="C191" t="inlineStr">
        <is>
          <t>不好意思! 这个资源丢失了，请等管理员操作~</t>
        </is>
      </c>
      <c r="D191" t="inlineStr">
        <is>
          <t>是</t>
        </is>
      </c>
      <c r="E191" t="inlineStr">
        <is>
          <t>✅让AI按照专业流程工作
✅确保需求理解准确无误
✅保证代码质量和可维护性
✅建立完善的文档体系
✅实现高效的团队协作
✅包含6A+5S规则提示词
✅仅售卖教学资料不提供一对一指导
✅24小时度盘自动发货
✅虚拟商品一经拍下不支持退货</t>
        </is>
      </c>
      <c r="F191" s="2" t="str">
        <f>=HYPERLINK("https://img.alicdn.com/bao/uploaded/i1/O1CN01B6Y7H61pov0ynSv90_!!4611686018427385776-0-fleamarket.jpg_790x10000Q90.jpg_.webp", "https://img.alicdn.com/bao/uploaded/i1/O1CN01B6Y7H61pov0ynSv90_!!4611686018427385776-0-fleamarket.jpg_790x10000Q90.jpg_.webp")</f>
        <v>https://img.alicdn.com/bao/uploaded/i1/O1CN01B6Y7H61pov0ynSv90_!!4611686018427385776-0-fleamarket.jpg_790x10000Q90.jpg_.webp</v>
      </c>
      <c r="G191"/>
      <c r="H191" s="2" t="str">
        <f>=HYPERLINK("https://www.goofish.com/item?spm=a21ybx.search.searchFeedList.21.678761adFZgJN1&amp;id=978016350086&amp;categoryId=201453616", "https://www.goofish.com/item?spm=a21ybx.search.searchFeedList.21.678761adFZgJN1&amp;id=978016350086&amp;categoryId=201453616")</f>
        <v>https://www.goofish.com/item?spm=a21ybx.search.searchFeedList.21.678761adFZgJN1&amp;id=978016350086&amp;categoryId=201453616</v>
      </c>
      <c r="I191">
        <v>978016350086</v>
      </c>
      <c r="J191"/>
      <c r="K191"/>
      <c r="L191"/>
    </row>
    <row r="192" ht="25.5" customHeight="1">
      <c r="A192" t="inlineStr">
        <is>
          <t>【秒发】2025即梦AI运镜提示词教程</t>
        </is>
      </c>
      <c r="B192">
        <v>267</v>
      </c>
      <c r="C192" t="inlineStr">
        <is>
          <t>不好意思! 这个资源丢失了，请等管理员操作~</t>
        </is>
      </c>
      <c r="D192" t="inlineStr">
        <is>
          <t>是</t>
        </is>
      </c>
      <c r="E192" t="inlineStr">
        <is>
          <t>✅动态镜头环绕镜头推进上帝视角等多种拍摄技巧
✅从入门到精通轻松掌握AI视频制作
✅零基础快速入门实操课程
✅直接拍自动发货秒到账</t>
        </is>
      </c>
      <c r="F192" s="2" t="str">
        <f>=HYPERLINK("https://img.alicdn.com/bao/uploaded/i2/2790750209/O1CN01NhVEO41DPlsxRpFsZ_!!4611686018427385857-53-xy_item.heic_790x10000Q90.jpg_.webp", "https://img.alicdn.com/bao/uploaded/i2/2790750209/O1CN01NhVEO41DPlsxRpFsZ_!!4611686018427385857-53-xy_item.heic_790x10000Q90.jpg_.webp")</f>
        <v>https://img.alicdn.com/bao/uploaded/i2/2790750209/O1CN01NhVEO41DPlsxRpFsZ_!!4611686018427385857-53-xy_item.heic_790x10000Q90.jpg_.webp</v>
      </c>
      <c r="G192"/>
      <c r="H192" s="2" t="str">
        <f>=HYPERLINK("https://www.goofish.com/item?spm=a21ybx.search.searchFeedList.8.678761adFZgJN1&amp;id=1001266640125&amp;categoryId=201459411", "https://www.goofish.com/item?spm=a21ybx.search.searchFeedList.8.678761adFZgJN1&amp;id=1001266640125&amp;categoryId=201459411")</f>
        <v>https://www.goofish.com/item?spm=a21ybx.search.searchFeedList.8.678761adFZgJN1&amp;id=1001266640125&amp;categoryId=201459411</v>
      </c>
      <c r="I192">
        <v>1001266640125</v>
      </c>
      <c r="J192"/>
      <c r="K192"/>
      <c r="L192"/>
    </row>
    <row r="193" ht="25.5" customHeight="1">
      <c r="A193" t="inlineStr">
        <is>
          <t>【秒发】AI提示词豆包可用一元自取</t>
        </is>
      </c>
      <c r="B193">
        <v>268</v>
      </c>
      <c r="C193" t="inlineStr">
        <is>
          <t>1. 我用夸克网盘给你分享了「F35-AI-提示词」，点击链接或复制整段内容，打开「夸克APP」即可获取。
伏脂尨犭嘀啵好洞座
/~b9ab3A6vvW~:/
链接：https://pan.quark.cn/s/b2d42f95df0c
2. 我用夸克网盘给你分享了「【8】【新】AI指令合集」，点击链接或复制整段内容，打开「夸克APP」即可获取。
筷莱嘟啪晻霭峰夺郝
/~ee6d39pIqs~:/
链接：https://pan.quark.cn/s/317de8408d94
3. 【发货内容】
*人像摄影，日常快照风格，非精心构图或打光，一位气质御姐，穿着轻薄T恤短裤，动作为在镜子前随手自拍，场景为酒店房间，站在落地镜前，用 iPhone 后置镜头自拍，开启闪光灯，略带快门速度不够造成的运动模糊，构图随意、角度尴尬、画面不够对称或美观，画质带有日常感和粗糙感，体现「平凡无奇」，9:16 构图
上述提示词使用偶现豆包无法生成的情况为ai模型问题，这边建议更换模型尝试。如果用豆包建议开一个新的对话，并且更换关键词多次尝试。
</t>
        </is>
      </c>
      <c r="D193" t="inlineStr">
        <is>
          <t>是</t>
        </is>
      </c>
      <c r="E193" t="inlineStr">
        <is>
          <t>✅AI生图提示词豆包可用
✅提示词服务产品售出不退
✅均遵守AI生图协议
✅可定制文生图图生图视频生成提示词
✅一元自取性价比超高</t>
        </is>
      </c>
      <c r="F193" s="2" t="str">
        <f>=HYPERLINK("https://img.alicdn.com/bao/uploaded/i3/O1CN01BmORGA2B9ATxQiGkW_!!4611686018427387783-0-fleamarket.jpg_790x10000Q90.jpg_.webp", "https://img.alicdn.com/bao/uploaded/i3/O1CN01BmORGA2B9ATxQiGkW_!!4611686018427387783-0-fleamarket.jpg_790x10000Q90.jpg_.webp")</f>
        <v>https://img.alicdn.com/bao/uploaded/i3/O1CN01BmORGA2B9ATxQiGkW_!!4611686018427387783-0-fleamarket.jpg_790x10000Q90.jpg_.webp</v>
      </c>
      <c r="G193"/>
      <c r="H193" s="2" t="str">
        <f>=HYPERLINK("https://www.goofish.com/item?spm=a21ybx.search.searchFeedList.12.678761adFZgJN1&amp;id=1011306509724&amp;categoryId=202034003", "https://www.goofish.com/item?spm=a21ybx.search.searchFeedList.12.678761adFZgJN1&amp;id=1011306509724&amp;categoryId=202034003")</f>
        <v>https://www.goofish.com/item?spm=a21ybx.search.searchFeedList.12.678761adFZgJN1&amp;id=1011306509724&amp;categoryId=202034003</v>
      </c>
      <c r="I193">
        <v>1011306509724</v>
      </c>
      <c r="J193"/>
      <c r="K193"/>
      <c r="L193"/>
    </row>
    <row r="194" ht="25.5" customHeight="1">
      <c r="A194" t="inlineStr">
        <is>
          <t>【秒发】3300组NanoBanana即梦提示词</t>
        </is>
      </c>
      <c r="B194">
        <v>269</v>
      </c>
      <c r="C194" t="inlineStr">
        <is>
          <t>不好意思! 这个资源丢失了，请等管理员操作~</t>
        </is>
      </c>
      <c r="D194" t="inlineStr">
        <is>
          <t>是</t>
        </is>
      </c>
      <c r="E194" t="inlineStr">
        <is>
          <t>✅NanoBanana2.5即梦AI电商p图studio手办Gemini教程flash提示词
✅3300组提示词拿来既用
✅某宝14.9买的性价比超高
✅24小时网盘自动发货
✅不提供其他服务自行研究</t>
        </is>
      </c>
      <c r="F194" s="2" t="str">
        <f>=HYPERLINK("https://img.alicdn.com/bao/uploaded/i4/O1CN01b8zBtw2Io7CbpCuTE_!!4611686018427384180-0-fleamarket.jpg_790x10000Q90.jpg_.webp", "https://img.alicdn.com/bao/uploaded/i4/O1CN01b8zBtw2Io7CbpCuTE_!!4611686018427384180-0-fleamarket.jpg_790x10000Q90.jpg_.webp")</f>
        <v>https://img.alicdn.com/bao/uploaded/i4/O1CN01b8zBtw2Io7CbpCuTE_!!4611686018427384180-0-fleamarket.jpg_790x10000Q90.jpg_.webp</v>
      </c>
      <c r="G194"/>
      <c r="H194" s="2" t="str">
        <f>=HYPERLINK("https://www.goofish.com/item?spm=a21ybx.search.searchFeedList.4.678761adFZgJN1&amp;id=1012110104461&amp;categoryId=201454708", "https://www.goofish.com/item?spm=a21ybx.search.searchFeedList.4.678761adFZgJN1&amp;id=1012110104461&amp;categoryId=201454708")</f>
        <v>https://www.goofish.com/item?spm=a21ybx.search.searchFeedList.4.678761adFZgJN1&amp;id=1012110104461&amp;categoryId=201454708</v>
      </c>
      <c r="I194">
        <v>1012110104461</v>
      </c>
      <c r="J194"/>
      <c r="K194"/>
      <c r="L194"/>
    </row>
    <row r="195" ht="25.5" customHeight="1">
      <c r="A195" t="inlineStr">
        <is>
          <t>【秒发】16000+即梦提示词手册实战</t>
        </is>
      </c>
      <c r="B195">
        <v>270</v>
      </c>
      <c r="C195" t="inlineStr">
        <is>
          <t>不好意思! 这个资源丢失了，请等管理员操作~</t>
        </is>
      </c>
      <c r="D195" t="inlineStr">
        <is>
          <t>是</t>
        </is>
      </c>
      <c r="E195" t="inlineStr">
        <is>
          <t>✅16000+指令理论+实战全涵盖
✅AI生成图片编辑海报设计电商影视艺术创作
✅AI字体美女帅哥城市创意节日海报自媒体绘画产品包装美食出图等
✅电子资料拍下自动发货秒到账
✅发出后不退不换</t>
        </is>
      </c>
      <c r="F195" s="2" t="str">
        <f>=HYPERLINK("https://img.alicdn.com/bao/uploaded/i4/1801571231/O1CN01WGE04e1KxqfNpHxpd_!!4611686018427382687-53-xy_item.heic_790x10000Q90.jpg_.webp", "https://img.alicdn.com/bao/uploaded/i4/1801571231/O1CN01WGE04e1KxqfNpHxpd_!!4611686018427382687-53-xy_item.heic_790x10000Q90.jpg_.webp")</f>
        <v>https://img.alicdn.com/bao/uploaded/i4/1801571231/O1CN01WGE04e1KxqfNpHxpd_!!4611686018427382687-53-xy_item.heic_790x10000Q90.jpg_.webp</v>
      </c>
      <c r="G195"/>
      <c r="H195" s="2" t="str">
        <f>=HYPERLINK("https://www.goofish.com/item?spm=a21ybx.search.searchFeedList.5.678761adFZgJN1&amp;id=1000891273568&amp;categoryId=202154631", "https://www.goofish.com/item?spm=a21ybx.search.searchFeedList.5.678761adFZgJN1&amp;id=1000891273568&amp;categoryId=202154631")</f>
        <v>https://www.goofish.com/item?spm=a21ybx.search.searchFeedList.5.678761adFZgJN1&amp;id=1000891273568&amp;categoryId=202154631</v>
      </c>
      <c r="I195">
        <v>1000891273568</v>
      </c>
      <c r="J195"/>
      <c r="K195"/>
      <c r="L195"/>
    </row>
    <row r="196" ht="25.5" customHeight="1">
      <c r="A196" t="inlineStr">
        <is>
          <t>【秒发】5000+分镜提示词合集影视创作</t>
        </is>
      </c>
      <c r="B196">
        <v>271</v>
      </c>
      <c r="C196" t="inlineStr">
        <is>
          <t>不好意思! 这个资源丢失了，请等管理员操作~</t>
        </is>
      </c>
      <c r="D196" t="inlineStr">
        <is>
          <t>是</t>
        </is>
      </c>
      <c r="E196" t="inlineStr">
        <is>
          <t>✅5000+分镜画面提示词动作人物场景情感科幻全覆盖
✅武侠打斗都市男女未来宇宙复古年代全能适配
✅专业分镜逻辑新手也能轻松掌握
✅短视频影视广告漫画AI绘画多平台适用
✅效率提升10倍热门分镜模板赠送
✅百度网盘自动发货
✅虚拟资料售出不退介意勿拍</t>
        </is>
      </c>
      <c r="F196" s="2" t="str">
        <f>=HYPERLINK("https://img.alicdn.com/bao/uploaded/i1/O1CN01e8Ko571XolpAWf9we_!!4611686018427385499-0-fleamarket.jpg_790x10000Q90.jpg_.webp", "https://img.alicdn.com/bao/uploaded/i1/O1CN01e8Ko571XolpAWf9we_!!4611686018427385499-0-fleamarket.jpg_790x10000Q90.jpg_.webp")</f>
        <v>https://img.alicdn.com/bao/uploaded/i1/O1CN01e8Ko571XolpAWf9we_!!4611686018427385499-0-fleamarket.jpg_790x10000Q90.jpg_.webp</v>
      </c>
      <c r="G196"/>
      <c r="H196" s="2" t="str">
        <f>=HYPERLINK("https://www.goofish.com/item?spm=a21ybx.search.searchFeedList.4.678761adFZgJN1&amp;id=1005591994048&amp;categoryId=202036301", "https://www.goofish.com/item?spm=a21ybx.search.searchFeedList.4.678761adFZgJN1&amp;id=1005591994048&amp;categoryId=202036301")</f>
        <v>https://www.goofish.com/item?spm=a21ybx.search.searchFeedList.4.678761adFZgJN1&amp;id=1005591994048&amp;categoryId=202036301</v>
      </c>
      <c r="I196">
        <v>1005591994048</v>
      </c>
      <c r="J196"/>
      <c r="K196"/>
      <c r="L196"/>
    </row>
    <row r="197" ht="25.5" customHeight="1">
      <c r="A197" t="inlineStr">
        <is>
          <t>【秒发】2025即梦AI视频指南系统教程</t>
        </is>
      </c>
      <c r="B197">
        <v>273</v>
      </c>
      <c r="C197" t="inlineStr">
        <is>
          <t>不好意思! 这个资源丢失了，请等管理员操作~</t>
        </is>
      </c>
      <c r="D197" t="inlineStr">
        <is>
          <t>是</t>
        </is>
      </c>
      <c r="E197" t="inlineStr">
        <is>
          <t>✅2025最新即梦AI生成视频指南系统教程
✅即梦AI提示词大全完整收录
✅系统讲解从入门到精通
✅电子资料拍下自动发货
✅虚拟资料售出不退介意勿拍</t>
        </is>
      </c>
      <c r="F197" s="2" t="str">
        <f>=HYPERLINK("https://img.alicdn.com/bao/uploaded/i4/O1CN01iLn8r21XlZ0juFHfO_!!4611686018427384900-0-fleamarket.jpg_790x10000Q90.jpg_.webp", "https://img.alicdn.com/bao/uploaded/i4/O1CN01iLn8r21XlZ0juFHfO_!!4611686018427384900-0-fleamarket.jpg_790x10000Q90.jpg_.webp")</f>
        <v>https://img.alicdn.com/bao/uploaded/i4/O1CN01iLn8r21XlZ0juFHfO_!!4611686018427384900-0-fleamarket.jpg_790x10000Q90.jpg_.webp</v>
      </c>
      <c r="G197"/>
      <c r="H197" s="2" t="str">
        <f>=HYPERLINK("https://www.goofish.com/item?spm=a21ybx.search.searchFeedList.5.678761adFZgJN1&amp;id=949028303969&amp;categoryId=201459411", "https://www.goofish.com/item?spm=a21ybx.search.searchFeedList.5.678761adFZgJN1&amp;id=949028303969&amp;categoryId=201459411")</f>
        <v>https://www.goofish.com/item?spm=a21ybx.search.searchFeedList.5.678761adFZgJN1&amp;id=949028303969&amp;categoryId=201459411</v>
      </c>
      <c r="I197">
        <v>949028303969</v>
      </c>
      <c r="J197"/>
      <c r="K197"/>
      <c r="L197"/>
    </row>
    <row r="198" ht="25.5" customHeight="1">
      <c r="A198" t="inlineStr">
        <is>
          <t>【秒发】绝美AI绘画提示词女神合集</t>
        </is>
      </c>
      <c r="B198">
        <v>274</v>
      </c>
      <c r="C198" t="inlineStr">
        <is>
          <t>我用夸克网盘给你分享了「美女AI炼丹提示...AI生成」，点击链接或复制整段内容，打开「夸克APP」即可获取。
筷莱悝悒鳬鴇鴈夺郝
/~3a823LoK3H~:/
链接：https://pan.quark.cn/s/9a865915358f</t>
        </is>
      </c>
      <c r="D198" t="inlineStr">
        <is>
          <t>是</t>
        </is>
      </c>
      <c r="E198" t="inlineStr">
        <is>
          <t>✅2025全网热门美女提示词库
✅清纯校花气质御姐混血模特古风美人全覆盖
✅动态舞蹈专用提示词专业级效果
✅实测优化出图效果稳定惊艳
✅赠10条独家高级提示词价值20元
✅赠快速上手指南AI绘画小技巧
✅支持7天技术咨询
✅确认收货领3条定制提示词
✅适用主流AI绘画平台轻松创作点赞过万作品
✅虚拟商品拍下自动发货</t>
        </is>
      </c>
      <c r="F198" s="2" t="str">
        <f>=HYPERLINK("https://img.alicdn.com/bao/uploaded/i1/O1CN01jbiWYI2EAwpA9gNdm_!!4611686018427379793-53-fleamarket.heic_790x10000Q90.jpg_.webp", "https://img.alicdn.com/bao/uploaded/i1/O1CN01jbiWYI2EAwpA9gNdm_!!4611686018427379793-53-fleamarket.heic_790x10000Q90.jpg_.webp")</f>
        <v>https://img.alicdn.com/bao/uploaded/i1/O1CN01jbiWYI2EAwpA9gNdm_!!4611686018427379793-53-fleamarket.heic_790x10000Q90.jpg_.webp</v>
      </c>
      <c r="G198"/>
      <c r="H198" s="2" t="str">
        <f>=HYPERLINK("https://www.goofish.com/item?spm=a21ybx.search.searchFeedList.19.678761adFZgJN1&amp;id=952347055489&amp;categoryId=201459411", "https://www.goofish.com/item?spm=a21ybx.search.searchFeedList.19.678761adFZgJN1&amp;id=952347055489&amp;categoryId=201459411")</f>
        <v>https://www.goofish.com/item?spm=a21ybx.search.searchFeedList.19.678761adFZgJN1&amp;id=952347055489&amp;categoryId=201459411</v>
      </c>
      <c r="I198">
        <v>952347055489</v>
      </c>
      <c r="J198"/>
      <c r="K198"/>
      <c r="L198"/>
    </row>
    <row r="199" ht="25.5" customHeight="1">
      <c r="A199" t="inlineStr">
        <is>
          <t>【秒发】10000+即梦AI生图提示词</t>
        </is>
      </c>
      <c r="B199">
        <v>275</v>
      </c>
      <c r="C199" t="inlineStr">
        <is>
          <t>不好意思! 这个资源丢失了，请等管理员操作~</t>
        </is>
      </c>
      <c r="D199" t="inlineStr">
        <is>
          <t>是</t>
        </is>
      </c>
      <c r="E199" t="inlineStr">
        <is>
          <t>✅10000+多种即梦AI生图提示词
✅适合各种AI生图类型场景全覆盖
✅24小时内自动发货秒到账
✅网盘发货快速便捷
✅电子资料整理成本超高性价比
✅虚拟商品售出不退换</t>
        </is>
      </c>
      <c r="F199" s="2" t="str">
        <f>=HYPERLINK("https://img.alicdn.com/bao/uploaded/i4/823430034/O1CN01exC0dm1C7cZYpQoGp_!!4611686018427382674-53-xy_item.heic_790x10000Q90.jpg_.webp", "https://img.alicdn.com/bao/uploaded/i4/823430034/O1CN01exC0dm1C7cZYpQoGp_!!4611686018427382674-53-xy_item.heic_790x10000Q90.jpg_.webp")</f>
        <v>https://img.alicdn.com/bao/uploaded/i4/823430034/O1CN01exC0dm1C7cZYpQoGp_!!4611686018427382674-53-xy_item.heic_790x10000Q90.jpg_.webp</v>
      </c>
      <c r="G199"/>
      <c r="H199" s="2" t="str">
        <f>=HYPERLINK("https://www.goofish.com/item?spm=a21ybx.search.searchFeedList.2.678761adFZgJN1&amp;id=996869693335&amp;categoryId=201459411", "https://www.goofish.com/item?spm=a21ybx.search.searchFeedList.2.678761adFZgJN1&amp;id=996869693335&amp;categoryId=201459411")</f>
        <v>https://www.goofish.com/item?spm=a21ybx.search.searchFeedList.2.678761adFZgJN1&amp;id=996869693335&amp;categoryId=201459411</v>
      </c>
      <c r="I199">
        <v>996869693335</v>
      </c>
      <c r="J199"/>
      <c r="K199"/>
      <c r="L199"/>
    </row>
    <row r="200" ht="25.5" customHeight="1">
      <c r="A200" t="inlineStr">
        <is>
          <t>【秒发】AI提示词prompt指令大全提示工程</t>
        </is>
      </c>
      <c r="B200">
        <v>276</v>
      </c>
      <c r="C200" t="inlineStr">
        <is>
          <t>不好意思! 这个资源丢失了，请等管理员操作~</t>
        </is>
      </c>
      <c r="D200" t="inlineStr">
        <is>
          <t>是</t>
        </is>
      </c>
      <c r="E200" t="inlineStr">
        <is>
          <t>✅精心整理AI提示词prompt指令大全
✅分类清晰内容丰富拿来即用
✅省时省力快速做事方法
✅帮你节省时间和精力
✅百度网盘自动发货
✅虚拟资料售出不退换</t>
        </is>
      </c>
      <c r="F200" s="2" t="str">
        <f>=HYPERLINK("https://img.alicdn.com/bao/uploaded/i2/O1CN01wzk09a1q4wrOXHPki_!!4611686018427382115-0-fleamarket.jpg_790x10000Q90.jpg_.webp", "https://img.alicdn.com/bao/uploaded/i2/O1CN01wzk09a1q4wrOXHPki_!!4611686018427382115-0-fleamarket.jpg_790x10000Q90.jpg_.webp")</f>
        <v>https://img.alicdn.com/bao/uploaded/i2/O1CN01wzk09a1q4wrOXHPki_!!4611686018427382115-0-fleamarket.jpg_790x10000Q90.jpg_.webp</v>
      </c>
      <c r="G200"/>
      <c r="H200" s="2" t="str">
        <f>=HYPERLINK("https://www.goofish.com/item?spm=a21ybx.search.searchFeedList.29.678761adFZgJN1&amp;id=952568666857&amp;categoryId=201459411", "https://www.goofish.com/item?spm=a21ybx.search.searchFeedList.29.678761adFZgJN1&amp;id=952568666857&amp;categoryId=201459411")</f>
        <v>https://www.goofish.com/item?spm=a21ybx.search.searchFeedList.29.678761adFZgJN1&amp;id=952568666857&amp;categoryId=201459411</v>
      </c>
      <c r="I200">
        <v>952568666857</v>
      </c>
      <c r="J200"/>
      <c r="K200"/>
      <c r="L200"/>
    </row>
    <row r="201" ht="25.5" customHeight="1">
      <c r="A201" t="inlineStr">
        <is>
          <t>【秒发】AI提示词生成工具1.3版源码</t>
        </is>
      </c>
      <c r="B201">
        <v>277</v>
      </c>
      <c r="C201" t="inlineStr">
        <is>
          <t>不好意思! 这个资源丢失了，请等管理员操作~</t>
        </is>
      </c>
      <c r="D201" t="inlineStr">
        <is>
          <t>是</t>
        </is>
      </c>
      <c r="E201" t="inlineStr">
        <is>
          <t>✅专业AI图片视频提示词生成工具
✅自适应电脑手机端支持断网使用
✅提供画面比例光源构图色彩镜头等参数
✅一键组合生成专业提示词豆包即梦可灵通用
✅百度网盘或夸克网盘下载
✅虚拟商品售出不退请按需下单</t>
        </is>
      </c>
      <c r="F201" s="2" t="str">
        <f>=HYPERLINK("https://video.goofish.com/5f5c17f07688b327/95f3232974846237/20251114_745c256ef8d8af44_542364599747_358075545875155_published_mp4_264_fs_0_xianyu_taobao.mp4?auth_key=1769037066-0-0-8b805fd684f093521d0df5e163ba9014&amp;biz=xianyu-d077c99a0abdf00e&amp;t=215041e317689770664191267e1ae8&amp;w=2004&amp;h=2004&amp;e=hd&amp;b=xianyu&amp;p=xianyu_app_xianyu&amp;tr=mp4-264-fs-0-xianyu&amp;iss=false&amp;v=taobao_v2", "https://video.goofish.com/5f5c17f07688b327/95f3232974846237/20251114_745c256ef8d8af44_542364599747_358075545875155_published_mp4_264_fs_0_xianyu_taobao.mp4?auth_key=1769037066-0-0-8b805fd684f093521d0df5e163ba9014&amp;biz=xianyu-d077c99a0abdf00e&amp;t=215041e317689770664191267e1ae8&amp;w=2004&amp;h=2004&amp;e=hd&amp;b=xianyu&amp;p=xianyu_app_xianyu&amp;tr=mp4-264-fs-0-xianyu&amp;iss=false&amp;v=taobao_v2")</f>
        <v>https://video.goofish.com/5f5c17f07688b327/95f3232974846237/20251114_745c256ef8d8af44_542364599747_358075545875155_published_mp4_264_fs_0_xianyu_taobao.mp4?auth_key=1769037066-0-0-8b805fd684f093521d0df5e163ba9014&amp;biz=xianyu-d077c99a0abdf00e&amp;t=215041e317689770664191267e1ae8&amp;w=2004&amp;h=2004&amp;e=hd&amp;b=xianyu&amp;p=xianyu_app_xianyu&amp;tr=mp4-264-fs-0-xianyu&amp;iss=false&amp;v=taobao_v2</v>
      </c>
      <c r="G201"/>
      <c r="H201" s="2" t="str">
        <f>=HYPERLINK("https://www.goofish.com/item?spm=a21ybx.search.searchFeedList.22.678761adFZgJN1&amp;id=968202757977&amp;categoryId=201454708", "https://www.goofish.com/item?spm=a21ybx.search.searchFeedList.22.678761adFZgJN1&amp;id=968202757977&amp;categoryId=201454708")</f>
        <v>https://www.goofish.com/item?spm=a21ybx.search.searchFeedList.22.678761adFZgJN1&amp;id=968202757977&amp;categoryId=201454708</v>
      </c>
      <c r="I201">
        <v>968202757977</v>
      </c>
      <c r="J201"/>
      <c r="K201"/>
      <c r="L201"/>
    </row>
    <row r="202" ht="25.5" customHeight="1">
      <c r="A202" t="inlineStr">
        <is>
          <t>【秒发】NanoBanana即梦电商换装提示词</t>
        </is>
      </c>
      <c r="B202">
        <v>278</v>
      </c>
      <c r="C202" t="inlineStr">
        <is>
          <t>不好意思! 这个资源丢失了，请等管理员操作~</t>
        </is>
      </c>
      <c r="D202" t="inlineStr">
        <is>
          <t>是</t>
        </is>
      </c>
      <c r="E202" t="inlineStr">
        <is>
          <t>✅人工整理内容超全复制既用
✅虚拟换装AI电商提示词全覆盖
✅24小时自动发货飞书网盘双渠道
✅持续更新内容诚信为本
✅其他盗图无更新谨慎选择
✅虚拟资料售出不退换</t>
        </is>
      </c>
      <c r="F202" s="2" t="str">
        <f>=HYPERLINK("https://img.alicdn.com/bao/uploaded/i2/3989841414/O1CN017T13IN1MJf9XVR4m8_!!4611686018427381254-0-xy_item.jpg_790x10000Q90.jpg_.webp", "https://img.alicdn.com/bao/uploaded/i2/3989841414/O1CN017T13IN1MJf9XVR4m8_!!4611686018427381254-0-xy_item.jpg_790x10000Q90.jpg_.webp")</f>
        <v>https://img.alicdn.com/bao/uploaded/i2/3989841414/O1CN017T13IN1MJf9XVR4m8_!!4611686018427381254-0-xy_item.jpg_790x10000Q90.jpg_.webp</v>
      </c>
      <c r="G202"/>
      <c r="H202" s="2" t="str">
        <f>=HYPERLINK("https://www.goofish.com/item?spm=a21ybx.search.searchFeedList.9.678761adFZgJN1&amp;id=993312345477&amp;categoryId=201454708", "https://www.goofish.com/item?spm=a21ybx.search.searchFeedList.9.678761adFZgJN1&amp;id=993312345477&amp;categoryId=201454708")</f>
        <v>https://www.goofish.com/item?spm=a21ybx.search.searchFeedList.9.678761adFZgJN1&amp;id=993312345477&amp;categoryId=201454708</v>
      </c>
      <c r="I202">
        <v>993312345477</v>
      </c>
      <c r="J202"/>
      <c r="K202"/>
      <c r="L202"/>
    </row>
    <row r="203" ht="25.5" customHeight="1">
      <c r="A203" t="inlineStr">
        <is>
          <t>【秒发】薛辉8大智能体提示词爆款选题</t>
        </is>
      </c>
      <c r="B203">
        <v>279</v>
      </c>
      <c r="C203" t="inlineStr">
        <is>
          <t>不好意思! 这个资源丢失了，请等管理员操作~</t>
        </is>
      </c>
      <c r="D203" t="inlineStr">
        <is>
          <t>是</t>
        </is>
      </c>
      <c r="E203" t="inlineStr">
        <is>
          <t>✅飞书多维表格+8大智能体输入行业3秒生成爆款选题
✅头牌选题最差选题怀旧选题猎奇选题荷尔蒙选题成本选题圈人群选题8大方向全覆盖
✅小红书抖音运营人自媒体博主副业上班族文案困难户必备
✅自动发货秒到账
✅虚拟产品发货后不退介意勿拍
✅可定制爆款开头生成器和全文文案一键出</t>
        </is>
      </c>
      <c r="F203" s="2" t="str">
        <f>=HYPERLINK("https://img.alicdn.com/bao/uploaded/i1/O1CN01ObYQSO2E1KX5MmzHS_!!4611686018427387388-53-fleamarket.heic_790x10000Q90.jpg_.webp", "https://img.alicdn.com/bao/uploaded/i1/O1CN01ObYQSO2E1KX5MmzHS_!!4611686018427387388-53-fleamarket.heic_790x10000Q90.jpg_.webp")</f>
        <v>https://img.alicdn.com/bao/uploaded/i1/O1CN01ObYQSO2E1KX5MmzHS_!!4611686018427387388-53-fleamarket.heic_790x10000Q90.jpg_.webp</v>
      </c>
      <c r="G203"/>
      <c r="H203" s="2" t="str">
        <f>=HYPERLINK("https://www.goofish.com/item?spm=a21ybx.search.searchFeedList.22.678761adFZgJN1&amp;id=986301090878&amp;categoryId=202036301", "https://www.goofish.com/item?spm=a21ybx.search.searchFeedList.22.678761adFZgJN1&amp;id=986301090878&amp;categoryId=202036301")</f>
        <v>https://www.goofish.com/item?spm=a21ybx.search.searchFeedList.22.678761adFZgJN1&amp;id=986301090878&amp;categoryId=202036301</v>
      </c>
      <c r="I203">
        <v>986301090878</v>
      </c>
      <c r="J203"/>
      <c r="K203"/>
      <c r="L203"/>
    </row>
    <row r="204" ht="25.5" customHeight="1">
      <c r="A204" t="inlineStr">
        <is>
          <t>【秒发】10000组即梦AI变现提示词教程</t>
        </is>
      </c>
      <c r="B204">
        <v>280</v>
      </c>
      <c r="C204" t="inlineStr">
        <is>
          <t>不好意思! 这个资源丢失了，请等管理员操作~</t>
        </is>
      </c>
      <c r="D204" t="inlineStr">
        <is>
          <t>是</t>
        </is>
      </c>
      <c r="E204" t="inlineStr">
        <is>
          <t>✅图片反推提示词可灵AI爆款案例及关键词
✅即梦变现案例文生图图生视频图文教程
✅即梦AI提示词10000组关键词全套打通
✅秒发网盘链接标价即卖价
✅电子资料视频+文档非实体
✅付款后系统自动发货
✅不满意可仅退款小店不易
✅虚拟资料售出不退换</t>
        </is>
      </c>
      <c r="F204" s="2" t="str">
        <f>=HYPERLINK("https://img.alicdn.com/bao/uploaded/i2/O1CN01zyoF501kg9LmJyzfJ_!!4611686018427384200-0-fleamarket.jpg_790x10000Q90.jpg_.webp", "https://img.alicdn.com/bao/uploaded/i2/O1CN01zyoF501kg9LmJyzfJ_!!4611686018427384200-0-fleamarket.jpg_790x10000Q90.jpg_.webp")</f>
        <v>https://img.alicdn.com/bao/uploaded/i2/O1CN01zyoF501kg9LmJyzfJ_!!4611686018427384200-0-fleamarket.jpg_790x10000Q90.jpg_.webp</v>
      </c>
      <c r="G204"/>
      <c r="H204" s="2" t="str">
        <f>=HYPERLINK("https://www.goofish.com/item?spm=a21ybx.search.searchFeedList.14.678761adFZgJN1&amp;id=973280594165&amp;categoryId=202036301", "https://www.goofish.com/item?spm=a21ybx.search.searchFeedList.14.678761adFZgJN1&amp;id=973280594165&amp;categoryId=202036301")</f>
        <v>https://www.goofish.com/item?spm=a21ybx.search.searchFeedList.14.678761adFZgJN1&amp;id=973280594165&amp;categoryId=202036301</v>
      </c>
      <c r="I204">
        <v>973280594165</v>
      </c>
      <c r="J204"/>
      <c r="K204"/>
      <c r="L204"/>
    </row>
    <row r="205" ht="25.5" customHeight="1">
      <c r="A205" t="inlineStr">
        <is>
          <t>【秒发】Midjourney咒语AI绘画提示词</t>
        </is>
      </c>
      <c r="B205">
        <v>281</v>
      </c>
      <c r="C205" t="inlineStr">
        <is>
          <t>不好意思! 这个资源丢失了，请等管理员操作~</t>
        </is>
      </c>
      <c r="D205" t="inlineStr">
        <is>
          <t>是</t>
        </is>
      </c>
      <c r="E205" t="inlineStr">
        <is>
          <t>✅3000+张图片530+套案例型完整出图咒语
✅免费分享Tag关键词表格
✅完整咒语中英文图片设定修改性强
✅24小时网盘自动发货
✅电子资料不退不换
✅源自公开合法渠道仅供学习交流</t>
        </is>
      </c>
      <c r="F205" s="2" t="str">
        <f>=HYPERLINK("https://img.alicdn.com/bao/uploaded/i3/O1CN011ll6u82IOSzRC6x5r_!!4611686018427380076-53-fleamarket.heic_790x10000Q90.jpg_.webp", "https://img.alicdn.com/bao/uploaded/i3/O1CN011ll6u82IOSzRC6x5r_!!4611686018427380076-53-fleamarket.heic_790x10000Q90.jpg_.webp")</f>
        <v>https://img.alicdn.com/bao/uploaded/i3/O1CN011ll6u82IOSzRC6x5r_!!4611686018427380076-53-fleamarket.heic_790x10000Q90.jpg_.webp</v>
      </c>
      <c r="G205"/>
      <c r="H205" s="2" t="str">
        <f>=HYPERLINK("https://www.goofish.com/item?spm=a21ybx.search.searchFeedList.4.678761adFZgJN1&amp;id=966074854107&amp;categoryId=201454708", "https://www.goofish.com/item?spm=a21ybx.search.searchFeedList.4.678761adFZgJN1&amp;id=966074854107&amp;categoryId=201454708")</f>
        <v>https://www.goofish.com/item?spm=a21ybx.search.searchFeedList.4.678761adFZgJN1&amp;id=966074854107&amp;categoryId=201454708</v>
      </c>
      <c r="I205">
        <v>966074854107</v>
      </c>
      <c r="J205"/>
      <c r="K205"/>
      <c r="L205"/>
    </row>
    <row r="206" ht="25.5" customHeight="1">
      <c r="A206" t="inlineStr">
        <is>
          <t>【秒发】500+AI美女跳舞提示词教程</t>
        </is>
      </c>
      <c r="B206">
        <v>282</v>
      </c>
      <c r="C206" t="inlineStr">
        <is>
          <t>不好意思! 这个资源丢失了，请等管理员操作~</t>
        </is>
      </c>
      <c r="D206" t="inlineStr">
        <is>
          <t>是</t>
        </is>
      </c>
      <c r="E206" t="inlineStr">
        <is>
          <t>✅500种跳舞动作AI生图AI视频全涵盖
✅手机就能操作一看就会
✅送AI变现教程摆摊创业收益高
✅详细视频教程文字说明操作简单容易上手
✅24小时自动发货网盘发货
✅电子教程发货后不退不换</t>
        </is>
      </c>
      <c r="F206" s="2" t="str">
        <f>=HYPERLINK("https://img.alicdn.com/bao/uploaded/i1/O1CN01NduP8h1KQs8363Bd7_!!4611686018427380279-53-fleamarket.heic_790x10000Q90.jpg_.webp", "https://img.alicdn.com/bao/uploaded/i1/O1CN01NduP8h1KQs8363Bd7_!!4611686018427380279-53-fleamarket.heic_790x10000Q90.jpg_.webp")</f>
        <v>https://img.alicdn.com/bao/uploaded/i1/O1CN01NduP8h1KQs8363Bd7_!!4611686018427380279-53-fleamarket.heic_790x10000Q90.jpg_.webp</v>
      </c>
      <c r="G206"/>
      <c r="H206" s="2" t="str">
        <f>=HYPERLINK("https://www.goofish.com/item?spm=a21ybx.search.searchFeedList.3.678761adFZgJN1&amp;id=973719090055&amp;categoryId=201454708", "https://www.goofish.com/item?spm=a21ybx.search.searchFeedList.3.678761adFZgJN1&amp;id=973719090055&amp;categoryId=201454708")</f>
        <v>https://www.goofish.com/item?spm=a21ybx.search.searchFeedList.3.678761adFZgJN1&amp;id=973719090055&amp;categoryId=201454708</v>
      </c>
      <c r="I206">
        <v>973719090055</v>
      </c>
      <c r="J206"/>
      <c r="K206"/>
      <c r="L206"/>
    </row>
    <row r="207" ht="25.5" customHeight="1">
      <c r="A207" t="inlineStr">
        <is>
          <t>【秒发】40+跨境电商AI提示词大全</t>
        </is>
      </c>
      <c r="B207">
        <v>283</v>
      </c>
      <c r="C207" t="inlineStr">
        <is>
          <t>【超级会员V2】通过百度网盘分享的文件：电商提示词
链接:https://pan.baidu.com/s/1obJIr5TAV6RhRI27dD6wwA 
提取码:18qc
复制这段内容打开「百度网盘APP 即可获取」</t>
        </is>
      </c>
      <c r="D207" t="inlineStr">
        <is>
          <t>是</t>
        </is>
      </c>
      <c r="E207" t="inlineStr">
        <is>
          <t>✅40+亚马逊运营AI提示词
✅甩需求给AI自动渲染光影氛围场景
✅5分钟出图高级感拉满产品图到手
✅适用于各AI平台各电商平台
✅亚马逊运营必备日常工具
✅24小时自动发货网盘链接
✅虚拟资料售出不退不换</t>
        </is>
      </c>
      <c r="F207" s="2" t="str">
        <f>=HYPERLINK("https://img.alicdn.com/bao/uploaded/i4/O1CN01YtnBM01aGpJ0jQZzA_!!4611686018427382647-53-fleamarket.heic_790x10000Q90.jpg_.webp", "https://img.alicdn.com/bao/uploaded/i4/O1CN01YtnBM01aGpJ0jQZzA_!!4611686018427382647-53-fleamarket.heic_790x10000Q90.jpg_.webp")</f>
        <v>https://img.alicdn.com/bao/uploaded/i4/O1CN01YtnBM01aGpJ0jQZzA_!!4611686018427382647-53-fleamarket.heic_790x10000Q90.jpg_.webp</v>
      </c>
      <c r="G207"/>
      <c r="H207" s="2" t="str">
        <f>=HYPERLINK("https://www.goofish.com/item?spm=a21ybx.search.searchFeedList.14.678761adFZgJN1&amp;id=990217329914&amp;categoryId=202152829", "https://www.goofish.com/item?spm=a21ybx.search.searchFeedList.14.678761adFZgJN1&amp;id=990217329914&amp;categoryId=202152829")</f>
        <v>https://www.goofish.com/item?spm=a21ybx.search.searchFeedList.14.678761adFZgJN1&amp;id=990217329914&amp;categoryId=202152829</v>
      </c>
      <c r="I207">
        <v>990217329914</v>
      </c>
      <c r="J207"/>
      <c r="K207"/>
      <c r="L207"/>
    </row>
    <row r="208" ht="25.5" customHeight="1">
      <c r="A208" t="inlineStr">
        <is>
          <t>【秒发】今日头条AI指令10W+爆款提示词</t>
        </is>
      </c>
      <c r="B208">
        <v>284</v>
      </c>
      <c r="C208" t="inlineStr">
        <is>
          <t>【腾讯文档】副本-5.0指令集合
https://docs.qq.com/doc/DRFVQcEhpTURpdkhw</t>
        </is>
      </c>
      <c r="D208" t="inlineStr">
        <is>
          <t>是</t>
        </is>
      </c>
      <c r="E208" t="inlineStr">
        <is>
          <t>✅今日头条AI指令生成10W+爆款文章
✅提示词关键词对话自媒体文字创作
✅24小时自动发货秒到账
✅标价就是卖价直接拍
✅虚拟资料售出不退不换</t>
        </is>
      </c>
      <c r="F208" s="2" t="str">
        <f>=HYPERLINK("https://img.alicdn.com/bao/uploaded/i1/O1CN018wEPQg2Gurl2I5keu_!!4611686018427381316-0-fleamarket.jpg_790x10000Q90.jpg_.webp", "https://img.alicdn.com/bao/uploaded/i1/O1CN018wEPQg2Gurl2I5keu_!!4611686018427381316-0-fleamarket.jpg_790x10000Q90.jpg_.webp")</f>
        <v>https://img.alicdn.com/bao/uploaded/i1/O1CN018wEPQg2Gurl2I5keu_!!4611686018427381316-0-fleamarket.jpg_790x10000Q90.jpg_.webp</v>
      </c>
      <c r="G208"/>
      <c r="H208" s="2" t="str">
        <f>=HYPERLINK("https://www.goofish.com/item?spm=a21ybx.search.searchFeedList.25.678761adFZgJN1&amp;id=940243984541&amp;categoryId=202036301", "https://www.goofish.com/item?spm=a21ybx.search.searchFeedList.25.678761adFZgJN1&amp;id=940243984541&amp;categoryId=202036301")</f>
        <v>https://www.goofish.com/item?spm=a21ybx.search.searchFeedList.25.678761adFZgJN1&amp;id=940243984541&amp;categoryId=202036301</v>
      </c>
      <c r="I208">
        <v>940243984541</v>
      </c>
      <c r="J208"/>
      <c r="K208"/>
      <c r="L208"/>
    </row>
    <row r="209" ht="25.5" customHeight="1">
      <c r="A209" t="inlineStr">
        <is>
          <t>【秒发】AI生成IP形象设计通用提示词</t>
        </is>
      </c>
      <c r="B209">
        <v>285</v>
      </c>
      <c r="C209" t="inlineStr">
        <is>
          <t>不好意思! 这个资源丢失了，请等管理员操作~</t>
        </is>
      </c>
      <c r="D209" t="inlineStr">
        <is>
          <t>是</t>
        </is>
      </c>
      <c r="E209" t="inlineStr">
        <is>
          <t>✅IP形象设计表情包设计动作场景服装延展全覆盖
✅通用提示词制作教程PDFWord文档视频教学排版模板全包含
✅从基础到实践内容很全
✅适合做IP形象设计的朋友
✅价格好商量可私聊
✅虚拟资料售出不退不换</t>
        </is>
      </c>
      <c r="F209" s="2" t="str">
        <f>=HYPERLINK("https://img.alicdn.com/bao/uploaded/i4/O1CN016lufYC2EHMMuu21pp_!!4611686018427381775-53-fleamarket.heic_790x10000Q90.jpg_.webp", "https://img.alicdn.com/bao/uploaded/i4/O1CN016lufYC2EHMMuu21pp_!!4611686018427381775-53-fleamarket.heic_790x10000Q90.jpg_.webp")</f>
        <v>https://img.alicdn.com/bao/uploaded/i4/O1CN016lufYC2EHMMuu21pp_!!4611686018427381775-53-fleamarket.heic_790x10000Q90.jpg_.webp</v>
      </c>
      <c r="G209"/>
      <c r="H209" s="2" t="str">
        <f>=HYPERLINK("https://www.goofish.com/item?spm=a21ybx.search.searchFeedList.9.678761adFZgJN1&amp;id=948151507011&amp;categoryId=201454708", "https://www.goofish.com/item?spm=a21ybx.search.searchFeedList.9.678761adFZgJN1&amp;id=948151507011&amp;categoryId=201454708")</f>
        <v>https://www.goofish.com/item?spm=a21ybx.search.searchFeedList.9.678761adFZgJN1&amp;id=948151507011&amp;categoryId=201454708</v>
      </c>
      <c r="I209">
        <v>948151507011</v>
      </c>
      <c r="J209"/>
      <c r="K209"/>
      <c r="L209"/>
    </row>
    <row r="210" ht="25.5" customHeight="1">
      <c r="A210" t="inlineStr">
        <is>
          <t>【秒发】5000+分镜提示词合集影视创作神器</t>
        </is>
      </c>
      <c r="B210">
        <v>287</v>
      </c>
      <c r="C210" t="inlineStr">
        <is>
          <t>不好意思! 这个资源丢失了，请等管理员操作~</t>
        </is>
      </c>
      <c r="D210" t="inlineStr">
        <is>
          <t>是</t>
        </is>
      </c>
      <c r="E210" t="inlineStr">
        <is>
          <t>✅5000+分镜提示词动作人物场景情感科幻全覆盖
✅武侠打斗都市男女未来宇宙复古年代全能适配
✅专业分镜逻辑新手也能轻松掌握
✅短视频影视广告漫画AI绘画多平台适用
✅效率提升10倍赠30个热门分镜模板
✅网盘链接永不失效
✅虚拟商品拍下后不退不换</t>
        </is>
      </c>
      <c r="F210" s="2" t="str">
        <f>=HYPERLINK("https://img.alicdn.com/bao/uploaded/i4/O1CN01ebvQ5f1Tbi3yzWUBg_!!4611686018427382577-0-fleamarket.jpg_790x10000Q90.jpg_.webp", "https://img.alicdn.com/bao/uploaded/i4/O1CN01ebvQ5f1Tbi3yzWUBg_!!4611686018427382577-0-fleamarket.jpg_790x10000Q90.jpg_.webp")</f>
        <v>https://img.alicdn.com/bao/uploaded/i4/O1CN01ebvQ5f1Tbi3yzWUBg_!!4611686018427382577-0-fleamarket.jpg_790x10000Q90.jpg_.webp</v>
      </c>
      <c r="G210"/>
      <c r="H210" s="2" t="str">
        <f>=HYPERLINK("https://www.goofish.com/item?spm=a21ybx.search.searchFeedList.12.678761adFZgJN1&amp;id=1001936572801&amp;categoryId=202036301", "https://www.goofish.com/item?spm=a21ybx.search.searchFeedList.12.678761adFZgJN1&amp;id=1001936572801&amp;categoryId=202036301")</f>
        <v>https://www.goofish.com/item?spm=a21ybx.search.searchFeedList.12.678761adFZgJN1&amp;id=1001936572801&amp;categoryId=202036301</v>
      </c>
      <c r="I210">
        <v>1001936572801</v>
      </c>
      <c r="J210"/>
      <c r="K210"/>
      <c r="L210"/>
    </row>
    <row r="211" ht="25.5" customHeight="1">
      <c r="A211" t="inlineStr">
        <is>
          <t>【秒发】85+豆包提示词合集创作神器</t>
        </is>
      </c>
      <c r="B211">
        <v>288</v>
      </c>
      <c r="C211" t="inlineStr">
        <is>
          <t>不好意思! 这个资源丢失了，请等管理员操作~</t>
        </is>
      </c>
      <c r="D211" t="inlineStr">
        <is>
          <t>是</t>
        </is>
      </c>
      <c r="E211" t="inlineStr">
        <is>
          <t>✅85+实用功能内容创作一站式解决方案
✅15项新媒体核心功能朋友圈软广短视频脚本黄金发布时间
✅职场助手slogan创作面试模拟职业规划
✅学术辅助论文降重AI检测文献总结
✅小红书爆款文案种草内容优化违禁词审查
✅跨平台运营策略微信头条播客多渠道优化
✅内容生产效率提升10倍
✅虚拟商品一经出售不退不换
✅网盘手工发货标价即售价</t>
        </is>
      </c>
      <c r="F211" s="2" t="str">
        <f>=HYPERLINK("https://img.alicdn.com/bao/uploaded/i1/O1CN018ZKb3o22gkvsnrVL1_!!4611686018427385278-0-fleamarket.jpg_790x10000Q90.jpg_.webp", "https://img.alicdn.com/bao/uploaded/i1/O1CN018ZKb3o22gkvsnrVL1_!!4611686018427385278-0-fleamarket.jpg_790x10000Q90.jpg_.webp")</f>
        <v>https://img.alicdn.com/bao/uploaded/i1/O1CN018ZKb3o22gkvsnrVL1_!!4611686018427385278-0-fleamarket.jpg_790x10000Q90.jpg_.webp</v>
      </c>
      <c r="G211"/>
      <c r="H211" s="2" t="str">
        <f>=HYPERLINK("https://www.goofish.com/item?spm=a21ybx.search.searchFeedList.22.678761adFZgJN1&amp;id=936236908510&amp;categoryId=202036301", "https://www.goofish.com/item?spm=a21ybx.search.searchFeedList.22.678761adFZgJN1&amp;id=936236908510&amp;categoryId=202036301")</f>
        <v>https://www.goofish.com/item?spm=a21ybx.search.searchFeedList.22.678761adFZgJN1&amp;id=936236908510&amp;categoryId=202036301</v>
      </c>
      <c r="I211">
        <v>936236908510</v>
      </c>
      <c r="J211"/>
      <c r="K211"/>
      <c r="L211"/>
    </row>
    <row r="212" ht="25.5" customHeight="1">
      <c r="A212" t="inlineStr">
        <is>
          <t>【秒发】高级感工作汇报PPT模版</t>
        </is>
      </c>
      <c r="B212">
        <v>289</v>
      </c>
      <c r="C212" t="inlineStr">
        <is>
          <t>不好意思! 这个资源丢失了，请等管理员操作~</t>
        </is>
      </c>
      <c r="D212" t="inlineStr">
        <is>
          <t>是</t>
        </is>
      </c>
      <c r="E212" t="inlineStr">
        <is>
          <t>✅领导超爱的高级感PPT模版逻辑图数据图
✅排版简洁干净高端大气打工人必备
✅九个模版九种配色每套160页
✅附赠国外高端PPT模版400p常用小图标字体包
✅虚拟资料发货后不退不换
✅仅支持学习交流非商用</t>
        </is>
      </c>
      <c r="F212" s="2" t="str">
        <f>=HYPERLINK("https://img.alicdn.com/bao/uploaded/i2/O1CN01d3mCf01IFlGr7C5OY_!!4611686018427383856-53-fleamarket.heic_790x10000Q90.jpg_.webp", "https://img.alicdn.com/bao/uploaded/i2/O1CN01d3mCf01IFlGr7C5OY_!!4611686018427383856-53-fleamarket.heic_790x10000Q90.jpg_.webp")</f>
        <v>https://img.alicdn.com/bao/uploaded/i2/O1CN01d3mCf01IFlGr7C5OY_!!4611686018427383856-53-fleamarket.heic_790x10000Q90.jpg_.webp</v>
      </c>
      <c r="G212"/>
      <c r="H212" s="2" t="str">
        <f>=HYPERLINK("https://www.goofish.com/item?spm=a21ybx.search.searchFeedList.8.22e26c82OoK8dC&amp;id=948022201397&amp;categoryId=201454708", "https://www.goofish.com/item?spm=a21ybx.search.searchFeedList.8.22e26c82OoK8dC&amp;id=948022201397&amp;categoryId=201454708")</f>
        <v>https://www.goofish.com/item?spm=a21ybx.search.searchFeedList.8.22e26c82OoK8dC&amp;id=948022201397&amp;categoryId=201454708</v>
      </c>
      <c r="I212">
        <v>948022201397</v>
      </c>
      <c r="J212"/>
      <c r="K212"/>
      <c r="L212"/>
    </row>
    <row r="213" ht="25.5" customHeight="1">
      <c r="A213" t="inlineStr">
        <is>
          <t>【秒发】800套工作总结PPT模板</t>
        </is>
      </c>
      <c r="B213">
        <v>290</v>
      </c>
      <c r="C213" t="inlineStr">
        <is>
          <t>不好意思! 这个资源丢失了，请等管理员操作~</t>
        </is>
      </c>
      <c r="D213" t="inlineStr">
        <is>
          <t>是</t>
        </is>
      </c>
      <c r="E213" t="inlineStr">
        <is>
          <t>✅800套工作总结工作汇报PPT模板适用多种行业
✅设计精美多种风格款式可选可编辑修改
✅使用方便直接下单有问题请咨询
✅赠送9999+精选PPT模板内容丰富总有一款适合你</t>
        </is>
      </c>
      <c r="F213" s="2" t="str">
        <f>=HYPERLINK("https://img.alicdn.com/bao/uploaded/i2/O1CN01V0xLI51gdcjEjDXVf_!!4611686018427382149-0-fleamarket.jpg_790x10000Q90.jpg_.webp", "https://img.alicdn.com/bao/uploaded/i2/O1CN01V0xLI51gdcjEjDXVf_!!4611686018427382149-0-fleamarket.jpg_790x10000Q90.jpg_.webp")</f>
        <v>https://img.alicdn.com/bao/uploaded/i2/O1CN01V0xLI51gdcjEjDXVf_!!4611686018427382149-0-fleamarket.jpg_790x10000Q90.jpg_.webp</v>
      </c>
      <c r="G213"/>
      <c r="H213" s="2" t="str">
        <f>=HYPERLINK("https://www.goofish.com/item?spm=a21ybx.search.searchFeedList.3.22e26c82OoK8dC&amp;id=1007527890921&amp;categoryId=201454708", "https://www.goofish.com/item?spm=a21ybx.search.searchFeedList.3.22e26c82OoK8dC&amp;id=1007527890921&amp;categoryId=201454708")</f>
        <v>https://www.goofish.com/item?spm=a21ybx.search.searchFeedList.3.22e26c82OoK8dC&amp;id=1007527890921&amp;categoryId=201454708</v>
      </c>
      <c r="I213">
        <v>1007527890921</v>
      </c>
      <c r="J213"/>
      <c r="K213"/>
      <c r="L213"/>
    </row>
    <row r="214" ht="25.5" customHeight="1">
      <c r="A214" t="inlineStr">
        <is>
          <t>【秒发】999+套PPT模板高级感</t>
        </is>
      </c>
      <c r="B214">
        <v>291</v>
      </c>
      <c r="C214" t="inlineStr">
        <is>
          <t>不好意思! 这个资源丢失了，请等管理员操作~</t>
        </is>
      </c>
      <c r="D214" t="inlineStr">
        <is>
          <t>是</t>
        </is>
      </c>
      <c r="E214" t="inlineStr">
        <is>
          <t>✅999+套高端动态PPT模板平滑切换工作总结汇报答辩
✅莫兰迪风设计感轻奢大理石手绘风极简禁欲文艺旅行
✅纯粹简致国潮风中式古风艺术北欧风ins风欧美风格
✅高级极简日系逻辑架构数据分析山海创意商务国赛金奖
✅赓续前行24小时自动发货适用多场景售后无忧</t>
        </is>
      </c>
      <c r="F214" s="2" t="str">
        <f>=HYPERLINK("https://img.alicdn.com/bao/uploaded/i4/O1CN01gkBCXd1aJ7HygBfvn_!!4611686018427382892-0-fleamarket.jpg_790x10000Q90.jpg_.webp", "https://img.alicdn.com/bao/uploaded/i4/O1CN01gkBCXd1aJ7HygBfvn_!!4611686018427382892-0-fleamarket.jpg_790x10000Q90.jpg_.webp")</f>
        <v>https://img.alicdn.com/bao/uploaded/i4/O1CN01gkBCXd1aJ7HygBfvn_!!4611686018427382892-0-fleamarket.jpg_790x10000Q90.jpg_.webp</v>
      </c>
      <c r="G214"/>
      <c r="H214" s="2" t="str">
        <f>=HYPERLINK("https://www.goofish.com/item?spm=a21ybx.search.searchFeedList.9.22e26c82OoK8dC&amp;id=993810376765&amp;categoryId=201453706", "https://www.goofish.com/item?spm=a21ybx.search.searchFeedList.9.22e26c82OoK8dC&amp;id=993810376765&amp;categoryId=201453706")</f>
        <v>https://www.goofish.com/item?spm=a21ybx.search.searchFeedList.9.22e26c82OoK8dC&amp;id=993810376765&amp;categoryId=201453706</v>
      </c>
      <c r="I214">
        <v>993810376765</v>
      </c>
      <c r="J214"/>
      <c r="K214"/>
      <c r="L214"/>
    </row>
    <row r="215" ht="25.5" customHeight="1">
      <c r="A215" t="inlineStr">
        <is>
          <t>【秒发】极简表格简历模板可编辑</t>
        </is>
      </c>
      <c r="B215">
        <v>292</v>
      </c>
      <c r="C215" t="inlineStr">
        <is>
          <t>不好意思! 这个资源丢失了，请等管理员操作~</t>
        </is>
      </c>
      <c r="D215" t="inlineStr">
        <is>
          <t>是</t>
        </is>
      </c>
      <c r="E215" t="inlineStr">
        <is>
          <t>✅极简表格简历模板编辑空白单页个人求职电子版
✅应届生word简约通用全天自动发货
✅标价就是卖价直接拍下即可</t>
        </is>
      </c>
      <c r="F215" s="2" t="str">
        <f>=HYPERLINK("https://img.alicdn.com/bao/uploaded/i2/O1CN01vaM2oD1ZeLzGWa11C_!!4611686018427383059-53-fleamarket.heic_790x10000Q90.jpg_.webp", "https://img.alicdn.com/bao/uploaded/i2/O1CN01vaM2oD1ZeLzGWa11C_!!4611686018427383059-53-fleamarket.heic_790x10000Q90.jpg_.webp")</f>
        <v>https://img.alicdn.com/bao/uploaded/i2/O1CN01vaM2oD1ZeLzGWa11C_!!4611686018427383059-53-fleamarket.heic_790x10000Q90.jpg_.webp</v>
      </c>
      <c r="G215"/>
      <c r="H215" s="2" t="str">
        <f>=HYPERLINK("https://www.goofish.com/item?spm=a21ybx.search.searchFeedList.16.22e26c82OoK8dC&amp;id=916995505499&amp;categoryId=201453706", "https://www.goofish.com/item?spm=a21ybx.search.searchFeedList.16.22e26c82OoK8dC&amp;id=916995505499&amp;categoryId=201453706")</f>
        <v>https://www.goofish.com/item?spm=a21ybx.search.searchFeedList.16.22e26c82OoK8dC&amp;id=916995505499&amp;categoryId=201453706</v>
      </c>
      <c r="I215">
        <v>916995505499</v>
      </c>
      <c r="J215"/>
      <c r="K215"/>
      <c r="L215"/>
    </row>
    <row r="216" ht="25.5" customHeight="1">
      <c r="A216" t="inlineStr">
        <is>
          <t>【秒发】528套医学医疗PPT模板</t>
        </is>
      </c>
      <c r="B216">
        <v>293</v>
      </c>
      <c r="C216" t="inlineStr">
        <is>
          <t>不好意思! 这个资源丢失了，请等管理员操作~</t>
        </is>
      </c>
      <c r="D216" t="inlineStr">
        <is>
          <t>是</t>
        </is>
      </c>
      <c r="E216" t="inlineStr">
        <is>
          <t>✅528套医学医疗医院医护PPT模板医生护士护理
✅工作汇报工作计划总结全部可编辑带预览图
✅每套模板精挑细选质量高适用于任何场合
✅节省大量时间百度网盘发货</t>
        </is>
      </c>
      <c r="F216" s="2" t="str">
        <f>=HYPERLINK("https://img.alicdn.com/bao/uploaded/i2/O1CN01YjP21J2D7SA7fuQWh_!!4611686018427384274-53-fleamarket.heic_790x10000Q90.jpg_.webp", "https://img.alicdn.com/bao/uploaded/i2/O1CN01YjP21J2D7SA7fuQWh_!!4611686018427384274-53-fleamarket.heic_790x10000Q90.jpg_.webp")</f>
        <v>https://img.alicdn.com/bao/uploaded/i2/O1CN01YjP21J2D7SA7fuQWh_!!4611686018427384274-53-fleamarket.heic_790x10000Q90.jpg_.webp</v>
      </c>
      <c r="G216"/>
      <c r="H216" s="2" t="str">
        <f>=HYPERLINK("https://www.goofish.com/item?spm=a21ybx.search.searchFeedList.9.22e26c82OoK8dC&amp;id=909943137838&amp;categoryId=201454708", "https://www.goofish.com/item?spm=a21ybx.search.searchFeedList.9.22e26c82OoK8dC&amp;id=909943137838&amp;categoryId=201454708")</f>
        <v>https://www.goofish.com/item?spm=a21ybx.search.searchFeedList.9.22e26c82OoK8dC&amp;id=909943137838&amp;categoryId=201454708</v>
      </c>
      <c r="I216">
        <v>909943137838</v>
      </c>
      <c r="J216"/>
      <c r="K216"/>
      <c r="L216"/>
    </row>
    <row r="217" ht="25.5" customHeight="1">
      <c r="A217" t="inlineStr">
        <is>
          <t>【秒发】7套保研面试自我介绍PPT模板</t>
        </is>
      </c>
      <c r="B217">
        <v>294</v>
      </c>
      <c r="C217" t="inlineStr">
        <is>
          <t>不好意思! 这个资源丢失了，请等管理员操作~</t>
        </is>
      </c>
      <c r="D217" t="inlineStr">
        <is>
          <t>是</t>
        </is>
      </c>
      <c r="E217" t="inlineStr">
        <is>
          <t>✅专业学术汇报PPT模板包含学术背景科研经历竞赛获奖学生工作未来规划等多个模块
✅7套不同风格PPT模板每套都经过精心设计
✅内容完整清晰适合保研面试学术汇报等多种场合使用
✅夸克发货永不失效系统自动发货
✅任何情况不要申请退款私信沟通处理
✅虚拟产品拍下即发不退不换
✅所有文件获取自网络公开渠道仅供学习交流版权归版权人所有</t>
        </is>
      </c>
      <c r="F217" s="2" t="str">
        <f>=HYPERLINK("https://img.alicdn.com/bao/uploaded/i4/O1CN01cg15eg2FN90cvHIgv_!!4611686018427387715-0-fleamarket.jpg_790x10000Q90.jpg_.webp", "https://img.alicdn.com/bao/uploaded/i4/O1CN01cg15eg2FN90cvHIgv_!!4611686018427387715-0-fleamarket.jpg_790x10000Q90.jpg_.webp")</f>
        <v>https://img.alicdn.com/bao/uploaded/i4/O1CN01cg15eg2FN90cvHIgv_!!4611686018427387715-0-fleamarket.jpg_790x10000Q90.jpg_.webp</v>
      </c>
      <c r="G217"/>
      <c r="H217" s="2" t="str">
        <f>=HYPERLINK("https://www.goofish.com/item?spm=a21ybx.search.searchFeedList.22.22e26c82OoK8dC&amp;id=981275394398&amp;categoryId=201454708", "https://www.goofish.com/item?spm=a21ybx.search.searchFeedList.22.22e26c82OoK8dC&amp;id=981275394398&amp;categoryId=201454708")</f>
        <v>https://www.goofish.com/item?spm=a21ybx.search.searchFeedList.22.22e26c82OoK8dC&amp;id=981275394398&amp;categoryId=201454708</v>
      </c>
      <c r="I217">
        <v>981275394398</v>
      </c>
      <c r="J217"/>
      <c r="K217"/>
      <c r="L217"/>
    </row>
    <row r="218" ht="25.5" customHeight="1">
      <c r="A218" t="inlineStr">
        <is>
          <t>【秒发】500页创意图文PPT模板</t>
        </is>
      </c>
      <c r="B218">
        <v>295</v>
      </c>
      <c r="C218" t="inlineStr">
        <is>
          <t>不好意思! 这个资源丢失了，请等管理员操作~</t>
        </is>
      </c>
      <c r="D218" t="inlineStr">
        <is>
          <t>是</t>
        </is>
      </c>
      <c r="E218" t="inlineStr">
        <is>
          <t>✅一键换图超实用适合工作汇报项目报告策划方案
✅包含多图排版截图展示人物介绍等多种模板
✅100%可编辑用更少时间做出更高级的图文页面
✅24小时自动发货网盘链接永久有效
✅通过网络渠道合法获得仅作阅读交流无商业目的
✅商品价格是网盘储存费用和人工整理资料费用
✅版权归原作者所有如有侵权请联系删除</t>
        </is>
      </c>
      <c r="F218" s="2" t="str">
        <f>=HYPERLINK("https://img.alicdn.com/bao/uploaded/i1/O1CN01YP4zKm1vRSQfpAWCy_!!4611686018427386441-0-fleamarket.jpg_790x10000Q90.jpg_.webp", "https://img.alicdn.com/bao/uploaded/i1/O1CN01YP4zKm1vRSQfpAWCy_!!4611686018427386441-0-fleamarket.jpg_790x10000Q90.jpg_.webp")</f>
        <v>https://img.alicdn.com/bao/uploaded/i1/O1CN01YP4zKm1vRSQfpAWCy_!!4611686018427386441-0-fleamarket.jpg_790x10000Q90.jpg_.webp</v>
      </c>
      <c r="G218"/>
      <c r="H218" s="2" t="str">
        <f>=HYPERLINK("https://www.goofish.com/item?spm=a21ybx.search.searchFeedList.26.22e26c82OoK8dC&amp;id=991471168227&amp;categoryId=201454708", "https://www.goofish.com/item?spm=a21ybx.search.searchFeedList.26.22e26c82OoK8dC&amp;id=991471168227&amp;categoryId=201454708")</f>
        <v>https://www.goofish.com/item?spm=a21ybx.search.searchFeedList.26.22e26c82OoK8dC&amp;id=991471168227&amp;categoryId=201454708</v>
      </c>
      <c r="I218">
        <v>991471168227</v>
      </c>
      <c r="J218"/>
      <c r="K218"/>
      <c r="L218"/>
    </row>
    <row r="219" ht="25.5" customHeight="1">
      <c r="A219" t="inlineStr">
        <is>
          <t>【秒发】280页高级感年终总结PPT模板</t>
        </is>
      </c>
      <c r="B219">
        <v>296</v>
      </c>
      <c r="C219" t="inlineStr">
        <is>
          <t>不好意思! 这个资源丢失了，请等管理员操作~</t>
        </is>
      </c>
      <c r="D219" t="inlineStr">
        <is>
          <t>是</t>
        </is>
      </c>
      <c r="E219" t="inlineStr">
        <is>
          <t>✅全新升级序言PPT模板提升职业竞争力
✅280页内容模板均可编辑实用又高级
✅包含甘特图时间轴流程图数据图表超多展示
✅支持一键换色所有元素内容都可编辑
✅拿来就可用可编辑修改款绝对超值好用
✅24小时下单秒发支持小刀
✅若素材无法使用或有问题可联系替换或退款
✅因产品有可复制性售出后不退换</t>
        </is>
      </c>
      <c r="F219" s="2" t="str">
        <f>=HYPERLINK("https://img.alicdn.com/bao/uploaded/i2/O1CN01g2Txyb1fODka2Noi1_!!4611686018427383292-0-fleamarket.jpg_790x10000Q90.jpg_.webp", "https://img.alicdn.com/bao/uploaded/i2/O1CN01g2Txyb1fODka2Noi1_!!4611686018427383292-0-fleamarket.jpg_790x10000Q90.jpg_.webp")</f>
        <v>https://img.alicdn.com/bao/uploaded/i2/O1CN01g2Txyb1fODka2Noi1_!!4611686018427383292-0-fleamarket.jpg_790x10000Q90.jpg_.webp</v>
      </c>
      <c r="G219"/>
      <c r="H219" s="2" t="str">
        <f>=HYPERLINK("https://www.goofish.com/item?spm=a21ybx.search.searchFeedList.16.22e26c82mrcEVv&amp;id=950613640671&amp;categoryId=201453706", "https://www.goofish.com/item?spm=a21ybx.search.searchFeedList.16.22e26c82mrcEVv&amp;id=950613640671&amp;categoryId=201453706")</f>
        <v>https://www.goofish.com/item?spm=a21ybx.search.searchFeedList.16.22e26c82mrcEVv&amp;id=950613640671&amp;categoryId=201453706</v>
      </c>
      <c r="I219">
        <v>950613640671</v>
      </c>
      <c r="J219"/>
      <c r="K219"/>
      <c r="L219"/>
    </row>
    <row r="220" ht="25.5" customHeight="1">
      <c r="A220" t="inlineStr">
        <is>
          <t>【秒发】1000页贝恩商赛PPT模板</t>
        </is>
      </c>
      <c r="B220">
        <v>297</v>
      </c>
      <c r="C220" t="inlineStr">
        <is>
          <t>不好意思! 这个资源丢失了，请等管理员操作~</t>
        </is>
      </c>
      <c r="D220" t="inlineStr">
        <is>
          <t>是</t>
        </is>
      </c>
      <c r="E220" t="inlineStr">
        <is>
          <t>✅四色1000页数据贝恩商赛PPT模板可编辑
✅适用工作总结财务分析市场调研日常报告
✅高端双色设计模拟麦肯锡等咨询公司风格
✅24小时内秒发第一时间发货
✅网页端手机端可能有兼容性问题请下载电脑端office和wps查看</t>
        </is>
      </c>
      <c r="F220" s="2" t="str">
        <f>=HYPERLINK("https://img.alicdn.com/bao/uploaded/i4/O1CN01rCLaWD1oMgvEUqrJX_!!4611686018427387179-53-fleamarket.heic_790x10000Q90.jpg_.webp", "https://img.alicdn.com/bao/uploaded/i4/O1CN01rCLaWD1oMgvEUqrJX_!!4611686018427387179-53-fleamarket.heic_790x10000Q90.jpg_.webp")</f>
        <v>https://img.alicdn.com/bao/uploaded/i4/O1CN01rCLaWD1oMgvEUqrJX_!!4611686018427387179-53-fleamarket.heic_790x10000Q90.jpg_.webp</v>
      </c>
      <c r="G220"/>
      <c r="H220" s="2" t="str">
        <f>=HYPERLINK("https://www.goofish.com/item?spm=a21ybx.search.searchFeedList.4.22e26c82mrcEVv&amp;id=867027686359&amp;categoryId=201453706", "https://www.goofish.com/item?spm=a21ybx.search.searchFeedList.4.22e26c82mrcEVv&amp;id=867027686359&amp;categoryId=201453706")</f>
        <v>https://www.goofish.com/item?spm=a21ybx.search.searchFeedList.4.22e26c82mrcEVv&amp;id=867027686359&amp;categoryId=201453706</v>
      </c>
      <c r="I220">
        <v>867027686359</v>
      </c>
      <c r="J220"/>
      <c r="K220"/>
      <c r="L220"/>
    </row>
    <row r="221" ht="25.5" customHeight="1">
      <c r="A221" t="inlineStr">
        <is>
          <t>【秒发】科研学术风PPT答辩模板</t>
        </is>
      </c>
      <c r="B221">
        <v>298</v>
      </c>
      <c r="C221" t="inlineStr">
        <is>
          <t>不好意思! 这个资源丢失了，请等管理员操作~</t>
        </is>
      </c>
      <c r="D221" t="inlineStr">
        <is>
          <t>是</t>
        </is>
      </c>
      <c r="E221" t="inlineStr">
        <is>
          <t>✅项目申报进度验收结题等答辩
✅文献汇报组会论文开题中期毕业答辩
✅专业学术风格提升答辩专业性
✅可bd网盘加邮箱发货方便快捷</t>
        </is>
      </c>
      <c r="F221" s="2" t="str">
        <f>=HYPERLINK("https://img.alicdn.com/bao/uploaded/i3/2656992023/O1CN01xgBv4z1QoaLThEQvy_!!4611686018427386647-0-xy_item.jpg_790x10000Q90.jpg_.webp", "https://img.alicdn.com/bao/uploaded/i3/2656992023/O1CN01xgBv4z1QoaLThEQvy_!!4611686018427386647-0-xy_item.jpg_790x10000Q90.jpg_.webp")</f>
        <v>https://img.alicdn.com/bao/uploaded/i3/2656992023/O1CN01xgBv4z1QoaLThEQvy_!!4611686018427386647-0-xy_item.jpg_790x10000Q90.jpg_.webp</v>
      </c>
      <c r="G221"/>
      <c r="H221" s="2" t="str">
        <f>=HYPERLINK("https://www.goofish.com/item?spm=a21ybx.search.searchFeedList.16.22e26c82OoK8dC&amp;id=987453774950&amp;categoryId=201454708", "https://www.goofish.com/item?spm=a21ybx.search.searchFeedList.16.22e26c82OoK8dC&amp;id=987453774950&amp;categoryId=201454708")</f>
        <v>https://www.goofish.com/item?spm=a21ybx.search.searchFeedList.16.22e26c82OoK8dC&amp;id=987453774950&amp;categoryId=201454708</v>
      </c>
      <c r="I221">
        <v>987453774950</v>
      </c>
      <c r="J221"/>
      <c r="K221"/>
      <c r="L221"/>
    </row>
    <row r="222" ht="25.5" customHeight="1">
      <c r="A222" t="inlineStr">
        <is>
          <t>【秒发】2025年终工作汇报PPT模板</t>
        </is>
      </c>
      <c r="B222">
        <v>299</v>
      </c>
      <c r="C222" t="inlineStr">
        <is>
          <t>【超级会员V2】通过百度网盘分享的文件：年终汇报高级总结…
链接:https://pan.baidu.com/s/1GMzWQcG7hcz5horJCkxQaA 
提取码:77jm
复制这段内容打开「百度网盘APP 即可获取」</t>
        </is>
      </c>
      <c r="D222" t="inlineStr">
        <is>
          <t>是</t>
        </is>
      </c>
      <c r="E222" t="inlineStr">
        <is>
          <t>✅高级蓝色年终总结述职报告工作汇报模板
✅含自我介绍工作成果展示不足与改进学习与成长明年工作计划展望与感谢六部分
✅含时间轴甘特图流程图数据图表超多展示内容
✅适用总结分析工作复盘述职汇报项目方案策划报告
✅职场简约高级商务大气所有元素内容都可编辑修改
✅赠送150页逻辑框架汇报PPT模板七色可选
✅赠送700页逻辑图形图标素材和字体包
✅直接拍即可自动发货百度盘发货
✅售出后不支持退换</t>
        </is>
      </c>
      <c r="F222" s="2" t="str">
        <f>=HYPERLINK("https://img.alicdn.com/bao/uploaded/i1/O1CN01rdWTIn2GRYS67SfXF_!!4611686018427382580-0-fleamarket.jpg_790x10000Q90.jpg_.webp", "https://img.alicdn.com/bao/uploaded/i1/O1CN01rdWTIn2GRYS67SfXF_!!4611686018427382580-0-fleamarket.jpg_790x10000Q90.jpg_.webp")</f>
        <v>https://img.alicdn.com/bao/uploaded/i1/O1CN01rdWTIn2GRYS67SfXF_!!4611686018427382580-0-fleamarket.jpg_790x10000Q90.jpg_.webp</v>
      </c>
      <c r="G222"/>
      <c r="H222" s="2" t="str">
        <f>=HYPERLINK("https://www.goofish.com/item?spm=a21ybx.search.searchFeedList.29.22e26c82OoK8dC&amp;id=996999791825&amp;categoryId=201454708", "https://www.goofish.com/item?spm=a21ybx.search.searchFeedList.29.22e26c82OoK8dC&amp;id=996999791825&amp;categoryId=201454708")</f>
        <v>https://www.goofish.com/item?spm=a21ybx.search.searchFeedList.29.22e26c82OoK8dC&amp;id=996999791825&amp;categoryId=201454708</v>
      </c>
      <c r="I222">
        <v>996999791825</v>
      </c>
      <c r="J222"/>
      <c r="K222"/>
      <c r="L222"/>
    </row>
    <row r="223" ht="25.5" customHeight="1">
      <c r="A223" t="inlineStr">
        <is>
          <t>【秒发】310套室内设计PPT案例模板</t>
        </is>
      </c>
      <c r="B223">
        <v>300</v>
      </c>
      <c r="C223" t="inlineStr">
        <is>
          <t>不好意思! 这个资源丢失了，请等管理员操作~</t>
        </is>
      </c>
      <c r="D223" t="inlineStr">
        <is>
          <t>是</t>
        </is>
      </c>
      <c r="E223" t="inlineStr">
        <is>
          <t>✅310套室内设计成品PPT案例平面方案效果分析
✅8G容量可编辑修改网盘下载拍下立发
✅全面覆盖从平面方案到效果分析一应俱全
✅高效使用可编辑修改减少排版时间提升工作效率
✅适用广泛适合装修公司设计师学生等多种场景
✅室内设计师方案汇报与客户展示
✅装修公司提升方案展示效果
✅学生学习设计思路与排版技巧
✅拍下后立即发送网盘链接电子资料不退不换</t>
        </is>
      </c>
      <c r="F223" s="2" t="str">
        <f>=HYPERLINK("https://img.alicdn.com/bao/uploaded/i2/O1CN01wzsSMt1tYfMz5I8aI_!!4611686018427385882-53-fleamarket.heic_790x10000Q90.jpg_.webp", "https://img.alicdn.com/bao/uploaded/i2/O1CN01wzsSMt1tYfMz5I8aI_!!4611686018427385882-53-fleamarket.heic_790x10000Q90.jpg_.webp")</f>
        <v>https://img.alicdn.com/bao/uploaded/i2/O1CN01wzsSMt1tYfMz5I8aI_!!4611686018427385882-53-fleamarket.heic_790x10000Q90.jpg_.webp</v>
      </c>
      <c r="G223"/>
      <c r="H223" s="2" t="str">
        <f>=HYPERLINK("https://www.goofish.com/item?spm=a21ybx.search.searchFeedList.17.22e26c82mrcEVv&amp;id=958950531832&amp;categoryId=201454708", "https://www.goofish.com/item?spm=a21ybx.search.searchFeedList.17.22e26c82mrcEVv&amp;id=958950531832&amp;categoryId=201454708")</f>
        <v>https://www.goofish.com/item?spm=a21ybx.search.searchFeedList.17.22e26c82mrcEVv&amp;id=958950531832&amp;categoryId=201454708</v>
      </c>
      <c r="I223">
        <v>958950531832</v>
      </c>
      <c r="J223"/>
      <c r="K223"/>
      <c r="L223"/>
    </row>
    <row r="224" ht="25.5" customHeight="1">
      <c r="A224" t="inlineStr">
        <is>
          <t>【秒发】工作汇报PPT模板100多页</t>
        </is>
      </c>
      <c r="B224">
        <v>301</v>
      </c>
      <c r="C224" t="inlineStr">
        <is>
          <t>不好意思! 这个资源丢失了，请等管理员操作~</t>
        </is>
      </c>
      <c r="D224" t="inlineStr">
        <is>
          <t>是</t>
        </is>
      </c>
      <c r="E224" t="inlineStr">
        <is>
          <t>✅内容丰富适合年终总结述职项目复盘
✅包含年度工作回顾核心工作完成情况亮点经验分享下阶段执行计划未来规划展望
✅数据图表流程图甘特图都有配色清晰逻辑分明
✅一套7个颜色100多页直接套用省时省力
✅附带赠品素材拍下自动发网盘链接
✅支持电脑office和wps打开需要修改内容可以自己调整
✅虚拟商品售出不退不换</t>
        </is>
      </c>
      <c r="F224" s="2" t="str">
        <f>=HYPERLINK("https://img.alicdn.com/bao/uploaded/i1/1020430149/O1CN01sPaHAl1CyI7eQ7t4A_!!4611686018427381573-0-xy_item.jpg_790x10000Q90.jpg_.webp", "https://img.alicdn.com/bao/uploaded/i1/1020430149/O1CN01sPaHAl1CyI7eQ7t4A_!!4611686018427381573-0-xy_item.jpg_790x10000Q90.jpg_.webp")</f>
        <v>https://img.alicdn.com/bao/uploaded/i1/1020430149/O1CN01sPaHAl1CyI7eQ7t4A_!!4611686018427381573-0-xy_item.jpg_790x10000Q90.jpg_.webp</v>
      </c>
      <c r="G224"/>
      <c r="H224" s="2" t="str">
        <f>=HYPERLINK("https://www.goofish.com/item?spm=a21ybx.search.searchFeedList.16.22e26c82OoK8dC&amp;id=999232886320&amp;categoryId=201454708", "https://www.goofish.com/item?spm=a21ybx.search.searchFeedList.16.22e26c82OoK8dC&amp;id=999232886320&amp;categoryId=201454708")</f>
        <v>https://www.goofish.com/item?spm=a21ybx.search.searchFeedList.16.22e26c82OoK8dC&amp;id=999232886320&amp;categoryId=201454708</v>
      </c>
      <c r="I224">
        <v>999232886320</v>
      </c>
      <c r="J224"/>
      <c r="K224"/>
      <c r="L224"/>
    </row>
    <row r="225" ht="25.5" customHeight="1">
      <c r="A225" t="inlineStr">
        <is>
          <t>【秒发】70页多层逻辑框架图PPT模板</t>
        </is>
      </c>
      <c r="B225">
        <v>302</v>
      </c>
      <c r="C225" t="inlineStr">
        <is>
          <t>【超级会员V2】通过百度网盘分享的文件：224-C41蓝…
链接:https://pan.baidu.com/s/1z3lyL0Nkdq0-zsfuMyh5Bw 
提取码:48t3
复制这段内容打开「百度网盘APP 即可获取」</t>
        </is>
      </c>
      <c r="D225" t="inlineStr">
        <is>
          <t>是</t>
        </is>
      </c>
      <c r="E225" t="inlineStr">
        <is>
          <t>✅70页超强万能多层逻辑框架图PPT模板
✅商业战略模型黄金曲线模型SWOT模型冰山模型鱼骨图应有尽有
✅适合工作总结财务分析市场调研等各种场景
✅内容可编辑一键替换提升工作效率
✅24小时自动发货网盘链接永久有效
✅拍下即发百度网盘链接永不失效
✅建议使用电脑端office和wps打开
✅所有文件获取自网络公开渠道仅供学习交流
✅如版权方认为侵犯请及时联系删除
✅虚拟商品不退不换有问题随时私聊</t>
        </is>
      </c>
      <c r="F225" s="2" t="str">
        <f>=HYPERLINK("https://img.alicdn.com/bao/uploaded/i1/O1CN01IsjPz81svHNrbXQi0_!!4611686018427381684-0-fleamarket.jpg_790x10000Q90.jpg_.webp", "https://img.alicdn.com/bao/uploaded/i1/O1CN01IsjPz81svHNrbXQi0_!!4611686018427381684-0-fleamarket.jpg_790x10000Q90.jpg_.webp")</f>
        <v>https://img.alicdn.com/bao/uploaded/i1/O1CN01IsjPz81svHNrbXQi0_!!4611686018427381684-0-fleamarket.jpg_790x10000Q90.jpg_.webp</v>
      </c>
      <c r="G225"/>
      <c r="H225" s="2" t="str">
        <f>=HYPERLINK("https://www.goofish.com/item?spm=a21ybx.search.searchFeedList.25.22e26c82OoK8dC&amp;id=974169679080&amp;categoryId=201454708", "https://www.goofish.com/item?spm=a21ybx.search.searchFeedList.25.22e26c82OoK8dC&amp;id=974169679080&amp;categoryId=201454708")</f>
        <v>https://www.goofish.com/item?spm=a21ybx.search.searchFeedList.25.22e26c82OoK8dC&amp;id=974169679080&amp;categoryId=201454708</v>
      </c>
      <c r="I225">
        <v>974169679080</v>
      </c>
      <c r="J225"/>
      <c r="K225"/>
      <c r="L225"/>
    </row>
    <row r="226" ht="25.5" customHeight="1">
      <c r="A226" t="inlineStr">
        <is>
          <t>【秒发】300页高端数据可视化PPT模板</t>
        </is>
      </c>
      <c r="B226">
        <v>303</v>
      </c>
      <c r="C226" t="inlineStr">
        <is>
          <t>不好意思! 这个资源丢失了，请等管理员操作~</t>
        </is>
      </c>
      <c r="D226" t="inlineStr">
        <is>
          <t>是</t>
        </is>
      </c>
      <c r="E226" t="inlineStr">
        <is>
          <t>✅高端动态数据图表PPT模板数据分析可编辑
✅300页多个颜色体系使用方便
✅自动发货拍下秒发直接下单就可以</t>
        </is>
      </c>
      <c r="F226" s="2" t="str">
        <f>=HYPERLINK("https://img.alicdn.com/bao/uploaded/i2/O1CN01nhhQig2KRmybPnup5_!!53-fleamarket.heic_790x10000Q90.jpg_.webp", "https://img.alicdn.com/bao/uploaded/i2/O1CN01nhhQig2KRmybPnup5_!!53-fleamarket.heic_790x10000Q90.jpg_.webp")</f>
        <v>https://img.alicdn.com/bao/uploaded/i2/O1CN01nhhQig2KRmybPnup5_!!53-fleamarket.heic_790x10000Q90.jpg_.webp</v>
      </c>
      <c r="G226"/>
      <c r="H226" s="2" t="str">
        <f>=HYPERLINK("https://www.goofish.com/item?spm=a21ybx.search.searchFeedList.19.22e26c82mrcEVv&amp;id=805685694484&amp;categoryId=201454708", "https://www.goofish.com/item?spm=a21ybx.search.searchFeedList.19.22e26c82mrcEVv&amp;id=805685694484&amp;categoryId=201454708")</f>
        <v>https://www.goofish.com/item?spm=a21ybx.search.searchFeedList.19.22e26c82mrcEVv&amp;id=805685694484&amp;categoryId=201454708</v>
      </c>
      <c r="I226">
        <v>805685694484</v>
      </c>
      <c r="J226"/>
      <c r="K226"/>
      <c r="L226"/>
    </row>
    <row r="227" ht="25.5" customHeight="1">
      <c r="A227" t="inlineStr">
        <is>
          <t>【秒发】甘特图工作计划高级感PPT模板</t>
        </is>
      </c>
      <c r="B227">
        <v>304</v>
      </c>
      <c r="C227" t="inlineStr">
        <is>
          <t>不好意思! 这个资源丢失了，请等管理员操作~</t>
        </is>
      </c>
      <c r="D227" t="inlineStr">
        <is>
          <t>是</t>
        </is>
      </c>
      <c r="E227" t="inlineStr">
        <is>
          <t>✅甘特图工作计划总结高级感述职报告模板
✅简约商务风格各行业场景通用
✅拿来就可用可编辑修改省时省力
✅让你报告做得漂亮出色绝对超值好用
✅支持快速发货网盘链接售出不退
✅不要申请退款私信沟通处理
✅所有文件获取自网络公开渠道仅供学习交流
✅版权归版权人所有如侵权请联系删除
✅虚拟资料一经发送不退换</t>
        </is>
      </c>
      <c r="F227" s="2" t="str">
        <f>=HYPERLINK("https://img.alicdn.com/bao/uploaded/i1/O1CN01UB9Gxv1xxB6DJe7dl_!!4611686018427380061-0-fleamarket.jpg_790x10000Q90.jpg_.webp", "https://img.alicdn.com/bao/uploaded/i1/O1CN01UB9Gxv1xxB6DJe7dl_!!4611686018427380061-0-fleamarket.jpg_790x10000Q90.jpg_.webp")</f>
        <v>https://img.alicdn.com/bao/uploaded/i1/O1CN01UB9Gxv1xxB6DJe7dl_!!4611686018427380061-0-fleamarket.jpg_790x10000Q90.jpg_.webp</v>
      </c>
      <c r="G227"/>
      <c r="H227" s="2" t="str">
        <f>=HYPERLINK("https://www.goofish.com/item?spm=a21ybx.search.searchFeedList.5.22e26c82mrcEVv&amp;id=998427771714&amp;categoryId=201453706", "https://www.goofish.com/item?spm=a21ybx.search.searchFeedList.5.22e26c82mrcEVv&amp;id=998427771714&amp;categoryId=201453706")</f>
        <v>https://www.goofish.com/item?spm=a21ybx.search.searchFeedList.5.22e26c82mrcEVv&amp;id=998427771714&amp;categoryId=201453706</v>
      </c>
      <c r="I227">
        <v>998427771714</v>
      </c>
      <c r="J227"/>
      <c r="K227"/>
      <c r="L227"/>
    </row>
    <row r="228" ht="25.5" customHeight="1">
      <c r="A228" t="inlineStr">
        <is>
          <t>【秒发】999套高级PPT模板精选合集</t>
        </is>
      </c>
      <c r="B228">
        <v>305</v>
      </c>
      <c r="C228" t="inlineStr">
        <is>
          <t>不好意思! 这个资源丢失了，请等管理员操作~</t>
        </is>
      </c>
      <c r="D228" t="inlineStr">
        <is>
          <t>是</t>
        </is>
      </c>
      <c r="E228" t="inlineStr">
        <is>
          <t>✅精选999套高端PPT模板多种风格
✅莫兰迪风设计感轻奢大理石手绘风极简禁欲
✅文艺旅行纯粹简致国潮风中国风北欧风
✅ins风欧美风格高级极简日系
✅赠送山海大气工作总结ppt模板
✅每款精选质量高适用于任何场合
✅工作总结工作汇报数据分析市场调研答辩授课竞赛
✅随时可拍随时秒发货网盘发货</t>
        </is>
      </c>
      <c r="F228" s="2" t="str">
        <f>=HYPERLINK("https://img.alicdn.com/bao/uploaded/i2/O1CN018btYaq1gSAmdxDsm1_!!4611686018427384892-53-fleamarket.heic_790x10000Q90.jpg_.webp", "https://img.alicdn.com/bao/uploaded/i2/O1CN018btYaq1gSAmdxDsm1_!!4611686018427384892-53-fleamarket.heic_790x10000Q90.jpg_.webp")</f>
        <v>https://img.alicdn.com/bao/uploaded/i2/O1CN018btYaq1gSAmdxDsm1_!!4611686018427384892-53-fleamarket.heic_790x10000Q90.jpg_.webp</v>
      </c>
      <c r="G228"/>
      <c r="H228" s="2" t="str">
        <f>=HYPERLINK("https://www.goofish.com/item?spm=a21ybx.search.searchFeedList.5.22e26c82OoK8dC&amp;id=949613937306&amp;categoryId=201454708", "https://www.goofish.com/item?spm=a21ybx.search.searchFeedList.5.22e26c82OoK8dC&amp;id=949613937306&amp;categoryId=201454708")</f>
        <v>https://www.goofish.com/item?spm=a21ybx.search.searchFeedList.5.22e26c82OoK8dC&amp;id=949613937306&amp;categoryId=201454708</v>
      </c>
      <c r="I228">
        <v>949613937306</v>
      </c>
      <c r="J228"/>
      <c r="K228"/>
      <c r="L228"/>
    </row>
    <row r="229" ht="25.5" customHeight="1">
      <c r="A229" t="inlineStr">
        <is>
          <t>【秒发】辅导员述职报告PPT模板21页</t>
        </is>
      </c>
      <c r="B229">
        <v>306</v>
      </c>
      <c r="C229" t="inlineStr">
        <is>
          <t>不好意思! 这个资源丢失了，请等管理员操作~</t>
        </is>
      </c>
      <c r="D229" t="inlineStr">
        <is>
          <t>是</t>
        </is>
      </c>
      <c r="E229" t="inlineStr">
        <is>
          <t>✅21页完整版高端大气红色风格适合辅导员述职汇报
✅心灵之光智慧之泉职业之桥文化之韵未来之梦五大板块
✅图文并茂思政融通模式主题教育活动学术成绩提升
✅可直接套用节省时间拍下即发
✅24小时自动发货网盘链接永久有效
✅所有文件获取自网络公开渠道仅供学习交流
✅如版权方认为侵犯版权请及时联系删除
✅虚拟商品不退不换有问题随时私聊处理</t>
        </is>
      </c>
      <c r="F229" s="2" t="str">
        <f>=HYPERLINK("https://img.alicdn.com/bao/uploaded/i1/2219791650864/O1CN013uenTs1IFlJTJ5OWG_!!4611686018427383856-53-xy_item.heic_790x10000Q90.jpg_.webp", "https://img.alicdn.com/bao/uploaded/i1/2219791650864/O1CN013uenTs1IFlJTJ5OWG_!!4611686018427383856-53-xy_item.heic_790x10000Q90.jpg_.webp")</f>
        <v>https://img.alicdn.com/bao/uploaded/i1/2219791650864/O1CN013uenTs1IFlJTJ5OWG_!!4611686018427383856-53-xy_item.heic_790x10000Q90.jpg_.webp</v>
      </c>
      <c r="G229"/>
      <c r="H229" s="2" t="str">
        <f>=HYPERLINK("https://www.goofish.com/item?spm=a21ybx.search.searchFeedList.2.22e26c82OoK8dC&amp;id=1006069144234&amp;categoryId=201454708", "https://www.goofish.com/item?spm=a21ybx.search.searchFeedList.2.22e26c82OoK8dC&amp;id=1006069144234&amp;categoryId=201454708")</f>
        <v>https://www.goofish.com/item?spm=a21ybx.search.searchFeedList.2.22e26c82OoK8dC&amp;id=1006069144234&amp;categoryId=201454708</v>
      </c>
      <c r="I229">
        <v>1006069144234</v>
      </c>
      <c r="J229"/>
      <c r="K229"/>
      <c r="L229"/>
    </row>
    <row r="230" ht="25.5" customHeight="1">
      <c r="A230" t="inlineStr">
        <is>
          <t>【秒发】150+款PPT箭头模板6色</t>
        </is>
      </c>
      <c r="B230">
        <v>307</v>
      </c>
      <c r="C230" t="inlineStr">
        <is>
          <t>不好意思! 这个资源丢失了，请等管理员操作~</t>
        </is>
      </c>
      <c r="D230" t="inlineStr">
        <is>
          <t>是</t>
        </is>
      </c>
      <c r="E230" t="inlineStr">
        <is>
          <t>✅150+款PPT箭头模板6种配色科技风素材
✅提升PPT专业性和视觉效果
✅适用于工作汇报、流程展示、数据对比等多个场景
✅24小时自动发货系统秒发
✅标价就是售价拍下即得</t>
        </is>
      </c>
      <c r="F230" s="2" t="str">
        <f>=HYPERLINK("https://img.alicdn.com/bao/uploaded/i3/O1CN01odgKUR1tVSbLZKHF9_!!4611686018427380947-0-fleamarket.jpg_790x10000Q90.jpg_.webp", "https://img.alicdn.com/bao/uploaded/i3/O1CN01odgKUR1tVSbLZKHF9_!!4611686018427380947-0-fleamarket.jpg_790x10000Q90.jpg_.webp")</f>
        <v>https://img.alicdn.com/bao/uploaded/i3/O1CN01odgKUR1tVSbLZKHF9_!!4611686018427380947-0-fleamarket.jpg_790x10000Q90.jpg_.webp</v>
      </c>
      <c r="G230"/>
      <c r="H230" s="2" t="str">
        <f>=HYPERLINK("https://www.goofish.com/item?spm=a21ybx.search.searchFeedList.17.22e26c82OoK8dC&amp;id=900062384440&amp;categoryId=201454708", "https://www.goofish.com/item?spm=a21ybx.search.searchFeedList.17.22e26c82OoK8dC&amp;id=900062384440&amp;categoryId=201454708")</f>
        <v>https://www.goofish.com/item?spm=a21ybx.search.searchFeedList.17.22e26c82OoK8dC&amp;id=900062384440&amp;categoryId=201454708</v>
      </c>
      <c r="I230">
        <v>900062384440</v>
      </c>
      <c r="J230"/>
      <c r="K230"/>
      <c r="L230"/>
    </row>
    <row r="231" ht="25.5" customHeight="1">
      <c r="A231" t="inlineStr">
        <is>
          <t>【秒发】399套竞赛PPT国赛模板</t>
        </is>
      </c>
      <c r="B231">
        <v>308</v>
      </c>
      <c r="C231" t="inlineStr">
        <is>
          <t>不好意思! 这个资源丢失了，请等管理员操作~</t>
        </is>
      </c>
      <c r="D231" t="inlineStr">
        <is>
          <t>是</t>
        </is>
      </c>
      <c r="E231" t="inlineStr">
        <is>
          <t>✅最新399套竞赛PPT国赛模板互联网+大学生创新创业大赛挑战杯创赛
✅各色系PPT案例高端模板国金水平可编辑源文件
✅赠送500+套互联网＋大创挑战杯往届获奖作品资料参考
✅赠送10000套大学生创新创业计划书word成品商业策划书
✅赠送100个专业大学生职业生涯规划书Word范文PPT
✅拍下后网盘发货24小时自动发货
✅包更新包售后放心用
✅自动更新系统以后项目课程软件不花钱</t>
        </is>
      </c>
      <c r="F231" s="2" t="str">
        <f>=HYPERLINK("https://img.alicdn.com/bao/uploaded/i4/O1CN012kihMW23JgcGDNqtG_!!4611686018427383219-0-fleamarket.jpg_790x10000Q90.jpg_.webp", "https://img.alicdn.com/bao/uploaded/i4/O1CN012kihMW23JgcGDNqtG_!!4611686018427383219-0-fleamarket.jpg_790x10000Q90.jpg_.webp")</f>
        <v>https://img.alicdn.com/bao/uploaded/i4/O1CN012kihMW23JgcGDNqtG_!!4611686018427383219-0-fleamarket.jpg_790x10000Q90.jpg_.webp</v>
      </c>
      <c r="G231"/>
      <c r="H231" s="2" t="str">
        <f>=HYPERLINK("https://www.goofish.com/item?spm=a21ybx.search.searchFeedList.26.22e26c82OoK8dC&amp;id=960857791745&amp;categoryId=201454708", "https://www.goofish.com/item?spm=a21ybx.search.searchFeedList.26.22e26c82OoK8dC&amp;id=960857791745&amp;categoryId=201454708")</f>
        <v>https://www.goofish.com/item?spm=a21ybx.search.searchFeedList.26.22e26c82OoK8dC&amp;id=960857791745&amp;categoryId=201454708</v>
      </c>
      <c r="I231">
        <v>960857791745</v>
      </c>
      <c r="J231"/>
      <c r="K231"/>
      <c r="L231"/>
    </row>
    <row r="232" ht="25.5" customHeight="1">
      <c r="A232" t="inlineStr">
        <is>
          <t>【秒发】600+少儿创意美术PPT课件</t>
        </is>
      </c>
      <c r="B232">
        <v>309</v>
      </c>
      <c r="C232" t="inlineStr">
        <is>
          <t>不好意思! 这个资源丢失了，请等管理员操作~</t>
        </is>
      </c>
      <c r="D232" t="inlineStr">
        <is>
          <t>是</t>
        </is>
      </c>
      <c r="E232" t="inlineStr">
        <is>
          <t>✅600+个少儿创意美术PPT适合3-16岁中小学大班
✅含步骤和范画油画棒卡通马克笔水粉剪贴超轻黏土
✅适用美术社团线上自学兴趣班
✅图片精美范画详尽省心省力
✅购买后发网盘链接永久有效售出不退
✅有任何问题欢迎私聊沟通
✅所有资源来自网络公开渠道仅供学习交流
✅版权归原作者侵权必删</t>
        </is>
      </c>
      <c r="F232" s="2" t="str">
        <f>=HYPERLINK("https://img.alicdn.com/bao/uploaded/i2/O1CN01WORwfL1IGg60JbEgj_!!4611686018427384530-0-fleamarket.jpg_790x10000Q90.jpg_.webp", "https://img.alicdn.com/bao/uploaded/i2/O1CN01WORwfL1IGg60JbEgj_!!4611686018427384530-0-fleamarket.jpg_790x10000Q90.jpg_.webp")</f>
        <v>https://img.alicdn.com/bao/uploaded/i2/O1CN01WORwfL1IGg60JbEgj_!!4611686018427384530-0-fleamarket.jpg_790x10000Q90.jpg_.webp</v>
      </c>
      <c r="G232"/>
      <c r="H232" s="2" t="str">
        <f>=HYPERLINK("https://www.goofish.com/item?spm=a21ybx.search.searchFeedList.12.22e26c82mrcEVv&amp;id=991875282067&amp;categoryId=201454708", "https://www.goofish.com/item?spm=a21ybx.search.searchFeedList.12.22e26c82mrcEVv&amp;id=991875282067&amp;categoryId=201454708")</f>
        <v>https://www.goofish.com/item?spm=a21ybx.search.searchFeedList.12.22e26c82mrcEVv&amp;id=991875282067&amp;categoryId=201454708</v>
      </c>
      <c r="I232">
        <v>991875282067</v>
      </c>
      <c r="J232"/>
      <c r="K232"/>
      <c r="L232"/>
    </row>
    <row r="233" ht="25.5" customHeight="1">
      <c r="A233" t="inlineStr">
        <is>
          <t>【秒发】结构化PPT模板6色全覆盖</t>
        </is>
      </c>
      <c r="B233">
        <v>310</v>
      </c>
      <c r="C233" t="inlineStr">
        <is>
          <t>不好意思! 这个资源丢失了，请等管理员操作~</t>
        </is>
      </c>
      <c r="D233" t="inlineStr">
        <is>
          <t>是</t>
        </is>
      </c>
      <c r="E233" t="inlineStr">
        <is>
          <t>✅6种配色结构化PPT模板直接套用
✅述职汇报工作汇报实习答辩财务分析市场调研数据分析
✅丰富可编辑数据可视化图表逻辑清晰
✅热门博主同款模板省时省力
✅拍下自动秒发百度网盘链接
✅内容可编辑不退不换</t>
        </is>
      </c>
      <c r="F233" s="2" t="str">
        <f>=HYPERLINK("https://img.alicdn.com/bao/uploaded/i4/20947118/O1CN016IMjBF22S6JHbZrQs_!!4611686018427379886-0-xy_item.jpg_790x10000Q90.jpg_.webp", "https://img.alicdn.com/bao/uploaded/i4/20947118/O1CN016IMjBF22S6JHbZrQs_!!4611686018427379886-0-xy_item.jpg_790x10000Q90.jpg_.webp")</f>
        <v>https://img.alicdn.com/bao/uploaded/i4/20947118/O1CN016IMjBF22S6JHbZrQs_!!4611686018427379886-0-xy_item.jpg_790x10000Q90.jpg_.webp</v>
      </c>
      <c r="G233"/>
      <c r="H233" s="2" t="str">
        <f>=HYPERLINK("https://www.goofish.com/item?spm=a21ybx.search.searchFeedList.25.22e26c82mrcEVv&amp;id=1006652254466&amp;categoryId=201454708", "https://www.goofish.com/item?spm=a21ybx.search.searchFeedList.25.22e26c82mrcEVv&amp;id=1006652254466&amp;categoryId=201454708")</f>
        <v>https://www.goofish.com/item?spm=a21ybx.search.searchFeedList.25.22e26c82mrcEVv&amp;id=1006652254466&amp;categoryId=201454708</v>
      </c>
      <c r="I233">
        <v>1006652254466</v>
      </c>
      <c r="J233"/>
      <c r="K233"/>
      <c r="L233"/>
    </row>
    <row r="234" ht="25.5" customHeight="1">
      <c r="A234" t="inlineStr">
        <is>
          <t>【秒发】2025拼音PPT课件动画视频练习</t>
        </is>
      </c>
      <c r="B234">
        <v>311</v>
      </c>
      <c r="C234" t="inlineStr">
        <is>
          <t>不好意思! 这个资源丢失了，请等管理员操作~</t>
        </is>
      </c>
      <c r="D234" t="inlineStr">
        <is>
          <t>是</t>
        </is>
      </c>
      <c r="E234" t="inlineStr">
        <is>
          <t>✅2025全新整理拼音学习资料包含视频动漫游戏练习PPT等
✅幼小衔接电子版全套资料可打印
✅从零开始帮助小朋友轻松掌握拼音基础
✅适合幼儿园小学阶段使用
✅精心整理全面覆盖拼音全部知识点
✅只要用心坚持孩子兴趣盎然事半功倍
✅电子版资料售出不退
✅有问题请在客服聊天窗口留言第一时间回复</t>
        </is>
      </c>
      <c r="F234" s="2" t="str">
        <f>=HYPERLINK("https://img.alicdn.com/bao/uploaded/i1/O1CN01Fj9Fdg1IFlJJFM048_!!4611686018427383856-53-fleamarket.heic_790x10000Q90.jpg_.webp", "https://img.alicdn.com/bao/uploaded/i1/O1CN01Fj9Fdg1IFlJJFM048_!!4611686018427383856-53-fleamarket.heic_790x10000Q90.jpg_.webp")</f>
        <v>https://img.alicdn.com/bao/uploaded/i1/O1CN01Fj9Fdg1IFlJJFM048_!!4611686018427383856-53-fleamarket.heic_790x10000Q90.jpg_.webp</v>
      </c>
      <c r="G234"/>
      <c r="H234" s="2" t="str">
        <f>=HYPERLINK("https://www.goofish.com/item?spm=a21ybx.search.searchFeedList.3.22e26c82mrcEVv&amp;id=1001203797915&amp;categoryId=201454708", "https://www.goofish.com/item?spm=a21ybx.search.searchFeedList.3.22e26c82mrcEVv&amp;id=1001203797915&amp;categoryId=201454708")</f>
        <v>https://www.goofish.com/item?spm=a21ybx.search.searchFeedList.3.22e26c82mrcEVv&amp;id=1001203797915&amp;categoryId=201454708</v>
      </c>
      <c r="I234">
        <v>1001203797915</v>
      </c>
      <c r="J234"/>
      <c r="K234"/>
      <c r="L234"/>
    </row>
    <row r="235" ht="25.5" customHeight="1">
      <c r="A235" t="inlineStr">
        <is>
          <t>【秒发】200+套国外高端Keynote模板</t>
        </is>
      </c>
      <c r="B235">
        <v>312</v>
      </c>
      <c r="C235" t="inlineStr">
        <is>
          <t>不好意思! 这个资源丢失了，请等管理员操作~</t>
        </is>
      </c>
      <c r="D235" t="inlineStr">
        <is>
          <t>是</t>
        </is>
      </c>
      <c r="E235" t="inlineStr">
        <is>
          <t>✅200+套国外高端商务简约Keynote模板
✅项目汇报工作总结方案策划全覆盖
✅释放双手专注工作提升效率
✅百度网盘发货自动秒发
✅所有文件获取自网络公开渠道仅供学习交流
✅虚拟商品不退不换</t>
        </is>
      </c>
      <c r="F235" s="2" t="str">
        <f>=HYPERLINK("https://img.alicdn.com/bao/uploaded/i1/O1CN01pDlr6526xTez1YedZ_!!53-fleamarket.heic_790x10000Q90.jpg_.webp", "https://img.alicdn.com/bao/uploaded/i1/O1CN01pDlr6526xTez1YedZ_!!53-fleamarket.heic_790x10000Q90.jpg_.webp")</f>
        <v>https://img.alicdn.com/bao/uploaded/i1/O1CN01pDlr6526xTez1YedZ_!!53-fleamarket.heic_790x10000Q90.jpg_.webp</v>
      </c>
      <c r="G235"/>
      <c r="H235" s="2" t="str">
        <f>=HYPERLINK("https://www.goofish.com/item?spm=a21ybx.search.searchFeedList.22.22e26c82mrcEVv&amp;id=679986333904&amp;categoryId=201453706", "https://www.goofish.com/item?spm=a21ybx.search.searchFeedList.22.22e26c82mrcEVv&amp;id=679986333904&amp;categoryId=201453706")</f>
        <v>https://www.goofish.com/item?spm=a21ybx.search.searchFeedList.22.22e26c82mrcEVv&amp;id=679986333904&amp;categoryId=201453706</v>
      </c>
      <c r="I235">
        <v>679986333904</v>
      </c>
      <c r="J235"/>
      <c r="K235"/>
      <c r="L235"/>
    </row>
    <row r="236" ht="25.5" customHeight="1">
      <c r="A236" t="inlineStr">
        <is>
          <t>【秒发】1440页高级感PPT模板9色</t>
        </is>
      </c>
      <c r="B236">
        <v>313</v>
      </c>
      <c r="C236" t="inlineStr">
        <is>
          <t>不好意思! 这个资源丢失了，请等管理员操作~</t>
        </is>
      </c>
      <c r="D236" t="inlineStr">
        <is>
          <t>是</t>
        </is>
      </c>
      <c r="E236" t="inlineStr">
        <is>
          <t>✅9色1440页高级感PPT模板商务风配色多内容全
✅甘特图流程图数据分析SWOT鱼骨图都有
✅适合做报告汇报总结PPTX格式支持自定义
✅内容可编辑网盘秒发买了直接用省事
✅喜欢直接拍细节私聊价格可聊
✅电子产品售出不退</t>
        </is>
      </c>
      <c r="F236" s="2" t="str">
        <f>=HYPERLINK("https://img.alicdn.com/bao/uploaded/i2/O1CN01BkHsdd1GXxnxKA0b8_!!4611686018427384377-0-fleamarket.jpg_790x10000Q90.jpg_.webp", "https://img.alicdn.com/bao/uploaded/i2/O1CN01BkHsdd1GXxnxKA0b8_!!4611686018427384377-0-fleamarket.jpg_790x10000Q90.jpg_.webp")</f>
        <v>https://img.alicdn.com/bao/uploaded/i2/O1CN01BkHsdd1GXxnxKA0b8_!!4611686018427384377-0-fleamarket.jpg_790x10000Q90.jpg_.webp</v>
      </c>
      <c r="G236"/>
      <c r="H236" s="2" t="str">
        <f>=HYPERLINK("https://www.goofish.com/item?spm=a21ybx.search.searchFeedList.14.22e26c82OoK8dC&amp;id=983372113958&amp;categoryId=201453706", "https://www.goofish.com/item?spm=a21ybx.search.searchFeedList.14.22e26c82OoK8dC&amp;id=983372113958&amp;categoryId=201453706")</f>
        <v>https://www.goofish.com/item?spm=a21ybx.search.searchFeedList.14.22e26c82OoK8dC&amp;id=983372113958&amp;categoryId=201453706</v>
      </c>
      <c r="I236">
        <v>983372113958</v>
      </c>
      <c r="J236"/>
      <c r="K236"/>
      <c r="L236"/>
    </row>
    <row r="237" ht="25.5" customHeight="1">
      <c r="A237" t="inlineStr">
        <is>
          <t>【秒发】2600套Word简历模板求职</t>
        </is>
      </c>
      <c r="B237">
        <v>314</v>
      </c>
      <c r="C237" t="inlineStr">
        <is>
          <t>不好意思! 这个资源丢失了，请等管理员操作~</t>
        </is>
      </c>
      <c r="D237" t="inlineStr">
        <is>
          <t>是</t>
        </is>
      </c>
      <c r="E237" t="inlineStr">
        <is>
          <t>✅精选2600套Word档简历模板求职模板
✅简约版简历模板总有一款适合你
✅赠送求职范文和面试技巧
✅Word可直接修改单页多页均有三页四页多种模板任你选
✅拍下立刻发货标价就是卖价
✅包更新包售后放心用
✅网盘发货自动更新系统以后项目课程软件不花钱</t>
        </is>
      </c>
      <c r="F237" s="2" t="str">
        <f>=HYPERLINK("https://img.alicdn.com/bao/uploaded/i4/O1CN01uOQsO41PbTMgFk7ZZ_!!4611686018427380931-53-fleamarket.heic_790x10000Q90.jpg_.webp", "https://img.alicdn.com/bao/uploaded/i4/O1CN01uOQsO41PbTMgFk7ZZ_!!4611686018427380931-53-fleamarket.heic_790x10000Q90.jpg_.webp")</f>
        <v>https://img.alicdn.com/bao/uploaded/i4/O1CN01uOQsO41PbTMgFk7ZZ_!!4611686018427380931-53-fleamarket.heic_790x10000Q90.jpg_.webp</v>
      </c>
      <c r="G237"/>
      <c r="H237" s="2" t="str">
        <f>=HYPERLINK("https://www.goofish.com/item?spm=a21ybx.search.searchFeedList.3.22e26c82OoK8dC&amp;id=959259002024&amp;categoryId=201454708", "https://www.goofish.com/item?spm=a21ybx.search.searchFeedList.3.22e26c82OoK8dC&amp;id=959259002024&amp;categoryId=201454708")</f>
        <v>https://www.goofish.com/item?spm=a21ybx.search.searchFeedList.3.22e26c82OoK8dC&amp;id=959259002024&amp;categoryId=201454708</v>
      </c>
      <c r="I237">
        <v>959259002024</v>
      </c>
      <c r="J237"/>
      <c r="K237"/>
      <c r="L237"/>
    </row>
    <row r="238" ht="25.5" customHeight="1">
      <c r="A238" t="inlineStr">
        <is>
          <t>【秒发】PPT课堂游戏互动模板抽奖</t>
        </is>
      </c>
      <c r="B238">
        <v>315</v>
      </c>
      <c r="C238" t="inlineStr">
        <is>
          <t>不好意思! 这个资源丢失了，请等管理员操作~</t>
        </is>
      </c>
      <c r="D238" t="inlineStr">
        <is>
          <t>是</t>
        </is>
      </c>
      <c r="E238" t="inlineStr">
        <is>
          <t>✅创意趣味抽奖红包砸金蛋转盘互动游戏模板
✅可以用手机直接编辑支持WPS使用
✅精挑细选最新模板市面上少有
✅提升课堂互动氛围增强学生参与感
✅24小时自动秒发急用秒发全天在线秒发
✅资料具有可复制性不支持退货</t>
        </is>
      </c>
      <c r="F238" s="2" t="str">
        <f>=HYPERLINK("https://img.alicdn.com/bao/uploaded/i4/578116169/O1CN01eRp5fN1vRSRGHCHeP_!!4611686018427386441-0-xy_item.jpg_790x10000Q90.jpg_.webp", "https://img.alicdn.com/bao/uploaded/i4/578116169/O1CN01eRp5fN1vRSRGHCHeP_!!4611686018427386441-0-xy_item.jpg_790x10000Q90.jpg_.webp")</f>
        <v>https://img.alicdn.com/bao/uploaded/i4/578116169/O1CN01eRp5fN1vRSRGHCHeP_!!4611686018427386441-0-xy_item.jpg_790x10000Q90.jpg_.webp</v>
      </c>
      <c r="G238"/>
      <c r="H238" s="2" t="str">
        <f>=HYPERLINK("https://www.goofish.com/item?spm=a21ybx.search.searchFeedList.5.22e26c82OoK8dC&amp;id=1001015324360&amp;categoryId=201454708", "https://www.goofish.com/item?spm=a21ybx.search.searchFeedList.5.22e26c82OoK8dC&amp;id=1001015324360&amp;categoryId=201454708")</f>
        <v>https://www.goofish.com/item?spm=a21ybx.search.searchFeedList.5.22e26c82OoK8dC&amp;id=1001015324360&amp;categoryId=201454708</v>
      </c>
      <c r="I238">
        <v>1001015324360</v>
      </c>
      <c r="J238"/>
      <c r="K238"/>
      <c r="L238"/>
    </row>
    <row r="239" ht="25.5" customHeight="1">
      <c r="A239" t="inlineStr">
        <is>
          <t>【秒发】职规赛夺冠必备PPT模板</t>
        </is>
      </c>
      <c r="B239">
        <v>316</v>
      </c>
      <c r="C239" t="inlineStr">
        <is>
          <t>不好意思! 这个资源丢失了，请等管理员操作~</t>
        </is>
      </c>
      <c r="D239" t="inlineStr">
        <is>
          <t>是</t>
        </is>
      </c>
      <c r="E239" t="inlineStr">
        <is>
          <t>✅职规赛专属PPT模板夺冠必备版
✅覆盖自我认知职业分析路径规划实施计划核心模块
✅从初赛到决赛全阶段展示场景精准适配
✅一键替换数据图表与个人案例灵活匹配不同专业
✅设计简约大气重点突出编辑替换便捷
✅零设计基础也能快速打造高水准答辩PPT
✅超省心冲刺职规赛高分全模块覆盖
✅网盘拍下即发助力快速完成演示准备
✅文件来自公开网络资源仅供学习交流
✅版权归作者所有如有版权问题请联系删除</t>
        </is>
      </c>
      <c r="F239" s="2" t="str">
        <f>=HYPERLINK("https://img.alicdn.com/bao/uploaded/i3/O1CN01ynuAHk1IFlIlQrAFl_!!4611686018427383856-0-fleamarket.jpg_790x10000Q90.jpg_.webp", "https://img.alicdn.com/bao/uploaded/i3/O1CN01ynuAHk1IFlIlQrAFl_!!4611686018427383856-0-fleamarket.jpg_790x10000Q90.jpg_.webp")</f>
        <v>https://img.alicdn.com/bao/uploaded/i3/O1CN01ynuAHk1IFlIlQrAFl_!!4611686018427383856-0-fleamarket.jpg_790x10000Q90.jpg_.webp</v>
      </c>
      <c r="G239"/>
      <c r="H239" s="2" t="str">
        <f>=HYPERLINK("https://www.goofish.com/item?spm=a21ybx.search.searchFeedList.9.22e26c82OoK8dC&amp;id=978499846717&amp;categoryId=201454708", "https://www.goofish.com/item?spm=a21ybx.search.searchFeedList.9.22e26c82OoK8dC&amp;id=978499846717&amp;categoryId=201454708")</f>
        <v>https://www.goofish.com/item?spm=a21ybx.search.searchFeedList.9.22e26c82OoK8dC&amp;id=978499846717&amp;categoryId=201454708</v>
      </c>
      <c r="I239">
        <v>978499846717</v>
      </c>
      <c r="J239"/>
      <c r="K239"/>
      <c r="L239"/>
    </row>
    <row r="240" ht="25.5" customHeight="1">
      <c r="A240" t="inlineStr">
        <is>
          <t>【秒发】1500+套红色系PPT模板</t>
        </is>
      </c>
      <c r="B240">
        <v>317</v>
      </c>
      <c r="C240" t="inlineStr">
        <is>
          <t>不好意思! 这个资源丢失了，请等管理员操作~</t>
        </is>
      </c>
      <c r="D240" t="inlineStr">
        <is>
          <t>是</t>
        </is>
      </c>
      <c r="E240" t="inlineStr">
        <is>
          <t>✅888+套庄严大气红色系PPT模板高级感高端
✅赠送8款主流PPT模板每款价值3元以上
✅总共1500+套模板全部打包超值
✅莫兰迪风设计感轻奢大理石手绘风极简禁欲
✅文艺旅行纯粹简致国潮风国风北欧风
✅ins风欧美风格高级极简日系
✅国赛金奖转盘平滑效果卡通人物可爱风
✅线条小狗科技感国外高端动态
✅工作总结工作汇报数据分析市场调研
✅答辩授课竞赛大学生教师讲课
✅科技创新互联网+汇报展示
✅企业宣传产品介绍企业招聘企业培训
✅商业计划书能源科技建筑工程时尚
✅地产物业室内设计保健文化传媒
✅餐饮农业教育招生企业年会产品发布
✅服务行业国风扁平风单位
✅成品课件直接拿来用可下载可编辑直接套用
✅分类清晰独立文件夹标注售后无忧可放心拍</t>
        </is>
      </c>
      <c r="F240" s="2" t="str">
        <f>=HYPERLINK("https://img.alicdn.com/bao/uploaded/i1/O1CN01ksxkce1PwXYzGHILX_!!4611686018427387569-0-fleamarket.jpg_790x10000Q90.jpg_.webp", "https://img.alicdn.com/bao/uploaded/i1/O1CN01ksxkce1PwXYzGHILX_!!4611686018427387569-0-fleamarket.jpg_790x10000Q90.jpg_.webp")</f>
        <v>https://img.alicdn.com/bao/uploaded/i1/O1CN01ksxkce1PwXYzGHILX_!!4611686018427387569-0-fleamarket.jpg_790x10000Q90.jpg_.webp</v>
      </c>
      <c r="G240"/>
      <c r="H240" s="2" t="str">
        <f>=HYPERLINK("https://www.goofish.com/item?spm=a21ybx.search.searchFeedList.2.22e26c82mrcEVv&amp;id=927849122859&amp;categoryId=201453706", "https://www.goofish.com/item?spm=a21ybx.search.searchFeedList.2.22e26c82mrcEVv&amp;id=927849122859&amp;categoryId=201453706")</f>
        <v>https://www.goofish.com/item?spm=a21ybx.search.searchFeedList.2.22e26c82mrcEVv&amp;id=927849122859&amp;categoryId=201453706</v>
      </c>
      <c r="I240">
        <v>927849122859</v>
      </c>
      <c r="J240"/>
      <c r="K240"/>
      <c r="L240"/>
    </row>
    <row r="241" ht="25.5" customHeight="1">
      <c r="A241" t="inlineStr">
        <is>
          <t>【秒发】78套2026马年工作计划PPT</t>
        </is>
      </c>
      <c r="B241">
        <v>318</v>
      </c>
      <c r="C241" t="inlineStr">
        <is>
          <t>不好意思! 这个资源丢失了，请等管理员操作~</t>
        </is>
      </c>
      <c r="D241" t="inlineStr">
        <is>
          <t>是</t>
        </is>
      </c>
      <c r="E241" t="inlineStr">
        <is>
          <t>✅78套适配2026马年的工作计划PPT模板
✅融入骏马新年氛围等专属设计元素
✅全场景适配工作计划年终总结述职汇报年会
✅一键编辑文字图片图表均可修改操作简单
✅网盘发送秒拍秒发24小时自动发货
✅电子资料具有可复制性售出不支持无理由退款
✅资源来源于互联网版权归原作者所有
✅若存在侵权问题请联系处理</t>
        </is>
      </c>
      <c r="F241" s="2" t="str">
        <f>=HYPERLINK("https://img.alicdn.com/bao/uploaded/i4/2218894703320/O1CN01TJcmFJ1aOc3FkOWzF_!!4611686018427386584-0-xy_item.jpg_790x10000Q90.jpg_.webp", "https://img.alicdn.com/bao/uploaded/i4/2218894703320/O1CN01TJcmFJ1aOc3FkOWzF_!!4611686018427386584-0-xy_item.jpg_790x10000Q90.jpg_.webp")</f>
        <v>https://img.alicdn.com/bao/uploaded/i4/2218894703320/O1CN01TJcmFJ1aOc3FkOWzF_!!4611686018427386584-0-xy_item.jpg_790x10000Q90.jpg_.webp</v>
      </c>
      <c r="G241"/>
      <c r="H241" s="2" t="str">
        <f>=HYPERLINK("https://www.goofish.com/item?spm=a21ybx.search.searchFeedList.23.22e26c82v4o1nV&amp;id=1007173688145&amp;categoryId=201454708", "https://www.goofish.com/item?spm=a21ybx.search.searchFeedList.23.22e26c82v4o1nV&amp;id=1007173688145&amp;categoryId=201454708")</f>
        <v>https://www.goofish.com/item?spm=a21ybx.search.searchFeedList.23.22e26c82v4o1nV&amp;id=1007173688145&amp;categoryId=201454708</v>
      </c>
      <c r="I241">
        <v>1007173688145</v>
      </c>
      <c r="J241"/>
      <c r="K241"/>
      <c r="L241"/>
    </row>
    <row r="242" ht="25.5" customHeight="1">
      <c r="A242" t="inlineStr">
        <is>
          <t>【秒发】9套高级感工作汇报PPT模板</t>
        </is>
      </c>
      <c r="B242">
        <v>319</v>
      </c>
      <c r="C242" t="inlineStr">
        <is>
          <t>不好意思! 这个资源丢失了，请等管理员操作~</t>
        </is>
      </c>
      <c r="D242" t="inlineStr">
        <is>
          <t>是</t>
        </is>
      </c>
      <c r="E242" t="inlineStr">
        <is>
          <t>✅领导超爱的高级感工作汇报PPT模板
✅排版简洁干净高端大气打工人必备
✅9个模板9种配色每套160页
✅附赠国外高端PPT模板400p常用小图标字体包
✅发货后不得退款敬请谅解
✅所有文件获取自网络公开渠道仅供学习交流
✅版权归版权人所有如侵权请联系删除
✅商品售价仅是资源查找整理加工费用
✅不涉及商用仅供学习</t>
        </is>
      </c>
      <c r="F242" s="2" t="str">
        <f>=HYPERLINK("https://img.alicdn.com/bao/uploaded/i2/O1CN01d3mCf01IFlGr7C5OY_!!4611686018427383856-53-fleamarket.heic_790x10000Q90.jpg_.webp", "https://img.alicdn.com/bao/uploaded/i2/O1CN01d3mCf01IFlGr7C5OY_!!4611686018427383856-53-fleamarket.heic_790x10000Q90.jpg_.webp")</f>
        <v>https://img.alicdn.com/bao/uploaded/i2/O1CN01d3mCf01IFlGr7C5OY_!!4611686018427383856-53-fleamarket.heic_790x10000Q90.jpg_.webp</v>
      </c>
      <c r="G242"/>
      <c r="H242" s="2" t="str">
        <f>=HYPERLINK("https://www.goofish.com/item?spm=a21ybx.search.searchFeedList.17.22e26c82jlohwD&amp;id=948022201397&amp;categoryId=201454708", "https://www.goofish.com/item?spm=a21ybx.search.searchFeedList.17.22e26c82jlohwD&amp;id=948022201397&amp;categoryId=201454708")</f>
        <v>https://www.goofish.com/item?spm=a21ybx.search.searchFeedList.17.22e26c82jlohwD&amp;id=948022201397&amp;categoryId=201454708</v>
      </c>
      <c r="I242">
        <v>948022201397</v>
      </c>
      <c r="J242"/>
      <c r="K242"/>
      <c r="L242"/>
    </row>
    <row r="243" ht="25.5" customHeight="1">
      <c r="A243" t="inlineStr">
        <is>
          <t>【秒发】1200页数据分析PPT模板</t>
        </is>
      </c>
      <c r="B243">
        <v>320</v>
      </c>
      <c r="C243" t="inlineStr">
        <is>
          <t>不好意思! 这个资源丢失了，请等管理员操作~</t>
        </is>
      </c>
      <c r="D243" t="inlineStr">
        <is>
          <t>是</t>
        </is>
      </c>
      <c r="E243" t="inlineStr">
        <is>
          <t>✅工作报告21套数据分析PPT不重复共1200页
✅适用日常报告市场调研数据分析工作总结
✅工作汇报述职报告等各种场景
✅黄金曲线模型SWOT模型鱼骨图等可视化逻辑图表
✅助力事业节省时间可编辑可修改使用方便
✅24小时自动发货精心挑选PPT高端模板
✅简洁高效直观每套模板精心挑选
✅每款精品质量高助力更加顺利
✅网页端手机端可能存在兼容问题
✅如碰到PPT显示异常请下载后使用电脑端office和wps打开
✅所有文件获取自网络公开渠道仅供学习交流
✅如有侵权请及时联系小店删除</t>
        </is>
      </c>
      <c r="F243" s="2" t="str">
        <f>=HYPERLINK("https://img.alicdn.com/bao/uploaded/i1/O1CN01OPu8Ij1Tsej4lOraJ_!!4611686018427386534-0-fleamarket.jpg_790x10000Q90.jpg_.webp", "https://img.alicdn.com/bao/uploaded/i1/O1CN01OPu8Ij1Tsej4lOraJ_!!4611686018427386534-0-fleamarket.jpg_790x10000Q90.jpg_.webp")</f>
        <v>https://img.alicdn.com/bao/uploaded/i1/O1CN01OPu8Ij1Tsej4lOraJ_!!4611686018427386534-0-fleamarket.jpg_790x10000Q90.jpg_.webp</v>
      </c>
      <c r="G243"/>
      <c r="H243" s="2" t="str">
        <f>=HYPERLINK("https://www.goofish.com/item?spm=a21ybx.search.searchFeedList.13.22e26c82jlohwD&amp;id=1007252038443&amp;categoryId=201453706", "https://www.goofish.com/item?spm=a21ybx.search.searchFeedList.13.22e26c82jlohwD&amp;id=1007252038443&amp;categoryId=201453706")</f>
        <v>https://www.goofish.com/item?spm=a21ybx.search.searchFeedList.13.22e26c82jlohwD&amp;id=1007252038443&amp;categoryId=201453706</v>
      </c>
      <c r="I243">
        <v>1007252038443</v>
      </c>
      <c r="J243"/>
      <c r="K243"/>
      <c r="L243"/>
    </row>
    <row r="244" ht="25.5" customHeight="1">
      <c r="A244" t="inlineStr">
        <is>
          <t>【秒发】期末表彰大会PPT模板</t>
        </is>
      </c>
      <c r="B244">
        <v>321</v>
      </c>
      <c r="C244" t="inlineStr">
        <is>
          <t>不好意思! 这个资源丢失了，请等管理员操作~</t>
        </is>
      </c>
      <c r="D244" t="inlineStr">
        <is>
          <t>是</t>
        </is>
      </c>
      <c r="E244" t="inlineStr">
        <is>
          <t>✅期末表彰大会PPT模板可编辑小学初中通用
✅含班主任致辞颁奖典礼寒假安全提示
✅假期安排建议总结与展望模块
✅班级期末总结学校表彰大会年级集体会议线上表彰活动
✅模板风格简洁大气贴合校园主题
✅高效组织期末表彰活动传递鼓励与关怀
✅2025年辛勤耕耘2026年继续努力
✅电子版PPT模板购买后发送网盘链接请及时下载
✅版权归属原作者如认为侵犯版权请及时通知删除
✅支持正版敬请前往官方购买</t>
        </is>
      </c>
      <c r="F244" s="2" t="str">
        <f>=HYPERLINK("https://img.alicdn.com/bao/uploaded/i2/2221187899404/O1CN01GeWI572JL5ih8UiOo_!!4611686018427379724-53-xy_item.heic_790x10000Q90.jpg_.webp", "https://img.alicdn.com/bao/uploaded/i2/2221187899404/O1CN01GeWI572JL5ih8UiOo_!!4611686018427379724-53-xy_item.heic_790x10000Q90.jpg_.webp")</f>
        <v>https://img.alicdn.com/bao/uploaded/i2/2221187899404/O1CN01GeWI572JL5ih8UiOo_!!4611686018427379724-53-xy_item.heic_790x10000Q90.jpg_.webp</v>
      </c>
      <c r="G244"/>
      <c r="H244" s="2" t="str">
        <f>=HYPERLINK("https://www.goofish.com/item?spm=a21ybx.search.searchFeedList.21.22e26c82v4o1nV&amp;id=1013420928028&amp;categoryId=201454708", "https://www.goofish.com/item?spm=a21ybx.search.searchFeedList.21.22e26c82v4o1nV&amp;id=1013420928028&amp;categoryId=201454708")</f>
        <v>https://www.goofish.com/item?spm=a21ybx.search.searchFeedList.21.22e26c82v4o1nV&amp;id=1013420928028&amp;categoryId=201454708</v>
      </c>
      <c r="I244">
        <v>1013420928028</v>
      </c>
      <c r="J244"/>
      <c r="K244"/>
      <c r="L244"/>
    </row>
    <row r="245" ht="25.5" customHeight="1">
      <c r="A245" t="inlineStr">
        <is>
          <t>【秒发】300+500页结构化逻辑PPT模板</t>
        </is>
      </c>
      <c r="B245">
        <v>322</v>
      </c>
      <c r="C245" t="inlineStr">
        <is>
          <t>【超级会员V2】通过百度网盘分享的文件：逻辑可视化.zi…
链接:https://pan.baidu.com/s/1DZXJSNop6rMXvK_pj0c1ww 
提取码:q744
复制这段内容打开「百度网盘APP 即可获取」</t>
        </is>
      </c>
      <c r="D245" t="inlineStr">
        <is>
          <t>是</t>
        </is>
      </c>
      <c r="E245" t="inlineStr">
        <is>
          <t>✅300页高级逻辑数据PPT赠送500页汇报PPT共800页
✅6种配色可编辑数据图表可视化图表精美
✅述职汇报工作汇报实习汇报论文答辩全覆盖
✅财务分析市场调研数据复盘年中总结均适用
✅黄金曲线模型SWOT模型冰山模型鱼骨图应有尽有
✅覆盖天蝎PPT柠檬PPT青云PPT唐峰素材荔枝PPT等主流风格
✅赠送图标素材工作汇报图标库字体包
✅百度网盘链接发送发后不退建议看清楚再下单
✅所有文件获取自网络公开渠道仅供学习交流
✅版权归版权人所有如侵权请联系删除</t>
        </is>
      </c>
      <c r="F245" s="2" t="str">
        <f>=HYPERLINK("https://img.alicdn.com/bao/uploaded/i2/O1CN01OzZTsM1SnKR67WAbL_!!4611686018427381555-53-fleamarket.heic_790x10000Q90.jpg_.webp", "https://img.alicdn.com/bao/uploaded/i2/O1CN01OzZTsM1SnKR67WAbL_!!4611686018427381555-53-fleamarket.heic_790x10000Q90.jpg_.webp")</f>
        <v>https://img.alicdn.com/bao/uploaded/i2/O1CN01OzZTsM1SnKR67WAbL_!!4611686018427381555-53-fleamarket.heic_790x10000Q90.jpg_.webp</v>
      </c>
      <c r="G245"/>
      <c r="H245" s="2" t="str">
        <f>=HYPERLINK("https://www.goofish.com/item?spm=a21ybx.search.searchFeedList.24.22e26c82v4o1nV&amp;id=914239405011&amp;categoryId=201453706", "https://www.goofish.com/item?spm=a21ybx.search.searchFeedList.24.22e26c82v4o1nV&amp;id=914239405011&amp;categoryId=201453706")</f>
        <v>https://www.goofish.com/item?spm=a21ybx.search.searchFeedList.24.22e26c82v4o1nV&amp;id=914239405011&amp;categoryId=201453706</v>
      </c>
      <c r="I245">
        <v>914239405011</v>
      </c>
      <c r="J245"/>
      <c r="K245"/>
      <c r="L245"/>
    </row>
    <row r="246" ht="25.5" customHeight="1">
      <c r="A246" t="inlineStr">
        <is>
          <t>【秒发】马年企业年会PPT模板</t>
        </is>
      </c>
      <c r="B246">
        <v>323</v>
      </c>
      <c r="C246" t="inlineStr">
        <is>
          <t>不好意思! 这个资源丢失了，请等管理员操作~</t>
        </is>
      </c>
      <c r="D246" t="inlineStr">
        <is>
          <t>是</t>
        </is>
      </c>
      <c r="E246" t="inlineStr">
        <is>
          <t>✅红色大气风格适合公司年会员工表彰
✅颁奖典礼团队荣誉展示等场合使用
✅包含数说辉煌荣誉共襄艺展芳华乐启新章等模块
✅页数多直接套用省时省力
✅高清PPT格式支持编辑
✅图片文字都能改内容可添加
✅适合企业学校个人年会用
✅拍下秒发百度网盘链接
✅虚拟商品不退不换有问题随时私聊</t>
        </is>
      </c>
      <c r="F246" s="2" t="str">
        <f>=HYPERLINK("https://img.alicdn.com/bao/uploaded/i2/2215524546353/O1CN01TrMYWz1wnjKBlRUrN_!!4611686018427385649-0-xy_item.jpg_790x10000Q90.jpg_.webp", "https://img.alicdn.com/bao/uploaded/i2/2215524546353/O1CN01TrMYWz1wnjKBlRUrN_!!4611686018427385649-0-xy_item.jpg_790x10000Q90.jpg_.webp")</f>
        <v>https://img.alicdn.com/bao/uploaded/i2/2215524546353/O1CN01TrMYWz1wnjKBlRUrN_!!4611686018427385649-0-xy_item.jpg_790x10000Q90.jpg_.webp</v>
      </c>
      <c r="G246"/>
      <c r="H246" s="2" t="str">
        <f>=HYPERLINK("https://www.goofish.com/item?spm=a21ybx.search.searchFeedList.19.22e26c82v4o1nV&amp;id=1015152429455&amp;categoryId=201453706", "https://www.goofish.com/item?spm=a21ybx.search.searchFeedList.19.22e26c82v4o1nV&amp;id=1015152429455&amp;categoryId=201453706")</f>
        <v>https://www.goofish.com/item?spm=a21ybx.search.searchFeedList.19.22e26c82v4o1nV&amp;id=1015152429455&amp;categoryId=201453706</v>
      </c>
      <c r="I246">
        <v>1015152429455</v>
      </c>
      <c r="J246"/>
      <c r="K246"/>
      <c r="L246"/>
    </row>
    <row r="247" ht="25.5" customHeight="1">
      <c r="A247" t="inlineStr">
        <is>
          <t>【秒发】2026马年年会邀请函模板</t>
        </is>
      </c>
      <c r="B247">
        <v>324</v>
      </c>
      <c r="C247" t="inlineStr">
        <is>
          <t>不好意思! 这个资源丢失了，请等管理员操作~</t>
        </is>
      </c>
      <c r="D247" t="inlineStr">
        <is>
          <t>是</t>
        </is>
      </c>
      <c r="E247" t="inlineStr">
        <is>
          <t>✅2026马年年会活动邀请函长图年终总结答谢会海报模板
✅PSD设计素材可编辑
✅12小时自动秒发网盘
✅秒拍秒发拍下即发全部素材
✅各类所需素材一站式配齐
✅若不满意可直接退款
✅预览图与源文件一一对应
✅仅售模板本身无任何隐藏费用
✅适配学习展示工作汇报教学课件商务提案
✅覆盖大学生上班族教师等不同人群
✅按风格单独归类并标注文档编号查找更便捷
✅使用过程中遇问题可随时咨询</t>
        </is>
      </c>
      <c r="F247" s="2" t="str">
        <f>=HYPERLINK("https://img.alicdn.com/bao/uploaded/i4/O1CN01NvWvM81IFlJUuRqRF_!!4611686018427383856-0-fleamarket.jpg_790x10000Q90.jpg_.webp", "https://img.alicdn.com/bao/uploaded/i4/O1CN01NvWvM81IFlJUuRqRF_!!4611686018427383856-0-fleamarket.jpg_790x10000Q90.jpg_.webp")</f>
        <v>https://img.alicdn.com/bao/uploaded/i4/O1CN01NvWvM81IFlJUuRqRF_!!4611686018427383856-0-fleamarket.jpg_790x10000Q90.jpg_.webp</v>
      </c>
      <c r="G247"/>
      <c r="H247" s="2" t="str">
        <f>=HYPERLINK("https://www.goofish.com/item?spm=a21ybx.search.searchFeedList.3.22e26c82jlohwD&amp;id=1005329106185&amp;categoryId=201454708", "https://www.goofish.com/item?spm=a21ybx.search.searchFeedList.3.22e26c82jlohwD&amp;id=1005329106185&amp;categoryId=201454708")</f>
        <v>https://www.goofish.com/item?spm=a21ybx.search.searchFeedList.3.22e26c82jlohwD&amp;id=1005329106185&amp;categoryId=201454708</v>
      </c>
      <c r="I247">
        <v>1005329106185</v>
      </c>
      <c r="J247"/>
      <c r="K247"/>
      <c r="L247"/>
    </row>
    <row r="248" ht="25.5" customHeight="1">
      <c r="A248" t="inlineStr">
        <is>
          <t>【秒发】120套个人作品集PPT模板</t>
        </is>
      </c>
      <c r="B248">
        <v>325</v>
      </c>
      <c r="C248" t="inlineStr">
        <is>
          <t>不好意思! 这个资源丢失了，请等管理员操作~</t>
        </is>
      </c>
      <c r="D248" t="inlineStr">
        <is>
          <t>是</t>
        </is>
      </c>
      <c r="E248" t="inlineStr">
        <is>
          <t>✅120套高级感作品集PPT模板
✅适用于作品汇报方案汇报
✅艺术创意设计行业作品集
✅一份好的PPT可以助力您的事业节省您的时间
✅每一款都设计精美可编辑可修改使用方便
✅24小时自动发货精心挑选PPT高端模板
✅简洁高效直观每套模板精心挑选
✅每款精品质量高助力您更加顺利
✅每一款都有预览图
✅虚拟物品售出不退不换</t>
        </is>
      </c>
      <c r="F248" s="2" t="str">
        <f>=HYPERLINK("https://img.alicdn.com/bao/uploaded/i4/O1CN0166n2vp1Tseddj6ATL_!!4611686018427386534-0-fleamarket.jpg_790x10000Q90.jpg_.webp", "https://img.alicdn.com/bao/uploaded/i4/O1CN0166n2vp1Tseddj6ATL_!!4611686018427386534-0-fleamarket.jpg_790x10000Q90.jpg_.webp")</f>
        <v>https://img.alicdn.com/bao/uploaded/i4/O1CN0166n2vp1Tseddj6ATL_!!4611686018427386534-0-fleamarket.jpg_790x10000Q90.jpg_.webp</v>
      </c>
      <c r="G248"/>
      <c r="H248" s="2" t="str">
        <f>=HYPERLINK("https://www.goofish.com/item?spm=a21ybx.search.searchFeedList.2.22e26c82v4o1nV&amp;id=879493972051&amp;categoryId=201453706", "https://www.goofish.com/item?spm=a21ybx.search.searchFeedList.2.22e26c82v4o1nV&amp;id=879493972051&amp;categoryId=201453706")</f>
        <v>https://www.goofish.com/item?spm=a21ybx.search.searchFeedList.2.22e26c82v4o1nV&amp;id=879493972051&amp;categoryId=201453706</v>
      </c>
      <c r="I248">
        <v>879493972051</v>
      </c>
      <c r="J248"/>
      <c r="K248"/>
      <c r="L248"/>
    </row>
    <row r="249" ht="25.5" customHeight="1">
      <c r="A249" t="inlineStr">
        <is>
          <t>【秒发】7色560页数据分析PPT模板</t>
        </is>
      </c>
      <c r="B249">
        <v>326</v>
      </c>
      <c r="C249" t="inlineStr">
        <is>
          <t>不好意思! 这个资源丢失了，请等管理员操作~</t>
        </is>
      </c>
      <c r="D249" t="inlineStr">
        <is>
          <t>是</t>
        </is>
      </c>
      <c r="E249" t="inlineStr">
        <is>
          <t>✅7色560页数据分析可视化PPT模板年终述职必备
✅PPT格式可编辑一键换色超便捷
✅7种时尚配色深蓝浅蓝浅绿橙蓝红黑白蓝灰蓝橙灰
✅每种配色80页共560页海量内容满足多样审美
✅适用于日常报告市场调研数据分析工作总结
✅工作汇报等各类场景轻松应对职场展示需求
✅24小时自动发货拍下即发
✅百度网盘瞬间送达无需漫长等待</t>
        </is>
      </c>
      <c r="F249" s="2" t="str">
        <f>=HYPERLINK("https://img.alicdn.com/bao/uploaded/i2/O1CN018X8aPx1RRyKcFtJPb_!!4611686018427380973-53-fleamarket.heic_790x10000Q90.jpg_.webp", "https://img.alicdn.com/bao/uploaded/i2/O1CN018X8aPx1RRyKcFtJPb_!!4611686018427380973-53-fleamarket.heic_790x10000Q90.jpg_.webp")</f>
        <v>https://img.alicdn.com/bao/uploaded/i2/O1CN018X8aPx1RRyKcFtJPb_!!4611686018427380973-53-fleamarket.heic_790x10000Q90.jpg_.webp</v>
      </c>
      <c r="G249"/>
      <c r="H249" s="2" t="str">
        <f>=HYPERLINK("https://www.goofish.com/item?spm=a21ybx.search.searchFeedList.4.22e26c82v4o1nV&amp;id=877213055621&amp;categoryId=201453706", "https://www.goofish.com/item?spm=a21ybx.search.searchFeedList.4.22e26c82v4o1nV&amp;id=877213055621&amp;categoryId=201453706")</f>
        <v>https://www.goofish.com/item?spm=a21ybx.search.searchFeedList.4.22e26c82v4o1nV&amp;id=877213055621&amp;categoryId=201453706</v>
      </c>
      <c r="I249">
        <v>877213055621</v>
      </c>
      <c r="J249"/>
      <c r="K249"/>
      <c r="L249"/>
    </row>
    <row r="250" ht="25.5" customHeight="1">
      <c r="A250" t="inlineStr">
        <is>
          <t>【秒发】108款马年年会互动PPT模板</t>
        </is>
      </c>
      <c r="B250">
        <v>327</v>
      </c>
      <c r="C250" t="inlineStr">
        <is>
          <t>不好意思! 这个资源丢失了，请等管理员操作~</t>
        </is>
      </c>
      <c r="D250" t="inlineStr">
        <is>
          <t>是</t>
        </is>
      </c>
      <c r="E250" t="inlineStr">
        <is>
          <t>✅2026马年年会元旦晚会互动小游戏PPT模板108款
✅金马贺岁主题适合企业年会元旦晚会
✅幼儿园小学新年晚会班会使用
✅互动性强动画效果现场气氛拉满
✅PPT成品直接用规则和素材齐全
✅轻松搞定活动策划省时省力
✅拍下自动发25小时在线自动发货</t>
        </is>
      </c>
      <c r="F250" s="2" t="str">
        <f>=HYPERLINK("https://img.alicdn.com/bao/uploaded/i2/2205299011153/O1CN013oSQQh1KO7mB9LnH4_!!4611686018427383377-53-xy_item.heic_790x10000Q90.jpg_.webp", "https://img.alicdn.com/bao/uploaded/i2/2205299011153/O1CN013oSQQh1KO7mB9LnH4_!!4611686018427383377-53-xy_item.heic_790x10000Q90.jpg_.webp")</f>
        <v>https://img.alicdn.com/bao/uploaded/i2/2205299011153/O1CN013oSQQh1KO7mB9LnH4_!!4611686018427383377-53-xy_item.heic_790x10000Q90.jpg_.webp</v>
      </c>
      <c r="G250"/>
      <c r="H250" s="2" t="str">
        <f>=HYPERLINK("https://www.goofish.com/item?spm=a21ybx.search.searchFeedList.3.22e26c82v4o1nV&amp;id=1003949358886&amp;categoryId=201453706", "https://www.goofish.com/item?spm=a21ybx.search.searchFeedList.3.22e26c82v4o1nV&amp;id=1003949358886&amp;categoryId=201453706")</f>
        <v>https://www.goofish.com/item?spm=a21ybx.search.searchFeedList.3.22e26c82v4o1nV&amp;id=1003949358886&amp;categoryId=201453706</v>
      </c>
      <c r="I250">
        <v>1003949358886</v>
      </c>
      <c r="J250"/>
      <c r="K250"/>
      <c r="L250"/>
    </row>
    <row r="251" ht="25.5" customHeight="1">
      <c r="A251" t="inlineStr">
        <is>
          <t>【秒发】蓝色高级年终汇报PPT模板</t>
        </is>
      </c>
      <c r="B251">
        <v>328</v>
      </c>
      <c r="C251" t="inlineStr">
        <is>
          <t>不好意思! 这个资源丢失了，请等管理员操作~</t>
        </is>
      </c>
      <c r="D251" t="inlineStr">
        <is>
          <t>是</t>
        </is>
      </c>
      <c r="E251" t="inlineStr">
        <is>
          <t>✅蓝色高级PPT模板年终汇报总结述职报告工作汇报
✅甘特图项目计划书12小时自动秒发网盘
✅秒拍秒发拍下即发全部素材
✅各类所需素材一站式配齐若不满意可直接退款
✅预览图与源文件一一对应仅售模板本身
✅无任何隐藏费用使用过程中遇问题可随时咨询
✅每套模板精心筛选品质优质
✅适配学习展示工作汇报教学课件商务提案
✅覆盖大学生上班族教师等不同人群
✅按风格单独归类并标注文档编号查找更便捷</t>
        </is>
      </c>
      <c r="F251" s="2" t="str">
        <f>=HYPERLINK("https://img.alicdn.com/bao/uploaded/i3/O1CN01suWb7l1IFlJHOz7yn_!!4611686018427383856-53-fleamarket.heic_790x10000Q90.jpg_.webp", "https://img.alicdn.com/bao/uploaded/i3/O1CN01suWb7l1IFlJHOz7yn_!!4611686018427383856-53-fleamarket.heic_790x10000Q90.jpg_.webp")</f>
        <v>https://img.alicdn.com/bao/uploaded/i3/O1CN01suWb7l1IFlJHOz7yn_!!4611686018427383856-53-fleamarket.heic_790x10000Q90.jpg_.webp</v>
      </c>
      <c r="G251"/>
      <c r="H251" s="2" t="str">
        <f>=HYPERLINK("https://www.goofish.com/item?spm=a21ybx.search.searchFeedList.17.22e26c82v4o1nV&amp;id=1001056572221&amp;categoryId=201454708", "https://www.goofish.com/item?spm=a21ybx.search.searchFeedList.17.22e26c82v4o1nV&amp;id=1001056572221&amp;categoryId=201454708")</f>
        <v>https://www.goofish.com/item?spm=a21ybx.search.searchFeedList.17.22e26c82v4o1nV&amp;id=1001056572221&amp;categoryId=201454708</v>
      </c>
      <c r="I251">
        <v>1001056572221</v>
      </c>
      <c r="J251"/>
      <c r="K251"/>
      <c r="L251"/>
    </row>
    <row r="252" ht="25.5" customHeight="1">
      <c r="A252" t="inlineStr">
        <is>
          <t>【秒发】挑战杯国奖获奖PPT模板</t>
        </is>
      </c>
      <c r="B252">
        <v>329</v>
      </c>
      <c r="C252" t="inlineStr">
        <is>
          <t>不好意思! 这个资源丢失了，请等管理员操作~</t>
        </is>
      </c>
      <c r="D252" t="inlineStr">
        <is>
          <t>是</t>
        </is>
      </c>
      <c r="E252" t="inlineStr">
        <is>
          <t>✅40套省国奖获奖案例最新24年
✅6000份商业计划案例Word和PPT
✅399套创赛类通用高端PPT模板
✅精选26套完整案例配套Word+PPT
✅24小时自动秒发百度网盘
✅任何不满意可直接退款
✅预览图对应相应源文件名字
✅没有任何额外费用如果不会使用可以咨询解决</t>
        </is>
      </c>
      <c r="F252" s="2" t="str">
        <f>=HYPERLINK("https://img.alicdn.com/bao/uploaded/i4/O1CN01PImTSA1dZ5yGGT51L_!!4611686018427387605-0-fleamarket.jpg_790x10000Q90.jpg_.webp", "https://img.alicdn.com/bao/uploaded/i4/O1CN01PImTSA1dZ5yGGT51L_!!4611686018427387605-0-fleamarket.jpg_790x10000Q90.jpg_.webp")</f>
        <v>https://img.alicdn.com/bao/uploaded/i4/O1CN01PImTSA1dZ5yGGT51L_!!4611686018427387605-0-fleamarket.jpg_790x10000Q90.jpg_.webp</v>
      </c>
      <c r="G252"/>
      <c r="H252" s="2" t="str">
        <f>=HYPERLINK("https://www.goofish.com/item?spm=a21ybx.search.searchFeedList.23.22e26c82v4o1nV&amp;id=1018149740987&amp;categoryId=201454708", "https://www.goofish.com/item?spm=a21ybx.search.searchFeedList.23.22e26c82v4o1nV&amp;id=1018149740987&amp;categoryId=201454708")</f>
        <v>https://www.goofish.com/item?spm=a21ybx.search.searchFeedList.23.22e26c82v4o1nV&amp;id=1018149740987&amp;categoryId=201454708</v>
      </c>
      <c r="I252">
        <v>1018149740987</v>
      </c>
      <c r="J252"/>
      <c r="K252"/>
      <c r="L252"/>
    </row>
    <row r="253" ht="25.5" customHeight="1">
      <c r="A253" t="inlineStr">
        <is>
          <t>【秒发】399套竞赛国赛PPT模板</t>
        </is>
      </c>
      <c r="B253">
        <v>331</v>
      </c>
      <c r="C253" t="inlineStr">
        <is>
          <t>不好意思! 这个资源丢失了，请等管理员操作~</t>
        </is>
      </c>
      <c r="D253" t="inlineStr">
        <is>
          <t>是</t>
        </is>
      </c>
      <c r="E253" t="inlineStr">
        <is>
          <t>✅399套竞赛PPT国赛模板互联网+大学生创新创业大赛
✅挑战杯创赛等各类比赛各色系PPT案例
✅高端模板国金水平可编辑源文件
✅赠送500+套互联网+大创挑战杯往届获奖作品
✅赠送大学生创新创业计划书Word成品
✅赠送100个专业大学生职业生涯规划书Word范文
✅24小时发货标价就是卖价
✅资源整理不易收取的费用只是整理费用
✅版权归原作者所有侵权联系删除</t>
        </is>
      </c>
      <c r="F253" s="2" t="str">
        <f>=HYPERLINK("https://img.alicdn.com/bao/uploaded/i4/O1CN01JbmD3x1IFlJJ4FH59_!!4611686018427383856-53-fleamarket.heic_790x10000Q90.jpg_.webp", "https://img.alicdn.com/bao/uploaded/i4/O1CN01JbmD3x1IFlJJ4FH59_!!4611686018427383856-53-fleamarket.heic_790x10000Q90.jpg_.webp")</f>
        <v>https://img.alicdn.com/bao/uploaded/i4/O1CN01JbmD3x1IFlJJ4FH59_!!4611686018427383856-53-fleamarket.heic_790x10000Q90.jpg_.webp</v>
      </c>
      <c r="G253"/>
      <c r="H253" s="2" t="str">
        <f>=HYPERLINK("https://www.goofish.com/item?spm=a21ybx.search.searchFeedList.25.22e26c82v4o1nV&amp;id=1001936052648&amp;categoryId=201454708", "https://www.goofish.com/item?spm=a21ybx.search.searchFeedList.25.22e26c82v4o1nV&amp;id=1001936052648&amp;categoryId=201454708")</f>
        <v>https://www.goofish.com/item?spm=a21ybx.search.searchFeedList.25.22e26c82v4o1nV&amp;id=1001936052648&amp;categoryId=201454708</v>
      </c>
      <c r="I253">
        <v>1001936052648</v>
      </c>
      <c r="J253"/>
      <c r="K253"/>
      <c r="L253"/>
    </row>
    <row r="254" ht="25.5" customHeight="1">
      <c r="A254" t="inlineStr">
        <is>
          <t>【秒发】600款设计师作品集模板</t>
        </is>
      </c>
      <c r="B254">
        <v>332</v>
      </c>
      <c r="C254" t="inlineStr">
        <is>
          <t>不好意思! 这个资源丢失了，请等管理员操作~</t>
        </is>
      </c>
      <c r="D254" t="inlineStr">
        <is>
          <t>是</t>
        </is>
      </c>
      <c r="E254" t="inlineStr">
        <is>
          <t>✅600款设计师作品集品牌电商海报插画UI界面
✅适合毕设作业面试个人简历UI界面AI电商PSD素材
✅24小时自动秒发百度网盘
✅预览图对应相应源文件名字不是卖图片
✅没有任何额外费用不会使用可以咨询解决
✅每套风格模版精心挑选精选质量高
✅适用于任何场合每个风格单独归类编号
✅任何不满意直接退款</t>
        </is>
      </c>
      <c r="F254" s="2" t="str">
        <f>=HYPERLINK("https://img.alicdn.com/bao/uploaded/i4/O1CN01MyDvtg1dZ5x4MNzra_!!4611686018427387605-0-fleamarket.jpg_790x10000Q90.jpg_.webp", "https://img.alicdn.com/bao/uploaded/i4/O1CN01MyDvtg1dZ5x4MNzra_!!4611686018427387605-0-fleamarket.jpg_790x10000Q90.jpg_.webp")</f>
        <v>https://img.alicdn.com/bao/uploaded/i4/O1CN01MyDvtg1dZ5x4MNzra_!!4611686018427387605-0-fleamarket.jpg_790x10000Q90.jpg_.webp</v>
      </c>
      <c r="G254"/>
      <c r="H254" s="2" t="str">
        <f>=HYPERLINK("https://www.goofish.com/item?spm=a21ybx.search.searchFeedList.23.22e26c82v4o1nV&amp;id=991558660076&amp;categoryId=201454708", "https://www.goofish.com/item?spm=a21ybx.search.searchFeedList.23.22e26c82v4o1nV&amp;id=991558660076&amp;categoryId=201454708")</f>
        <v>https://www.goofish.com/item?spm=a21ybx.search.searchFeedList.23.22e26c82v4o1nV&amp;id=991558660076&amp;categoryId=201454708</v>
      </c>
      <c r="I254">
        <v>991558660076</v>
      </c>
      <c r="J254"/>
      <c r="K254"/>
      <c r="L254"/>
    </row>
    <row r="255" ht="25.5" customHeight="1">
      <c r="A255" t="inlineStr">
        <is>
          <t>【秒发】95套述职报告年终总结PPT</t>
        </is>
      </c>
      <c r="B255">
        <v>333</v>
      </c>
      <c r="C255" t="inlineStr">
        <is>
          <t>不好意思! 这个资源丢失了，请等管理员操作~</t>
        </is>
      </c>
      <c r="D255" t="inlineStr">
        <is>
          <t>是</t>
        </is>
      </c>
      <c r="E255" t="inlineStr">
        <is>
          <t>✅95套述职报告PPT模板工作汇报年终总结
✅年中计划简约商务通用部门岗位述职
✅精选岗位述职年终总结年中汇报都有
✅每套模板精挑细选放心拍
✅WPS和office编辑简单编辑就能用
✅在线发货拍下即发
✅网盘发货
✅产品具有可复制性发货后不退换
✅产品价低利润微薄请勿随意差评</t>
        </is>
      </c>
      <c r="F255" s="2" t="str">
        <f>=HYPERLINK("https://img.alicdn.com/bao/uploaded/i2/O1CN01gEDNJ127ygNBqDL6F_!!53-fleamarket.heic_790x10000Q90.jpg_.webp", "https://img.alicdn.com/bao/uploaded/i2/O1CN01gEDNJ127ygNBqDL6F_!!53-fleamarket.heic_790x10000Q90.jpg_.webp")</f>
        <v>https://img.alicdn.com/bao/uploaded/i2/O1CN01gEDNJ127ygNBqDL6F_!!53-fleamarket.heic_790x10000Q90.jpg_.webp</v>
      </c>
      <c r="G255"/>
      <c r="H255" s="2" t="str">
        <f>=HYPERLINK("https://www.goofish.com/item?spm=a21ybx.search.searchFeedList.18.22e26c82jlohwD&amp;id=763948096914&amp;categoryId=201453706", "https://www.goofish.com/item?spm=a21ybx.search.searchFeedList.18.22e26c82jlohwD&amp;id=763948096914&amp;categoryId=201453706")</f>
        <v>https://www.goofish.com/item?spm=a21ybx.search.searchFeedList.18.22e26c82jlohwD&amp;id=763948096914&amp;categoryId=201453706</v>
      </c>
      <c r="I255">
        <v>763948096914</v>
      </c>
      <c r="J255"/>
      <c r="K255"/>
      <c r="L255"/>
    </row>
    <row r="256" ht="25.5" customHeight="1">
      <c r="A256" t="inlineStr">
        <is>
          <t>【秒发】300页结构化PPT模板</t>
        </is>
      </c>
      <c r="B256">
        <v>334</v>
      </c>
      <c r="C256" t="inlineStr">
        <is>
          <t>【超级会员V2】通过百度网盘分享的文件：逻辑可视化.zi…
链接:https://pan.baidu.com/s/1DZXJSNop6rMXvK_pj0c1ww 
提取码:q744
复制这段内容打开「百度网盘APP 即可获取」</t>
        </is>
      </c>
      <c r="D256" t="inlineStr">
        <is>
          <t>是</t>
        </is>
      </c>
      <c r="E256" t="inlineStr">
        <is>
          <t>✅300页高级逻辑数据PPT赠500页汇报PPT
✅述职汇报工作汇报实习汇报论文答辩
✅财务分析市场调研日常报告数据分析
✅黄金曲线SWOT冰山模型鱼骨图应有尽有
✅6种配色替换可编辑数据
✅精美数据图精美逻辑图可视化图表
✅拍后赠送图标素材工作汇报图标库字体包
✅发送百度网盘链接发后不退
✅建议看清楚再下单</t>
        </is>
      </c>
      <c r="F256" s="2" t="str">
        <f>=HYPERLINK("https://img.alicdn.com/bao/uploaded/i2/O1CN01R36nyf1SnKTcyh1TG_!!4611686018427381555-0-fleamarket.jpg_790x10000Q90.jpg_.webp", "https://img.alicdn.com/bao/uploaded/i2/O1CN01R36nyf1SnKTcyh1TG_!!4611686018427381555-0-fleamarket.jpg_790x10000Q90.jpg_.webp")</f>
        <v>https://img.alicdn.com/bao/uploaded/i2/O1CN01R36nyf1SnKTcyh1TG_!!4611686018427381555-0-fleamarket.jpg_790x10000Q90.jpg_.webp</v>
      </c>
      <c r="G256"/>
      <c r="H256" s="2" t="str">
        <f>=HYPERLINK("https://www.goofish.com/item?spm=a21ybx.search.searchFeedList.18.22e26c82jlohwD&amp;id=976139278954&amp;categoryId=201453706", "https://www.goofish.com/item?spm=a21ybx.search.searchFeedList.18.22e26c82jlohwD&amp;id=976139278954&amp;categoryId=201453706")</f>
        <v>https://www.goofish.com/item?spm=a21ybx.search.searchFeedList.18.22e26c82jlohwD&amp;id=976139278954&amp;categoryId=201453706</v>
      </c>
      <c r="I256">
        <v>976139278954</v>
      </c>
      <c r="J256"/>
      <c r="K256"/>
      <c r="L256"/>
    </row>
    <row r="257" ht="25.5" customHeight="1">
      <c r="A257" t="inlineStr">
        <is>
          <t>【秒发】560页高端PPT模板</t>
        </is>
      </c>
      <c r="B257">
        <v>335</v>
      </c>
      <c r="C257" t="inlineStr">
        <is>
          <t>【超级会员V2】通过百度网盘分享的文件：领导喜欢的PPT…
链接:https://pan.baidu.com/s/1nCrC4qFTuhfEeZmglsxsQQ 
提取码:htv1
复制这段内容打开「百度网盘APP 即可获取」</t>
        </is>
      </c>
      <c r="D257" t="inlineStr">
        <is>
          <t>是</t>
        </is>
      </c>
      <c r="E257" t="inlineStr">
        <is>
          <t>✅560页高端PPT模板领导喜欢
✅7色逻辑架构图数据分析可视化模板
✅专业职场通用年终总结汇报必备
✅内容丰富有逻辑有颜值适合各类工作汇报
✅自动发货拍下秒发24小时发货
✅包含完整PPT源文件可以直接使用
✅文件格式PPTX网盘发送
✅电子虚拟商品售出不退不换</t>
        </is>
      </c>
      <c r="F257" s="2" t="str">
        <f>=HYPERLINK("https://img.alicdn.com/bao/uploaded/i2/O1CN0179nwvl1VQNTXESH79_!!4611686018427382007-53-fleamarket.heic_790x10000Q90.jpg_.webp", "https://img.alicdn.com/bao/uploaded/i2/O1CN0179nwvl1VQNTXESH79_!!4611686018427382007-53-fleamarket.heic_790x10000Q90.jpg_.webp")</f>
        <v>https://img.alicdn.com/bao/uploaded/i2/O1CN0179nwvl1VQNTXESH79_!!4611686018427382007-53-fleamarket.heic_790x10000Q90.jpg_.webp</v>
      </c>
      <c r="G257"/>
      <c r="H257" s="2" t="str">
        <f>=HYPERLINK("https://www.goofish.com/item?spm=a21ybx.search.searchFeedList.5.22e26c82jlohwD&amp;id=974574219628&amp;categoryId=201454708", "https://www.goofish.com/item?spm=a21ybx.search.searchFeedList.5.22e26c82jlohwD&amp;id=974574219628&amp;categoryId=201454708")</f>
        <v>https://www.goofish.com/item?spm=a21ybx.search.searchFeedList.5.22e26c82jlohwD&amp;id=974574219628&amp;categoryId=201454708</v>
      </c>
      <c r="I257">
        <v>974574219628</v>
      </c>
      <c r="J257"/>
      <c r="K257"/>
      <c r="L257"/>
    </row>
    <row r="258" ht="25.5" customHeight="1">
      <c r="A258" t="inlineStr">
        <is>
          <t>【秒发】229套红色商务PPT模板</t>
        </is>
      </c>
      <c r="B258">
        <v>336</v>
      </c>
      <c r="C258" t="inlineStr">
        <is>
          <t>不好意思! 这个资源丢失了，请等管理员操作~</t>
        </is>
      </c>
      <c r="D258" t="inlineStr">
        <is>
          <t>是</t>
        </is>
      </c>
      <c r="E258" t="inlineStr">
        <is>
          <t>✅229套红色商务PPT模板
✅适合年终总结述职汇报工作计划
✅涵盖年度工作总结项目展示工作进度计划
✅红色商务风格图文并茂专业规范
✅适合企业单位个人使用
✅直接拍下自动秒发网盘链接
✅手机平板电脑都能用
✅资料为电子版不是实物不退不换
✅资料来源网络仅供学习交流
✅版权归原作者所有感谢理解</t>
        </is>
      </c>
      <c r="F258" s="2" t="str">
        <f>=HYPERLINK("https://img.alicdn.com/bao/uploaded/i4/O1CN01A9IGqw1IFlJB4zfSK_!!4611686018427383856-0-fleamarket.jpg_790x10000Q90.jpg_.webp", "https://img.alicdn.com/bao/uploaded/i4/O1CN01A9IGqw1IFlJB4zfSK_!!4611686018427383856-0-fleamarket.jpg_790x10000Q90.jpg_.webp")</f>
        <v>https://img.alicdn.com/bao/uploaded/i4/O1CN01A9IGqw1IFlJB4zfSK_!!4611686018427383856-0-fleamarket.jpg_790x10000Q90.jpg_.webp</v>
      </c>
      <c r="G258"/>
      <c r="H258" s="2" t="str">
        <f>=HYPERLINK("https://www.goofish.com/item?spm=a21ybx.search.searchFeedList.3.22e26c82v4o1nV&amp;id=999620272606&amp;categoryId=201454708", "https://www.goofish.com/item?spm=a21ybx.search.searchFeedList.3.22e26c82v4o1nV&amp;id=999620272606&amp;categoryId=201454708")</f>
        <v>https://www.goofish.com/item?spm=a21ybx.search.searchFeedList.3.22e26c82v4o1nV&amp;id=999620272606&amp;categoryId=201454708</v>
      </c>
      <c r="I258">
        <v>999620272606</v>
      </c>
      <c r="J258"/>
      <c r="K258"/>
      <c r="L258"/>
    </row>
    <row r="259" ht="25.5" customHeight="1">
      <c r="A259" t="inlineStr">
        <is>
          <t>【秒发】2026年寒假安全教育PPT</t>
        </is>
      </c>
      <c r="B259">
        <v>337</v>
      </c>
      <c r="C259" t="inlineStr">
        <is>
          <t>不好意思! 这个资源丢失了，请等管理员操作~</t>
        </is>
      </c>
      <c r="D259" t="inlineStr">
        <is>
          <t>是</t>
        </is>
      </c>
      <c r="E259" t="inlineStr">
        <is>
          <t>✅中小学寒假安全教育家长会主题班会PPT模板
✅成品课件一封信资料齐全内容丰富
✅适合寒假安全教育家长会主题班会
✅直接套用省时省力
✅电子版非实物拍下自动发网盘链接
✅24小时内秒发
✅虚拟商品不发快递不发物流不发邮箱
✅资料具有可复制性售出不退不换</t>
        </is>
      </c>
      <c r="F259" s="2" t="str">
        <f>=HYPERLINK("https://img.alicdn.com/bao/uploaded/i1/2200545133819/O1CN011p1EYz1e59h3i7fBh_!!4611686018427380987-53-xy_item.heic_790x10000Q90.jpg_.webp", "https://img.alicdn.com/bao/uploaded/i1/2200545133819/O1CN011p1EYz1e59h3i7fBh_!!4611686018427380987-53-xy_item.heic_790x10000Q90.jpg_.webp")</f>
        <v>https://img.alicdn.com/bao/uploaded/i1/2200545133819/O1CN011p1EYz1e59h3i7fBh_!!4611686018427380987-53-xy_item.heic_790x10000Q90.jpg_.webp</v>
      </c>
      <c r="G259"/>
      <c r="H259" s="2" t="str">
        <f>=HYPERLINK("https://www.goofish.com/item?spm=a21ybx.search.searchFeedList.21.22e26c82v4o1nV&amp;id=1013558906432&amp;categoryId=201454708", "https://www.goofish.com/item?spm=a21ybx.search.searchFeedList.21.22e26c82v4o1nV&amp;id=1013558906432&amp;categoryId=201454708")</f>
        <v>https://www.goofish.com/item?spm=a21ybx.search.searchFeedList.21.22e26c82v4o1nV&amp;id=1013558906432&amp;categoryId=201454708</v>
      </c>
      <c r="I259">
        <v>1013558906432</v>
      </c>
      <c r="J259"/>
      <c r="K259"/>
      <c r="L259"/>
    </row>
    <row r="260" ht="25.5" customHeight="1">
      <c r="A260" t="inlineStr">
        <is>
          <t>【秒发】2026马年快闪PPT模板</t>
        </is>
      </c>
      <c r="B260">
        <v>338</v>
      </c>
      <c r="C260" t="inlineStr">
        <is>
          <t>不好意思! 这个资源丢失了，请等管理员操作~</t>
        </is>
      </c>
      <c r="D260" t="inlineStr">
        <is>
          <t>是</t>
        </is>
      </c>
      <c r="E260" t="inlineStr">
        <is>
          <t>✅2026马年快闪PPT模板
✅新年年会LED背景视频
✅颁奖典礼晚会开场倒计时
✅全部打包网盘自动发货
✅购买后发送网盘链接
✅永久观看</t>
        </is>
      </c>
      <c r="F260" s="2" t="str">
        <f>=HYPERLINK("https://img.alicdn.com/bao/uploaded/i1/O1CN01Zg79dd2DGc9XYIGjR_!!4611686018427387046-0-fleamarket.jpg_790x10000Q90.jpg_.webp", "https://img.alicdn.com/bao/uploaded/i1/O1CN01Zg79dd2DGc9XYIGjR_!!4611686018427387046-0-fleamarket.jpg_790x10000Q90.jpg_.webp")</f>
        <v>https://img.alicdn.com/bao/uploaded/i1/O1CN01Zg79dd2DGc9XYIGjR_!!4611686018427387046-0-fleamarket.jpg_790x10000Q90.jpg_.webp</v>
      </c>
      <c r="G260"/>
      <c r="H260" s="2" t="str">
        <f>=HYPERLINK("https://www.goofish.com/item?spm=a21ybx.search.searchFeedList.28.22e26c82v4o1nV&amp;id=1009486555572&amp;categoryId=201454708", "https://www.goofish.com/item?spm=a21ybx.search.searchFeedList.28.22e26c82v4o1nV&amp;id=1009486555572&amp;categoryId=201454708")</f>
        <v>https://www.goofish.com/item?spm=a21ybx.search.searchFeedList.28.22e26c82v4o1nV&amp;id=1009486555572&amp;categoryId=201454708</v>
      </c>
      <c r="I260">
        <v>1009486555572</v>
      </c>
      <c r="J260"/>
      <c r="K260"/>
      <c r="L260"/>
    </row>
    <row r="261" ht="25.5" customHeight="1">
      <c r="A261" t="inlineStr">
        <is>
          <t>【秒发】900套企业宣传PPT模板</t>
        </is>
      </c>
      <c r="B261">
        <v>339</v>
      </c>
      <c r="C261" t="inlineStr">
        <is>
          <t>不好意思! 这个资源丢失了，请等管理员操作~</t>
        </is>
      </c>
      <c r="D261" t="inlineStr">
        <is>
          <t>是</t>
        </is>
      </c>
      <c r="E261" t="inlineStr">
        <is>
          <t>✅900套企业宣传PPT模板
✅公司介绍PPT产品介绍PPT
✅涵盖各行各业适用于公司简介产品简介
✅可编辑可修改使用方便
✅24小时自动发货
✅精心挑选PPT高端模板简洁高效直观
✅每套模板精心挑选每款精品质量高
✅请下载后使用电脑端office和wps打开
✅虚拟物品售出不退不换</t>
        </is>
      </c>
      <c r="F261" s="2" t="str">
        <f>=HYPERLINK("https://img.alicdn.com/bao/uploaded/i3/O1CN01hAF0YS1Tsee9GkAo1_!!4611686018427386534-0-fleamarket.jpg_790x10000Q90.jpg_.webp", "https://img.alicdn.com/bao/uploaded/i3/O1CN01hAF0YS1Tsee9GkAo1_!!4611686018427386534-0-fleamarket.jpg_790x10000Q90.jpg_.webp")</f>
        <v>https://img.alicdn.com/bao/uploaded/i3/O1CN01hAF0YS1Tsee9GkAo1_!!4611686018427386534-0-fleamarket.jpg_790x10000Q90.jpg_.webp</v>
      </c>
      <c r="G261"/>
      <c r="H261" s="2" t="str">
        <f>=HYPERLINK("https://www.goofish.com/item?spm=a21ybx.search.searchFeedList.24.22e26c82v4o1nV&amp;id=894666835900&amp;categoryId=201453706", "https://www.goofish.com/item?spm=a21ybx.search.searchFeedList.24.22e26c82v4o1nV&amp;id=894666835900&amp;categoryId=201453706")</f>
        <v>https://www.goofish.com/item?spm=a21ybx.search.searchFeedList.24.22e26c82v4o1nV&amp;id=894666835900&amp;categoryId=201453706</v>
      </c>
      <c r="I261">
        <v>894666835900</v>
      </c>
      <c r="J261"/>
      <c r="K261"/>
      <c r="L261"/>
    </row>
    <row r="262" ht="25.5" customHeight="1">
      <c r="A262" t="inlineStr">
        <is>
          <t>【秒发】1000页四色商赛PPT模板</t>
        </is>
      </c>
      <c r="B262">
        <v>340</v>
      </c>
      <c r="C262" t="inlineStr">
        <is>
          <t>不好意思! 这个资源丢失了，请等管理员操作~</t>
        </is>
      </c>
      <c r="D262" t="inlineStr">
        <is>
          <t>是</t>
        </is>
      </c>
      <c r="E262" t="inlineStr">
        <is>
          <t>✅1000页数据贝恩商赛PPT模板
✅适用工作总结财务分析市场调研
✅四色任选蓝色红色橙色绿色
✅高端双色设计模拟麦肯锡咨询风格
✅适用日常报告市场调研数据分析
✅内容可编辑24小时内秒发
✅网页端手机端可能有兼容问题
✅建议下载电脑端office和wps查看</t>
        </is>
      </c>
      <c r="F262" s="2" t="str">
        <f>=HYPERLINK("https://img.alicdn.com/bao/uploaded/i4/O1CN01rCLaWD1oMgvEUqrJX_!!4611686018427387179-53-fleamarket.heic_790x10000Q90.jpg_.webp", "https://img.alicdn.com/bao/uploaded/i4/O1CN01rCLaWD1oMgvEUqrJX_!!4611686018427387179-53-fleamarket.heic_790x10000Q90.jpg_.webp")</f>
        <v>https://img.alicdn.com/bao/uploaded/i4/O1CN01rCLaWD1oMgvEUqrJX_!!4611686018427387179-53-fleamarket.heic_790x10000Q90.jpg_.webp</v>
      </c>
      <c r="G262"/>
      <c r="H262" s="2" t="str">
        <f>=HYPERLINK("https://www.goofish.com/item?spm=a21ybx.search.searchFeedList.28.22e26c82v4o1nV&amp;id=867027686359&amp;categoryId=201453706", "https://www.goofish.com/item?spm=a21ybx.search.searchFeedList.28.22e26c82v4o1nV&amp;id=867027686359&amp;categoryId=201453706")</f>
        <v>https://www.goofish.com/item?spm=a21ybx.search.searchFeedList.28.22e26c82v4o1nV&amp;id=867027686359&amp;categoryId=201453706</v>
      </c>
      <c r="I262">
        <v>867027686359</v>
      </c>
      <c r="J262"/>
      <c r="K262"/>
      <c r="L262"/>
    </row>
    <row r="263" ht="25.5" customHeight="1">
      <c r="A263" t="inlineStr">
        <is>
          <t>【秒发】147套人工智能PPT模板</t>
        </is>
      </c>
      <c r="B263">
        <v>341</v>
      </c>
      <c r="C263" t="inlineStr">
        <is>
          <t>不好意思! 这个资源丢失了，请等管理员操作~</t>
        </is>
      </c>
      <c r="D263" t="inlineStr">
        <is>
          <t>是</t>
        </is>
      </c>
      <c r="E263" t="inlineStr">
        <is>
          <t>✅147套人工智能PPT模板蓝色科技风
✅机器人主题动态效果大数据展示
✅涵盖机器人主题科技感动态
✅大数据分析人工智能介绍
✅科技工作汇报产品发布商务会议演示
✅未来科技展示动态图表科技报告
✅适合互联网大数据商务汇报
✅视觉冲击力强提升演示效果
✅拍下自动发网盘链接24小时内秒发
✅虚拟商品不退不换
✅资料来源网络公开渠道仅供学习交流</t>
        </is>
      </c>
      <c r="F263" s="2" t="str">
        <f>=HYPERLINK("https://img.alicdn.com/bao/uploaded/i1/O1CN01XVvPkb1IFlJQlRyKF_!!4611686018427383856-0-fleamarket.jpg_790x10000Q90.jpg_.webp", "https://img.alicdn.com/bao/uploaded/i1/O1CN01XVvPkb1IFlJQlRyKF_!!4611686018427383856-0-fleamarket.jpg_790x10000Q90.jpg_.webp")</f>
        <v>https://img.alicdn.com/bao/uploaded/i1/O1CN01XVvPkb1IFlJQlRyKF_!!4611686018427383856-0-fleamarket.jpg_790x10000Q90.jpg_.webp</v>
      </c>
      <c r="G263"/>
      <c r="H263" s="2" t="str">
        <f>=HYPERLINK("https://www.goofish.com/item?spm=a21ybx.search.searchFeedList.29.22e26c82v4o1nV&amp;id=1003448282930&amp;categoryId=201454708", "https://www.goofish.com/item?spm=a21ybx.search.searchFeedList.29.22e26c82v4o1nV&amp;id=1003448282930&amp;categoryId=201454708")</f>
        <v>https://www.goofish.com/item?spm=a21ybx.search.searchFeedList.29.22e26c82v4o1nV&amp;id=1003448282930&amp;categoryId=201454708</v>
      </c>
      <c r="I263">
        <v>1003448282930</v>
      </c>
      <c r="J263"/>
      <c r="K263"/>
      <c r="L263"/>
    </row>
    <row r="264" ht="25.5" customHeight="1">
      <c r="A264" t="inlineStr">
        <is>
          <t>【秒发】小学家长会PPT演讲稿视频</t>
        </is>
      </c>
      <c r="B264">
        <v>342</v>
      </c>
      <c r="C264" t="inlineStr">
        <is>
          <t>不好意思! 这个资源丢失了，请等管理员操作~</t>
        </is>
      </c>
      <c r="D264" t="inlineStr">
        <is>
          <t>是</t>
        </is>
      </c>
      <c r="E264" t="inlineStr">
        <is>
          <t>✅小学家长会PPT成品模板演讲稿暖场视频
✅一二三四五六年级上下学期
✅24小时自动秒发百度网盘
✅2025年小学生家长会1-6年级上下分类
✅可编辑精选实用成品PPT+发言稿+暖场视频
✅任何不满意直接退款
✅预览图对应相应源文件名字不是卖图片
✅没有任何额外费用不会使用可以咨询解决
✅每套风格模版精心挑选每款精选质量高</t>
        </is>
      </c>
      <c r="F264" s="2" t="str">
        <f>=HYPERLINK("https://img.alicdn.com/bao/uploaded/i4/O1CN018ejMLH1dZ5xGmH2OR_!!4611686018427387605-0-fleamarket.jpg_790x10000Q90.jpg_.webp", "https://img.alicdn.com/bao/uploaded/i4/O1CN018ejMLH1dZ5xGmH2OR_!!4611686018427387605-0-fleamarket.jpg_790x10000Q90.jpg_.webp")</f>
        <v>https://img.alicdn.com/bao/uploaded/i4/O1CN018ejMLH1dZ5xGmH2OR_!!4611686018427387605-0-fleamarket.jpg_790x10000Q90.jpg_.webp</v>
      </c>
      <c r="G264"/>
      <c r="H264" s="2" t="str">
        <f>=HYPERLINK("https://www.goofish.com/item?spm=a21ybx.search.searchFeedList.12.22e26c82jlohwD&amp;id=995010492238&amp;categoryId=201454708", "https://www.goofish.com/item?spm=a21ybx.search.searchFeedList.12.22e26c82jlohwD&amp;id=995010492238&amp;categoryId=201454708")</f>
        <v>https://www.goofish.com/item?spm=a21ybx.search.searchFeedList.12.22e26c82jlohwD&amp;id=995010492238&amp;categoryId=201454708</v>
      </c>
      <c r="I264">
        <v>995010492238</v>
      </c>
      <c r="J264"/>
      <c r="K264"/>
      <c r="L264"/>
    </row>
    <row r="265" ht="25.5" customHeight="1">
      <c r="A265" t="inlineStr">
        <is>
          <t>【秒发】2025全套拼音学习课件</t>
        </is>
      </c>
      <c r="B265">
        <v>343</v>
      </c>
      <c r="C265" t="inlineStr">
        <is>
          <t>不好意思! 这个资源丢失了，请等管理员操作~</t>
        </is>
      </c>
      <c r="D265" t="inlineStr">
        <is>
          <t>是</t>
        </is>
      </c>
      <c r="E265" t="inlineStr">
        <is>
          <t>✅2025全新整理拼音PPT课件动画视频练习
✅幼小衔接电子版全套资料
✅2025全套趣味拼音学习可打印
✅包含视频动漫游戏练习PPT
✅从0开始帮助小朋友轻松掌握
✅适合幼儿园小学阶段使用
✅电子版资料售出不退
✅如有问题请在客服聊天窗口留言</t>
        </is>
      </c>
      <c r="F265" s="2" t="str">
        <f>=HYPERLINK("https://img.alicdn.com/bao/uploaded/i1/O1CN01Fj9Fdg1IFlJJFM048_!!4611686018427383856-53-fleamarket.heic_790x10000Q90.jpg_.webp", "https://img.alicdn.com/bao/uploaded/i1/O1CN01Fj9Fdg1IFlJJFM048_!!4611686018427383856-53-fleamarket.heic_790x10000Q90.jpg_.webp")</f>
        <v>https://img.alicdn.com/bao/uploaded/i1/O1CN01Fj9Fdg1IFlJJFM048_!!4611686018427383856-53-fleamarket.heic_790x10000Q90.jpg_.webp</v>
      </c>
      <c r="G265"/>
      <c r="H265" s="2" t="str">
        <f>=HYPERLINK("https://www.goofish.com/item?spm=a21ybx.search.searchFeedList.15.22e26c82v4o1nV&amp;id=1001203797915&amp;categoryId=201454708", "https://www.goofish.com/item?spm=a21ybx.search.searchFeedList.15.22e26c82v4o1nV&amp;id=1001203797915&amp;categoryId=201454708")</f>
        <v>https://www.goofish.com/item?spm=a21ybx.search.searchFeedList.15.22e26c82v4o1nV&amp;id=1001203797915&amp;categoryId=201454708</v>
      </c>
      <c r="I265">
        <v>1001203797915</v>
      </c>
      <c r="J265"/>
      <c r="K265"/>
      <c r="L265"/>
    </row>
    <row r="266" ht="25.5" customHeight="1">
      <c r="A266" t="inlineStr">
        <is>
          <t>【秒发】170页高级感红色系PPT模板</t>
        </is>
      </c>
      <c r="B266">
        <v>344</v>
      </c>
      <c r="C266" t="inlineStr">
        <is>
          <t>不好意思! 这个资源丢失了，请等管理员操作~</t>
        </is>
      </c>
      <c r="D266" t="inlineStr">
        <is>
          <t>是</t>
        </is>
      </c>
      <c r="E266" t="inlineStr">
        <is>
          <t>✅170页高级感红色系PPT模板图文排版超棒
✅全新更新到170页买即得最新版本
✅一图到多图各种形式都有
✅轻松做出高级感所有元素可编辑
✅图片可换一键换色超方便
✅直接套用效果赞标价即卖价
✅拍下自动发货白度网盘链接发货
✅不退不换</t>
        </is>
      </c>
      <c r="F266" s="2" t="str">
        <f>=HYPERLINK("https://img.alicdn.com/bao/uploaded/i1/O1CN012ggqM21svHMQ6z9f6_!!4611686018427381684-0-fleamarket.jpg_790x10000Q90.jpg_.webp", "https://img.alicdn.com/bao/uploaded/i1/O1CN012ggqM21svHMQ6z9f6_!!4611686018427381684-0-fleamarket.jpg_790x10000Q90.jpg_.webp")</f>
        <v>https://img.alicdn.com/bao/uploaded/i1/O1CN012ggqM21svHMQ6z9f6_!!4611686018427381684-0-fleamarket.jpg_790x10000Q90.jpg_.webp</v>
      </c>
      <c r="G266"/>
      <c r="H266" s="2" t="str">
        <f>=HYPERLINK("https://www.goofish.com/item?spm=a21ybx.search.searchFeedList.11.22e26c82jlohwD&amp;id=975639596553&amp;categoryId=201454708", "https://www.goofish.com/item?spm=a21ybx.search.searchFeedList.11.22e26c82jlohwD&amp;id=975639596553&amp;categoryId=201454708")</f>
        <v>https://www.goofish.com/item?spm=a21ybx.search.searchFeedList.11.22e26c82jlohwD&amp;id=975639596553&amp;categoryId=201454708</v>
      </c>
      <c r="I266">
        <v>975639596553</v>
      </c>
      <c r="J266"/>
      <c r="K266"/>
      <c r="L266"/>
    </row>
    <row r="267" ht="25.5" customHeight="1">
      <c r="A267" t="inlineStr">
        <is>
          <t>【秒发】4款年会游戏互动PPT</t>
        </is>
      </c>
      <c r="B267">
        <v>345</v>
      </c>
      <c r="C267" t="inlineStr">
        <is>
          <t>不好意思! 这个资源丢失了，请等管理员操作~</t>
        </is>
      </c>
      <c r="D267" t="inlineStr">
        <is>
          <t>是</t>
        </is>
      </c>
      <c r="E267" t="inlineStr">
        <is>
          <t>✅4款年会游戏PPT模板元旦新年公司游戏互动
✅包你画我猜谁是卧底职场团建
✅谐音梗挑战+你画我猜+看emoji猜成语+谁是卧底
✅每款游戏配好详细规则素材和题目
✅无需自己费心找题写流程打开直接使用
✅活泼黄黑漫画风气氛十足
✅适用于企业年会部门团建尾牙宴
✅内容可编辑可修改轻松应对各种现场需求
✅拍下秒发百度网盘链接自动发货
✅本商品为虚拟资料版权归属原作者</t>
        </is>
      </c>
      <c r="F267" s="2" t="str">
        <f>=HYPERLINK("https://img.alicdn.com/bao/uploaded/i1/2221187899404/O1CN01MYtPzM2JL5imjGReM_!!4611686018427379724-53-xy_item.heic_790x10000Q90.jpg_.webp", "https://img.alicdn.com/bao/uploaded/i1/2221187899404/O1CN01MYtPzM2JL5imjGReM_!!4611686018427379724-53-xy_item.heic_790x10000Q90.jpg_.webp")</f>
        <v>https://img.alicdn.com/bao/uploaded/i1/2221187899404/O1CN01MYtPzM2JL5imjGReM_!!4611686018427379724-53-xy_item.heic_790x10000Q90.jpg_.webp</v>
      </c>
      <c r="G267"/>
      <c r="H267" s="2" t="str">
        <f>=HYPERLINK("https://www.goofish.com/item?spm=a21ybx.search.searchFeedList.27.22e26c82v4o1nV&amp;id=1015555988422&amp;categoryId=201454708", "https://www.goofish.com/item?spm=a21ybx.search.searchFeedList.27.22e26c82v4o1nV&amp;id=1015555988422&amp;categoryId=201454708")</f>
        <v>https://www.goofish.com/item?spm=a21ybx.search.searchFeedList.27.22e26c82v4o1nV&amp;id=1015555988422&amp;categoryId=201454708</v>
      </c>
      <c r="I267">
        <v>1015555988422</v>
      </c>
      <c r="J267"/>
      <c r="K267"/>
      <c r="L267"/>
    </row>
    <row r="268" ht="25.5" customHeight="1">
      <c r="A268" t="inlineStr">
        <is>
          <t>【秒发】2026马年元旦晚会PPT</t>
        </is>
      </c>
      <c r="B268">
        <v>346</v>
      </c>
      <c r="C268" t="inlineStr">
        <is>
          <t>不好意思! 这个资源丢失了，请等管理员操作~</t>
        </is>
      </c>
      <c r="D268" t="inlineStr">
        <is>
          <t>是</t>
        </is>
      </c>
      <c r="E268" t="inlineStr">
        <is>
          <t>✅2026马年元旦游戏联欢晚会PPT课件
✅81页可修改编辑内容丰富
✅适合班级学校幼儿园元旦活动
✅互动性强包含多种小游戏和活动环节
✅目录清晰直接拿来用很方便
✅PPT文件可编辑修改
✅拍下发网盘链接标价即售价
✅直接拍就行能拍就是有货</t>
        </is>
      </c>
      <c r="F268" s="2" t="str">
        <f>=HYPERLINK("https://img.alicdn.com/bao/uploaded/i3/2221166003364/O1CN01vCpg6A1ailTioItVW_!!4611686018427380900-53-xy_item.heic_790x10000Q90.jpg_.webp", "https://img.alicdn.com/bao/uploaded/i3/2221166003364/O1CN01vCpg6A1ailTioItVW_!!4611686018427380900-53-xy_item.heic_790x10000Q90.jpg_.webp")</f>
        <v>https://img.alicdn.com/bao/uploaded/i3/2221166003364/O1CN01vCpg6A1ailTioItVW_!!4611686018427380900-53-xy_item.heic_790x10000Q90.jpg_.webp</v>
      </c>
      <c r="G268"/>
      <c r="H268" s="2" t="str">
        <f>=HYPERLINK("https://www.goofish.com/item?spm=a21ybx.search.searchFeedList.21.22e26c82v4o1nV&amp;id=1005840222093&amp;categoryId=201454708", "https://www.goofish.com/item?spm=a21ybx.search.searchFeedList.21.22e26c82v4o1nV&amp;id=1005840222093&amp;categoryId=201454708")</f>
        <v>https://www.goofish.com/item?spm=a21ybx.search.searchFeedList.21.22e26c82v4o1nV&amp;id=1005840222093&amp;categoryId=201454708</v>
      </c>
      <c r="I268">
        <v>1005840222093</v>
      </c>
      <c r="J268"/>
      <c r="K268"/>
      <c r="L268"/>
    </row>
    <row r="269" ht="25.5" customHeight="1">
      <c r="A269" t="inlineStr">
        <is>
          <t>【秒发】30分钟搭建AI助理，多模型+自动化任务</t>
        </is>
      </c>
      <c r="B269">
        <v>347</v>
      </c>
      <c r="C269" t="inlineStr">
        <is>
          <t>不好意思! 这个资源丢失了，请等管理员操作~</t>
        </is>
      </c>
      <c r="D269" t="inlineStr">
        <is>
          <t>是</t>
        </is>
      </c>
      <c r="E269" t="inlineStr">
        <is>
          <t>✅ 支持Claude/GLM等多模型切换，满足不同场景需求
✅ 24小时在线AI助理，自动处理工作消息
✅ 完整AI Agent智能体+实用Skills工具包
✅ 对接飞书，手机随时随地下发任务
✅ 复制粘贴式安装，Mac/Windows/Linux通用
✅ 多端同步，实测可用，跟着做就能成功
【售后保障】
自动发货，虚拟资料
售出不退换，介意勿拍
⚠️ 资料源自实操整理，仅供个人学习使用</t>
        </is>
      </c>
      <c r="F269" s="2" t="str">
        <f>=HYPERLINK("http://img.alicdn.com/bao/uploaded/i2/2219500941290/O1CN015BG9uB1LOs3BdiRWA_!!4611686018427383786-53-xy_item.heic_790x10000Q90.jpg_.webp", "img.alicdn.com/bao/uploaded/i2/2219500941290/O1CN015BG9uB1LOs3BdiRWA_!!4611686018427383786-53-xy_item.heic_790x10000Q90.jpg_.webp")</f>
        <v>img.alicdn.com/bao/uploaded/i2/2219500941290/O1CN015BG9uB1LOs3BdiRWA_!!4611686018427383786-53-xy_item.heic_790x10000Q90.jpg_.webp</v>
      </c>
      <c r="G269"/>
      <c r="H269" s="2" t="str">
        <f>=HYPERLINK("https://www.goofish.com/item?spm=a21ybx.search.searchFeedList.4.7b8663e8tuRwSE&amp;id=1025290175586&amp;categoryId=202036301", "https://www.goofish.com/item?spm=a21ybx.search.searchFeedList.4.7b8663e8tuRwSE&amp;id=1025290175586&amp;categoryId=202036301")</f>
        <v>https://www.goofish.com/item?spm=a21ybx.search.searchFeedList.4.7b8663e8tuRwSE&amp;id=1025290175586&amp;categoryId=202036301</v>
      </c>
      <c r="I269">
        <v>1025290175586</v>
      </c>
      <c r="J269"/>
      <c r="K269"/>
      <c r="L269"/>
    </row>
    <row r="270" ht="25.5" customHeight="1">
      <c r="A270" t="inlineStr">
        <is>
          <t>【秒发】Clawbot部署教程，30分钟搞定AI助理</t>
        </is>
      </c>
      <c r="B270">
        <v>348</v>
      </c>
      <c r="C270" t="inlineStr">
        <is>
          <t>不好意思! 这个资源丢失了，请等管理员操作~</t>
        </is>
      </c>
      <c r="D270" t="inlineStr">
        <is>
          <t>是</t>
        </is>
      </c>
      <c r="E270" t="inlineStr">
        <is>
          <t>✅ 30分钟即可完成部署，小白也能轻松上手
✅ 支持Mac/Windows/Linux，全平台通用
✅ 一键安装复制粘贴，无需复杂操作
✅ 支持Claude/Gemini/Ollama等多模型灵活切换
✅ Telegram/WhatsApp/Slack/Discord多端同步
✅ 全天自动任务+AI Agent智能体+Skills工具包
✅ 24小时自动发货，拍下即刻获得网盘链接
【售后说明】
虚拟资料，一经拍下不退不换
⚠️ 仅供个人学习使用，禁止商业传播</t>
        </is>
      </c>
      <c r="F270" s="2" t="str">
        <f>=HYPERLINK("https://img.alicdn.com/bao/uploaded/i2/2200829332204/O1CN01k9p2UE1S9U3Nmisi4_!!4611686018427382508-53-xy_item.heic_790x10000Q90.jpg_.webp", "https://img.alicdn.com/bao/uploaded/i2/2200829332204/O1CN01k9p2UE1S9U3Nmisi4_!!4611686018427382508-53-xy_item.heic_790x10000Q90.jpg_.webp")</f>
        <v>https://img.alicdn.com/bao/uploaded/i2/2200829332204/O1CN01k9p2UE1S9U3Nmisi4_!!4611686018427382508-53-xy_item.heic_790x10000Q90.jpg_.webp</v>
      </c>
      <c r="G270"/>
      <c r="H270" s="2" t="str">
        <f>=HYPERLINK("https://www.goofish.com/item?spm=a21ybx.search.searchFeedList.3.7b8663e8tuRwSE&amp;id=1024030250237&amp;categoryId=202145854", "https://www.goofish.com/item?spm=a21ybx.search.searchFeedList.3.7b8663e8tuRwSE&amp;id=1024030250237&amp;categoryId=202145854")</f>
        <v>https://www.goofish.com/item?spm=a21ybx.search.searchFeedList.3.7b8663e8tuRwSE&amp;id=1024030250237&amp;categoryId=202145854</v>
      </c>
      <c r="I270">
        <v>1024030250237</v>
      </c>
      <c r="J270"/>
      <c r="K270"/>
      <c r="L270"/>
    </row>
    <row r="271" ht="25.5" customHeight="1">
      <c r="A271" t="inlineStr">
        <is>
          <t>【秒发】46年考研英语真题+解析+词汇</t>
        </is>
      </c>
      <c r="B271">
        <v>349</v>
      </c>
      <c r="C271" t="inlineStr">
        <is>
          <t>不好意思! 这个资源丢失了，请等管理员操作~</t>
        </is>
      </c>
      <c r="D271"/>
      <c r="E271" t="inlineStr">
        <is>
          <t>✅ 1980-2026年英语一+英语二真题+黄皮书解析，46年真题全覆盖
✅ 26考研英语真题已更新，最新12月考试真题已入库
✅ 无水印高清PDF，试卷答案分离，直接打印，适合二刷三刷
✅ 赠送2005-2024年英语逐词翻译+真题词汇，一应俱全
✅ 24小时自动秒发，网盘链接直达，拍下即发
✅ 用不了不满意包退，放心购买，售后无忧</t>
        </is>
      </c>
      <c r="F271" s="2" t="str">
        <f>=HYPERLINK("https://img.alicdn.com/bao/uploaded/i3/O1CN01M8flum1Exx4kUJUr2_!!4611686018427384691-53-fleamarket.heic_790x10000Q90.jpg_.webp", "https://img.alicdn.com/bao/uploaded/i3/O1CN01M8flum1Exx4kUJUr2_!!4611686018427384691-53-fleamarket.heic_790x10000Q90.jpg_.webp")</f>
        <v>https://img.alicdn.com/bao/uploaded/i3/O1CN01M8flum1Exx4kUJUr2_!!4611686018427384691-53-fleamarket.heic_790x10000Q90.jpg_.webp</v>
      </c>
      <c r="G271"/>
      <c r="H271" s="2" t="str">
        <f>=HYPERLINK("https://www.goofish.com/item?spm=a21ybx.search.searchFeedList.2.428b3984Nd7G6J&amp;id=1025211276021&amp;categoryId=201459411", "https://www.goofish.com/item?spm=a21ybx.search.searchFeedList.2.428b3984Nd7G6J&amp;id=1025211276021&amp;categoryId=201459411")</f>
        <v>https://www.goofish.com/item?spm=a21ybx.search.searchFeedList.2.428b3984Nd7G6J&amp;id=1025211276021&amp;categoryId=201459411</v>
      </c>
      <c r="I271">
        <v>1025211276021</v>
      </c>
      <c r="J271"/>
      <c r="K271"/>
      <c r="L271"/>
    </row>
    <row r="272" ht="25.5" customHeight="1">
      <c r="A272" t="inlineStr">
        <is>
          <t>【秒发】26事业单位联考ABCDE类全科系统班</t>
        </is>
      </c>
      <c r="B272">
        <v>350</v>
      </c>
      <c r="C272" t="inlineStr">
        <is>
          <t>不好意思! 这个资源丢失了，请等管理员操作~</t>
        </is>
      </c>
      <c r="D272"/>
      <c r="E272" t="inlineStr">
        <is>
          <t>✅ 2026版事业编系统班，职测+综应+公基+时政全科覆盖，一站式备考
✅ 高清视频+电子讲义+历年真题+行测2000题+公基6000题，从基础到冲刺
✅ A/B/C/D/E五类全覆盖，联考笔试资料应有尽有，精准匹配考试需求
✅ 2026全年动态更新，紧跟考纲变化，内容永不落伍
✅ 一次购买终身免费更新，无二次收费，性价比拉满
✅ 24小时自动秒发，网盘链接直达，拍下即发
✅ 虚拟商品售出概不退换，请确认需求后再拍</t>
        </is>
      </c>
      <c r="F272" s="2" t="str">
        <f>=HYPERLINK("https://img.alicdn.com/bao/uploaded/i2/1081457074/O1CN015Yqd0g227wtGkpg20_!!4611686018427386290-53-xy_item.heic_790x10000Q90.jpg_.webp", "https://img.alicdn.com/bao/uploaded/i2/1081457074/O1CN015Yqd0g227wtGkpg20_!!4611686018427386290-53-xy_item.heic_790x10000Q90.jpg_.webp")</f>
        <v>https://img.alicdn.com/bao/uploaded/i2/1081457074/O1CN015Yqd0g227wtGkpg20_!!4611686018427386290-53-xy_item.heic_790x10000Q90.jpg_.webp</v>
      </c>
      <c r="G272"/>
      <c r="H272" s="2" t="str">
        <f>=HYPERLINK("https://www.goofish.com/item?spm=a21ybx.search.searchFeedList.22.428b3984Nd7G6J&amp;id=1017340899058&amp;categoryId=202036301", "https://www.goofish.com/item?spm=a21ybx.search.searchFeedList.22.428b3984Nd7G6J&amp;id=1017340899058&amp;categoryId=202036301")</f>
        <v>https://www.goofish.com/item?spm=a21ybx.search.searchFeedList.22.428b3984Nd7G6J&amp;id=1017340899058&amp;categoryId=202036301</v>
      </c>
      <c r="I272">
        <v>1017340899058</v>
      </c>
      <c r="J272"/>
      <c r="K272"/>
      <c r="L272"/>
    </row>
    <row r="273" ht="25.5" customHeight="1">
      <c r="A273" t="inlineStr">
        <is>
          <t>【秒发】26江苏事业编14年真题+全网最全网课</t>
        </is>
      </c>
      <c r="B273">
        <v>351</v>
      </c>
      <c r="C273" t="inlineStr">
        <is>
          <t>不好意思! 这个资源丢失了，请等管理员操作~</t>
        </is>
      </c>
      <c r="D273"/>
      <c r="E273" t="inlineStr">
        <is>
          <t>✅ 2012-2025江苏事业编管理岗笔试真题及解析，14年真题全覆盖
✅ 计算机/经济类/法律类专技岗真题，主流讲师北欧小林土豆视频课
✅ 2026江苏事业编网课持续更新，备考三色笔记+阅卷标准回忆版
✅ 管理岗专技岗通用，度盘夸克双盘发货，拍这一个就够了
✅ 重磅赠送国考省考事业编三考名师课程，进面免费送面试资料
✅ 24小时自动秒发，放心拍，全网最全源头资源
✅ 虚拟商品标价含整理费，个人学习使用，介意勿拍</t>
        </is>
      </c>
      <c r="F273" s="2" t="str">
        <f>=HYPERLINK("https://img.alicdn.com/bao/uploaded/i2/3399355765/O1CN01AJrfV61sSQROeYbis_!!4611686018427383157-53-xy_item.heic_790x10000Q90.jpg_.webp", "https://img.alicdn.com/bao/uploaded/i2/3399355765/O1CN01AJrfV61sSQROeYbis_!!4611686018427383157-53-xy_item.heic_790x10000Q90.jpg_.webp")</f>
        <v>https://img.alicdn.com/bao/uploaded/i2/3399355765/O1CN01AJrfV61sSQROeYbis_!!4611686018427383157-53-xy_item.heic_790x10000Q90.jpg_.webp</v>
      </c>
      <c r="G273"/>
      <c r="H273" s="2" t="str">
        <f>=HYPERLINK("https://www.goofish.com/item?spm=a21ybx.search.searchFeedList.6.428b3984Nd7G6J&amp;id=905336832010&amp;categoryId=202036301", "https://www.goofish.com/item?spm=a21ybx.search.searchFeedList.6.428b3984Nd7G6J&amp;id=905336832010&amp;categoryId=202036301")</f>
        <v>https://www.goofish.com/item?spm=a21ybx.search.searchFeedList.6.428b3984Nd7G6J&amp;id=905336832010&amp;categoryId=202036301</v>
      </c>
      <c r="I273">
        <v>905336832010</v>
      </c>
      <c r="J273"/>
      <c r="K273"/>
      <c r="L273"/>
    </row>
    <row r="274" ht="25.5" customHeight="1">
      <c r="A274" t="inlineStr">
        <is>
          <t>【秒发】26年计算机二级WPS 14套真题+答案</t>
        </is>
      </c>
      <c r="B274">
        <v>352</v>
      </c>
      <c r="C274" t="inlineStr">
        <is>
          <t>不好意思! 这个资源丢失了，请等管理员操作~</t>
        </is>
      </c>
      <c r="D274"/>
      <c r="E274" t="inlineStr">
        <is>
          <t>✅ 26年3月最新14套WPS Office真题+答案解析，比别家多2套超全
✅ 操作题+选择题全覆盖，考生文件夹+解析，自己练习超方便
✅ 赠送26年3月新版题库，可实操可评分，背完就能过
✅ 白度夸克双盘发货，手机平板电脑多端可用
✅ 24小时自动秒发，标价就是售价，拍下即发
✅ 虚拟资料发货后不退不换，品质问题提供无理由退款</t>
        </is>
      </c>
      <c r="F274" s="2" t="str">
        <f>=HYPERLINK("https://img.alicdn.com/bao/uploaded/i2/2220368930019/O1CN01Wweyri1C0keFeBuj1_!!4611686018427380963-53-xy_item.heic_790x10000Q90.jpg_.webp", "https://img.alicdn.com/bao/uploaded/i2/2220368930019/O1CN01Wweyri1C0keFeBuj1_!!4611686018427380963-53-xy_item.heic_790x10000Q90.jpg_.webp")</f>
        <v>https://img.alicdn.com/bao/uploaded/i2/2220368930019/O1CN01Wweyri1C0keFeBuj1_!!4611686018427380963-53-xy_item.heic_790x10000Q90.jpg_.webp</v>
      </c>
      <c r="G274"/>
      <c r="H274" s="2" t="str">
        <f>=HYPERLINK("https://www.goofish.com/item?spm=a21ybx.search.searchFeedList.17.428b3984Nd7G6J&amp;id=1022851656458&amp;categoryId=202036301", "https://www.goofish.com/item?spm=a21ybx.search.searchFeedList.17.428b3984Nd7G6J&amp;id=1022851656458&amp;categoryId=202036301")</f>
        <v>https://www.goofish.com/item?spm=a21ybx.search.searchFeedList.17.428b3984Nd7G6J&amp;id=1022851656458&amp;categoryId=202036301</v>
      </c>
      <c r="I274">
        <v>1022851656458</v>
      </c>
      <c r="J274"/>
      <c r="K274"/>
      <c r="L274"/>
    </row>
    <row r="275" ht="25.5" customHeight="1">
      <c r="A275" t="inlineStr">
        <is>
          <t>【秒发】25高考34省真题9科原卷+解析</t>
        </is>
      </c>
      <c r="B275">
        <v>353</v>
      </c>
      <c r="C275" t="inlineStr">
        <is>
          <t>不好意思! 这个资源丢失了，请等管理员操作~</t>
        </is>
      </c>
      <c r="D275"/>
      <c r="E275" t="inlineStr">
        <is>
          <t>✅ 2025高考历年真题电子版，全国卷+34省地方卷全覆盖
✅ 数学英语语文生物化学等9科齐全，原卷+解析版双重保障
✅ Word+PDF格式可编辑打印，方便刷题和模拟测试
✅ 2025真题陆续更新中，永久有效不用担心找不到
✅ 百度夸克双盘自动发货，文件大可选择性转存
✅ 虚拟资料看好再拍，发货后不退不换，整理费用</t>
        </is>
      </c>
      <c r="F275" s="2" t="str">
        <f>=HYPERLINK("https://img.alicdn.com/bao/uploaded/i2/O1CN01WL8FS61Exx4lqIY3P_!!4611686018427384691-53-fleamarket.heic_790x10000Q90.jpg_.webp", "https://img.alicdn.com/bao/uploaded/i2/O1CN01WL8FS61Exx4lqIY3P_!!4611686018427384691-53-fleamarket.heic_790x10000Q90.jpg_.webp")</f>
        <v>https://img.alicdn.com/bao/uploaded/i2/O1CN01WL8FS61Exx4lqIY3P_!!4611686018427384691-53-fleamarket.heic_790x10000Q90.jpg_.webp</v>
      </c>
      <c r="G275"/>
      <c r="H275" s="2" t="str">
        <f>=HYPERLINK("https://www.goofish.com/item?spm=a21ybx.search.searchFeedList.28.428b3984Nd7G6J&amp;id=1027053650782&amp;categoryId=201459411", "https://www.goofish.com/item?spm=a21ybx.search.searchFeedList.28.428b3984Nd7G6J&amp;id=1027053650782&amp;categoryId=201459411")</f>
        <v>https://www.goofish.com/item?spm=a21ybx.search.searchFeedList.28.428b3984Nd7G6J&amp;id=1027053650782&amp;categoryId=201459411</v>
      </c>
      <c r="I275">
        <v>1027053650782</v>
      </c>
      <c r="J275"/>
      <c r="K275"/>
      <c r="L275"/>
    </row>
    <row r="276" ht="25.5" customHeight="1">
      <c r="A276" t="inlineStr">
        <is>
          <t>【秒发】26+27考研黄皮书全套PDF电子版</t>
        </is>
      </c>
      <c r="B276">
        <v>354</v>
      </c>
      <c r="C276" t="inlineStr">
        <is>
          <t>不好意思! 这个资源丢失了，请等管理员操作~</t>
        </is>
      </c>
      <c r="D276"/>
      <c r="E276" t="inlineStr">
        <is>
          <t>✅ 2026版+27考研黄皮书全套，真题写作阅读模拟卷全覆盖
✅ 历年真题+配套课程+自测手译本+导学版+解析+复习思路应有尽有
✅ 英语一英语二通用，资料整理清晰，直接发网盘链接
✅ 夸克网盘秒发，不用等快递，省心省力，随时可用
✅ 24小时自动发货，拍下即发，价格可聊
✅ 虚拟商品售出不退不换，看好再拍</t>
        </is>
      </c>
      <c r="F276" s="2" t="str">
        <f>=HYPERLINK("https://img.alicdn.com/bao/uploaded/i1/2220864791724/O1CN01N48uSK1Obdw1vC450_!!4611686018427380908-0-xy_item.jpg_790x10000Q90.jpg_.webp", "https://img.alicdn.com/bao/uploaded/i1/2220864791724/O1CN01N48uSK1Obdw1vC450_!!4611686018427380908-0-xy_item.jpg_790x10000Q90.jpg_.webp")</f>
        <v>https://img.alicdn.com/bao/uploaded/i1/2220864791724/O1CN01N48uSK1Obdw1vC450_!!4611686018427380908-0-xy_item.jpg_790x10000Q90.jpg_.webp</v>
      </c>
      <c r="G276"/>
      <c r="H276" s="2" t="str">
        <f>=HYPERLINK("https://www.goofish.com/item?spm=a21ybx.search.searchFeedList.2.428b3984Nd7G6J&amp;id=1013677923240&amp;categoryId=202036301", "https://www.goofish.com/item?spm=a21ybx.search.searchFeedList.2.428b3984Nd7G6J&amp;id=1013677923240&amp;categoryId=202036301")</f>
        <v>https://www.goofish.com/item?spm=a21ybx.search.searchFeedList.2.428b3984Nd7G6J&amp;id=1013677923240&amp;categoryId=202036301</v>
      </c>
      <c r="I276">
        <v>1013677923240</v>
      </c>
      <c r="J276"/>
      <c r="K276"/>
      <c r="L276"/>
    </row>
    <row r="277" ht="25.5" customHeight="1">
      <c r="A277" t="inlineStr">
        <is>
          <t>【秒发】27考研电路电气全网最全资料</t>
        </is>
      </c>
      <c r="B277">
        <v>355</v>
      </c>
      <c r="C277" t="inlineStr">
        <is>
          <t>不好意思! 这个资源丢失了，请等管理员操作~</t>
        </is>
      </c>
      <c r="D277"/>
      <c r="E277" t="inlineStr">
        <is>
          <t>✅ 27考研电路电气资料网课合集，宝典A/B/S+330题+配套课程全覆盖
✅ 零基础课+电路基础强化课+各大院校真题，题型全讲解清晰
✅ 可订阅27资料更新，拍一份享两份资料，刷题查漏补缺方便
✅ 资料整理清晰，直接发网盘链接，拍下秒发省心省力
✅ 24小时自动发货，全网最全电气备考资料
✅ 虚拟商品售出不退不换，看好再拍</t>
        </is>
      </c>
      <c r="F277" s="2" t="str">
        <f>=HYPERLINK("https://img.alicdn.com/bao/uploaded/i2/2222118795247/O1CN01m5FaU21odBHgpeG3Y_!!4611686018427385839-0-xy_item.jpg_790x10000Q90.jpg_.webp", "https://img.alicdn.com/bao/uploaded/i2/2222118795247/O1CN01m5FaU21odBHgpeG3Y_!!4611686018427385839-0-xy_item.jpg_790x10000Q90.jpg_.webp")</f>
        <v>https://img.alicdn.com/bao/uploaded/i2/2222118795247/O1CN01m5FaU21odBHgpeG3Y_!!4611686018427385839-0-xy_item.jpg_790x10000Q90.jpg_.webp</v>
      </c>
      <c r="G277"/>
      <c r="H277" s="2" t="str">
        <f>=HYPERLINK("https://www.goofish.com/item?spm=a21ybx.search.searchFeedList.26.428b3984Nd7G6J&amp;id=1032443270954&amp;categoryId=201454414", "https://www.goofish.com/item?spm=a21ybx.search.searchFeedList.26.428b3984Nd7G6J&amp;id=1032443270954&amp;categoryId=201454414")</f>
        <v>https://www.goofish.com/item?spm=a21ybx.search.searchFeedList.26.428b3984Nd7G6J&amp;id=1032443270954&amp;categoryId=201454414</v>
      </c>
      <c r="I277">
        <v>1032443270954</v>
      </c>
      <c r="J277"/>
      <c r="K277"/>
      <c r="L277"/>
    </row>
    <row r="278" ht="25.5" customHeight="1">
      <c r="A278" t="inlineStr">
        <is>
          <t>【秒发】26软考网工90G全套资料送老姜课程</t>
        </is>
      </c>
      <c r="B278">
        <v>356</v>
      </c>
      <c r="C278" t="inlineStr">
        <is>
          <t>不好意思! 这个资源丢失了，请等管理员操作~</t>
        </is>
      </c>
      <c r="D278"/>
      <c r="E278" t="inlineStr">
        <is>
          <t>✅ 2026软考中级网络工程师Summer全套，90G资料持续更新到11月
✅ 2025新版教材+视频+真题+华为实验+刷题软件+冲刺模拟全覆盖
✅ 送网工老姜课程，双讲师加持，重点笔记章节习题考点难点都有
✅ 5月开课同步全年更新，自动发货百度网盘秒发，省心省力
✅ 24小时自动发货，全程无忧，学习建议随时私聊
✅ 虚拟商品售出不退不换，看好再拍</t>
        </is>
      </c>
      <c r="F278" s="2" t="str">
        <f>=HYPERLINK("https://img.alicdn.com/bao/uploaded/i2/3714554192/O1CN01Iu2kno1gpzQPywd5m_!!4611686018427386192-53-xy_item.heic_790x10000Q90.jpg_.webp", "https://img.alicdn.com/bao/uploaded/i2/3714554192/O1CN01Iu2kno1gpzQPywd5m_!!4611686018427386192-53-xy_item.heic_790x10000Q90.jpg_.webp")</f>
        <v>https://img.alicdn.com/bao/uploaded/i2/3714554192/O1CN01Iu2kno1gpzQPywd5m_!!4611686018427386192-53-xy_item.heic_790x10000Q90.jpg_.webp</v>
      </c>
      <c r="G278"/>
      <c r="H278" s="2" t="str">
        <f>=HYPERLINK("https://www.goofish.com/item?spm=a21ybx.search.searchFeedList.29.428b3984Nd7G6J&amp;id=1013264157333&amp;categoryId=202036301", "https://www.goofish.com/item?spm=a21ybx.search.searchFeedList.29.428b3984Nd7G6J&amp;id=1013264157333&amp;categoryId=202036301")</f>
        <v>https://www.goofish.com/item?spm=a21ybx.search.searchFeedList.29.428b3984Nd7G6J&amp;id=1013264157333&amp;categoryId=202036301</v>
      </c>
      <c r="I278">
        <v>1013264157333</v>
      </c>
      <c r="J278"/>
      <c r="K278"/>
      <c r="L278"/>
    </row>
    <row r="279" ht="25.5" customHeight="1">
      <c r="A279" t="inlineStr">
        <is>
          <t>【秒发】27考研物理化学哈哥振宇全套资料</t>
        </is>
      </c>
      <c r="B279">
        <v>357</v>
      </c>
      <c r="C279" t="inlineStr">
        <is>
          <t>不好意思! 这个资源丢失了，请等管理员操作~</t>
        </is>
      </c>
      <c r="D279"/>
      <c r="E279" t="inlineStr">
        <is>
          <t>✅ 27考研物理化学全套，哈哥振宇有机化零基础到自测题全覆盖
✅ 视频+讲义+习题+真题解析应有尽有，保证永不断更到考研结束
✅ 百度夸克双盘发货，手机电脑平板通用，拍下秒发链接
✅ 一手课程资源更新及时，资料齐全不跑路，安心复习
✅ 水印小随时可学，25年后基础不加密，强化冲刺部分需播放器
✅ 虚拟商品发出后不退不换，链接发出不支持退款</t>
        </is>
      </c>
      <c r="F279" s="2" t="str">
        <f>=HYPERLINK("https://img.alicdn.com/bao/uploaded/i3/2220610526804/O1CN01HAiodG208HxZUrhTr_!!4611686018427387476-0-xy_item.jpg_790x10000Q90.jpg_.webp", "https://img.alicdn.com/bao/uploaded/i3/2220610526804/O1CN01HAiodG208HxZUrhTr_!!4611686018427387476-0-xy_item.jpg_790x10000Q90.jpg_.webp")</f>
        <v>https://img.alicdn.com/bao/uploaded/i3/2220610526804/O1CN01HAiodG208HxZUrhTr_!!4611686018427387476-0-xy_item.jpg_790x10000Q90.jpg_.webp</v>
      </c>
      <c r="G279"/>
      <c r="H279" s="2" t="str">
        <f>=HYPERLINK("https://www.goofish.com/item?spm=a21ybx.search.searchFeedList.7.428b3984Nd7G6J&amp;id=1033594104531&amp;categoryId=202036301", "https://www.goofish.com/item?spm=a21ybx.search.searchFeedList.7.428b3984Nd7G6J&amp;id=1033594104531&amp;categoryId=202036301")</f>
        <v>https://www.goofish.com/item?spm=a21ybx.search.searchFeedList.7.428b3984Nd7G6J&amp;id=1033594104531&amp;categoryId=202036301</v>
      </c>
      <c r="I279">
        <v>1033594104531</v>
      </c>
      <c r="J279"/>
      <c r="K279"/>
      <c r="L279"/>
    </row>
    <row r="280" ht="25.5" customHeight="1">
      <c r="A280" t="inlineStr">
        <is>
          <t>【秒发】26新高考金考卷45套真题冲刺卷</t>
        </is>
      </c>
      <c r="B280">
        <v>358</v>
      </c>
      <c r="C280" t="inlineStr">
        <is>
          <t>不好意思! 这个资源丢失了，请等管理员操作~</t>
        </is>
      </c>
      <c r="D280"/>
      <c r="E280" t="inlineStr">
        <is>
          <t>✅ 2026金考卷45套语数英理化生政史地，新高考Ⅰ卷适用
✅ 6套保分卷+14套提分卷1+20套提分卷2+5套满分卷全覆盖
✅ 6维解析法详细讲解每道题，全面覆盖高考考点
✅ 适用于河南河北广东山东等13省份，高三学生冲刺备考专用
✅ 电子版PDF拍下秒发，无需等待，虚拟商品售出不退不换
✅ 24小时自动发货，标价就是售价，直接拍</t>
        </is>
      </c>
      <c r="F280" s="2" t="str">
        <f>=HYPERLINK("https://img.alicdn.com/bao/uploaded/i3/2215464206432/O1CN01Gs8Wub1xNubxzZoBC_!!4611686018427379808-53-xy_item.heic_790x10000Q90.jpg_.webp", "https://img.alicdn.com/bao/uploaded/i3/2215464206432/O1CN01Gs8Wub1xNubxzZoBC_!!4611686018427379808-53-xy_item.heic_790x10000Q90.jpg_.webp")</f>
        <v>https://img.alicdn.com/bao/uploaded/i3/2215464206432/O1CN01Gs8Wub1xNubxzZoBC_!!4611686018427379808-53-xy_item.heic_790x10000Q90.jpg_.webp</v>
      </c>
      <c r="G280"/>
      <c r="H280" s="2" t="str">
        <f>=HYPERLINK("https://www.goofish.com/item?spm=a21ybx.search.searchFeedList.5.428b3984Nd7G6J&amp;id=1009816926682&amp;categoryId=202036301", "https://www.goofish.com/item?spm=a21ybx.search.searchFeedList.5.428b3984Nd7G6J&amp;id=1009816926682&amp;categoryId=202036301")</f>
        <v>https://www.goofish.com/item?spm=a21ybx.search.searchFeedList.5.428b3984Nd7G6J&amp;id=1009816926682&amp;categoryId=202036301</v>
      </c>
      <c r="I280">
        <v>1009816926682</v>
      </c>
      <c r="J280"/>
      <c r="K280"/>
      <c r="L280"/>
    </row>
    <row r="281" ht="25.5" customHeight="1">
      <c r="A281" t="inlineStr">
        <is>
          <t>【秒发】26国考25省考真题答案解析</t>
        </is>
      </c>
      <c r="B281">
        <v>359</v>
      </c>
      <c r="C281" t="inlineStr">
        <is>
          <t>不好意思! 这个资源丢失了，请等管理员操作~</t>
        </is>
      </c>
      <c r="D281"/>
      <c r="E281" t="inlineStr">
        <is>
          <t>✅ 2026国考真题已更新，行政执法类副省级地级市行测申论全覆盖
✅ 2025省考17省市真题答案解析，重庆江苏浙江安徽云南等应有尽有
✅ 申论材料独家，题目解析答案齐全，持续更新无断更
✅ 双网盘自动发货，拍下秒发，标价即售价不闲聊
✅ 抢先版带一点水印，介意勿拍，后续会持续更新
✅ 虚拟商品发货后不退不换，看好再拍</t>
        </is>
      </c>
      <c r="F281" s="2" t="str">
        <f>=HYPERLINK("https://img.alicdn.com/bao/uploaded/i3/2220296414903/O1CN01l9UJOm1m5d1rQLaFT_!!4611686018427381431-53-xy_item.heic_790x10000Q90.jpg_.webp", "https://img.alicdn.com/bao/uploaded/i3/2220296414903/O1CN01l9UJOm1m5d1rQLaFT_!!4611686018427381431-53-xy_item.heic_790x10000Q90.jpg_.webp")</f>
        <v>https://img.alicdn.com/bao/uploaded/i3/2220296414903/O1CN01l9UJOm1m5d1rQLaFT_!!4611686018427381431-53-xy_item.heic_790x10000Q90.jpg_.webp</v>
      </c>
      <c r="G281"/>
      <c r="H281" s="2" t="str">
        <f>=HYPERLINK("https://www.goofish.com/item?spm=a21ybx.search.searchFeedList.6.428b3984Nd7G6J&amp;id=1013080939624&amp;categoryId=202036301", "https://www.goofish.com/item?spm=a21ybx.search.searchFeedList.6.428b3984Nd7G6J&amp;id=1013080939624&amp;categoryId=202036301")</f>
        <v>https://www.goofish.com/item?spm=a21ybx.search.searchFeedList.6.428b3984Nd7G6J&amp;id=1013080939624&amp;categoryId=202036301</v>
      </c>
      <c r="I281">
        <v>1013080939624</v>
      </c>
      <c r="J281"/>
      <c r="K281"/>
      <c r="L281"/>
    </row>
    <row r="282" ht="25.5" customHeight="1">
      <c r="A282" t="inlineStr">
        <is>
          <t>【秒发】26广州番禺教招17-25真题资料包</t>
        </is>
      </c>
      <c r="B282">
        <v>360</v>
      </c>
      <c r="C282" t="inlineStr">
        <is>
          <t>不好意思! 这个资源丢失了，请等管理员操作~</t>
        </is>
      </c>
      <c r="D282"/>
      <c r="E282" t="inlineStr">
        <is>
          <t>✅ 广州番禺教招17-25年真题，教综+公基+行测+时政全覆盖
✅ 考前30套模拟押题卷+记忆口诀+案例分析专项+面试资料
✅ 26教育时政持续更新，百夸双网盘自动发货秒发
✅ 整理资料省时省力，把时间花在复习上，上岸更高效
✅ 资料合法获取仅供试用，版权属原作者，侵权秒删
✅ 虚拟商品发出后不退不换，看好再拍</t>
        </is>
      </c>
      <c r="F282" s="2" t="str">
        <f>=HYPERLINK("https://img.alicdn.com/bao/uploaded/i4/O1CN01ko1p7M1FMgSixzrxr_!!827700473-2-fleamarket.png_790x10000.jpg_.webp", "https://img.alicdn.com/bao/uploaded/i4/O1CN01ko1p7M1FMgSixzrxr_!!827700473-2-fleamarket.png_790x10000.jpg_.webp")</f>
        <v>https://img.alicdn.com/bao/uploaded/i4/O1CN01ko1p7M1FMgSixzrxr_!!827700473-2-fleamarket.png_790x10000.jpg_.webp</v>
      </c>
      <c r="G282"/>
      <c r="H282" s="2" t="str">
        <f>=HYPERLINK("https://www.goofish.com/item?spm=a21ybx.search.searchFeedList.2.428b3984Nd7G6J&amp;id=995779004068&amp;categoryId=202036301", "https://www.goofish.com/item?spm=a21ybx.search.searchFeedList.2.428b3984Nd7G6J&amp;id=995779004068&amp;categoryId=202036301")</f>
        <v>https://www.goofish.com/item?spm=a21ybx.search.searchFeedList.2.428b3984Nd7G6J&amp;id=995779004068&amp;categoryId=202036301</v>
      </c>
      <c r="I282">
        <v>995779004068</v>
      </c>
      <c r="J282"/>
      <c r="K282"/>
      <c r="L282"/>
    </row>
    <row r="283" ht="25.5" customHeight="1">
      <c r="A283" t="inlineStr">
        <is>
          <t>【秒发】27考研数学姜晓千全程班送26</t>
        </is>
      </c>
      <c r="B283">
        <v>361</v>
      </c>
      <c r="C283" t="inlineStr">
        <is>
          <t>不好意思! 这个资源丢失了，请等管理员操作~</t>
        </is>
      </c>
      <c r="D283"/>
      <c r="E283" t="inlineStr">
        <is>
          <t>✅ 27考研数学姜晓千全程班+660题精讲，高数线代概率论全覆盖
✅ 基础强化冲刺押题四阶段，视频+PDF讲义齐全，数一数二数三通用
✅ 真题同源压轴题，150高分高数，讲义整理好直接用
✅ 百度夸克双盘自动发货，手机电脑都能看，持续更新
✅ 赠送26考研网课，拍一份享两年资料，性价比拉满
✅ 虚拟资料售出不退不换，标价为整理费，学习使用</t>
        </is>
      </c>
      <c r="F283" s="2" t="str">
        <f>=HYPERLINK("https://img.alicdn.com/bao/uploaded/i4/2222108200476/O1CN01lLhGpo1FO3ee96y75_!!4611686018427383324-0-xy_item.jpg_790x10000Q90.jpg_.webp", "https://img.alicdn.com/bao/uploaded/i4/2222108200476/O1CN01lLhGpo1FO3ee96y75_!!4611686018427383324-0-xy_item.jpg_790x10000Q90.jpg_.webp")</f>
        <v>https://img.alicdn.com/bao/uploaded/i4/2222108200476/O1CN01lLhGpo1FO3ee96y75_!!4611686018427383324-0-xy_item.jpg_790x10000Q90.jpg_.webp</v>
      </c>
      <c r="G283"/>
      <c r="H283" s="2" t="str">
        <f>=HYPERLINK("https://www.goofish.com/item?spm=a21ybx.search.searchFeedList.13.428b3984Nd7G6J&amp;id=1029126483766&amp;categoryId=201454414", "https://www.goofish.com/item?spm=a21ybx.search.searchFeedList.13.428b3984Nd7G6J&amp;id=1029126483766&amp;categoryId=201454414")</f>
        <v>https://www.goofish.com/item?spm=a21ybx.search.searchFeedList.13.428b3984Nd7G6J&amp;id=1029126483766&amp;categoryId=201454414</v>
      </c>
      <c r="I283">
        <v>1029126483766</v>
      </c>
      <c r="J283"/>
      <c r="K283"/>
      <c r="L283"/>
    </row>
    <row r="284" ht="25.5" customHeight="1">
      <c r="A284" t="inlineStr">
        <is>
          <t>【秒发】26计算机二级C语言66套真题题库</t>
        </is>
      </c>
      <c r="B284">
        <v>362</v>
      </c>
      <c r="C284" t="inlineStr">
        <is>
          <t>不好意思! 这个资源丢失了，请等管理员操作~</t>
        </is>
      </c>
      <c r="D284"/>
      <c r="E284" t="inlineStr">
        <is>
          <t>✅ 26年3月计算机二级C语言66套真题题库，含2025年新增3套真题
✅ 题型全覆盖选择程序填空修改设计，支持模拟考试实时评分
✅ 考试95%题目来自题库原题，软件完全免费使用，高分必备
✅ 电脑安装包+详细安装教程，新手友好，刷题查漏补缺
✅ 百度夸克双盘自动发货，拍下秒发，全天在线服务有保障
✅ 虚拟资料发货后不退不换，品质问题无理由退款</t>
        </is>
      </c>
      <c r="F284" s="2" t="str">
        <f>=HYPERLINK("https://img.alicdn.com/bao/uploaded/i1/2220368930019/O1CN01dIpGOg1C0kdrHyG8u_!!4611686018427380963-53-xy_item.heic_790x10000Q90.jpg_.webp", "https://img.alicdn.com/bao/uploaded/i1/2220368930019/O1CN01dIpGOg1C0kdrHyG8u_!!4611686018427380963-53-xy_item.heic_790x10000Q90.jpg_.webp")</f>
        <v>https://img.alicdn.com/bao/uploaded/i1/2220368930019/O1CN01dIpGOg1C0kdrHyG8u_!!4611686018427380963-53-xy_item.heic_790x10000Q90.jpg_.webp</v>
      </c>
      <c r="G284"/>
      <c r="H284" s="2" t="str">
        <f>=HYPERLINK("https://www.goofish.com/item?spm=a21ybx.search.searchFeedList.25.428b3984Nd7G6J&amp;id=1011683477723&amp;categoryId=202036301", "https://www.goofish.com/item?spm=a21ybx.search.searchFeedList.25.428b3984Nd7G6J&amp;id=1011683477723&amp;categoryId=202036301")</f>
        <v>https://www.goofish.com/item?spm=a21ybx.search.searchFeedList.25.428b3984Nd7G6J&amp;id=1011683477723&amp;categoryId=202036301</v>
      </c>
      <c r="I284">
        <v>1011683477723</v>
      </c>
      <c r="J284"/>
      <c r="K284"/>
      <c r="L284"/>
    </row>
    <row r="285" ht="25.5" customHeight="1">
      <c r="A285" t="inlineStr">
        <is>
          <t>【秒发】27考研数学没咋了全程持续更新</t>
        </is>
      </c>
      <c r="B285">
        <v>363</v>
      </c>
      <c r="C285" t="inlineStr">
        <is>
          <t>不好意思! 这个资源丢失了，请等管理员操作~</t>
        </is>
      </c>
      <c r="D285"/>
      <c r="E285" t="inlineStr">
        <is>
          <t>✅ 27考研数学没咋了全程，高数线代概率基础强化全覆盖
✅ 讲义+视频+真题+模拟卷+强化测试卷+选填技巧课应有尽有
✅ 适合27考研数学备考，刷题提分必备，持续更新到考研结束
✅ 网盘自动发货秒拍秒发，电子资料免费分享
✅ 虚拟商品售出不退不换，店主整理版权问题联系删除
✅ 自动发货，喜欢直接拍，2027考研数学资料</t>
        </is>
      </c>
      <c r="F285" s="2" t="str">
        <f>=HYPERLINK("https://img.alicdn.com/bao/uploaded/i4/2222108200476/O1CN01jheyZm1FO3ecICvMK_!!4611686018427383324-0-xy_item.jpg_790x10000Q90.jpg_.webp", "https://img.alicdn.com/bao/uploaded/i4/2222108200476/O1CN01jheyZm1FO3ecICvMK_!!4611686018427383324-0-xy_item.jpg_790x10000Q90.jpg_.webp")</f>
        <v>https://img.alicdn.com/bao/uploaded/i4/2222108200476/O1CN01jheyZm1FO3ecICvMK_!!4611686018427383324-0-xy_item.jpg_790x10000Q90.jpg_.webp</v>
      </c>
      <c r="G285"/>
      <c r="H285" s="2" t="str">
        <f>=HYPERLINK("https://www.goofish.com/item?spm=a21ybx.search.searchFeedList.3.428b3984Nd7G6J&amp;id=1028914261619&amp;categoryId=202036301", "https://www.goofish.com/item?spm=a21ybx.search.searchFeedList.3.428b3984Nd7G6J&amp;id=1028914261619&amp;categoryId=202036301")</f>
        <v>https://www.goofish.com/item?spm=a21ybx.search.searchFeedList.3.428b3984Nd7G6J&amp;id=1028914261619&amp;categoryId=202036301</v>
      </c>
      <c r="I285">
        <v>1028914261619</v>
      </c>
      <c r="J285"/>
      <c r="K285"/>
      <c r="L285"/>
    </row>
    <row r="286" ht="25.5" customHeight="1">
      <c r="A286" t="inlineStr">
        <is>
          <t>【秒发】26农行笔试真题模拟题全资料包</t>
        </is>
      </c>
      <c r="B286">
        <v>364</v>
      </c>
      <c r="C286" t="inlineStr">
        <is>
          <t>不好意思! 这个资源丢失了，请等管理员操作~</t>
        </is>
      </c>
      <c r="D286"/>
      <c r="E286" t="inlineStr">
        <is>
          <t>✅ 2026春招秋招中国农行笔试资料，真题+模拟题+知识点讲义全覆盖
✅ 备考技巧+电子题库+网申资料+冲刺资料+英语资料应有尽有
✅ 时政资料已更新到2026持续更新，超全资料包上岸必备
✅ 标价直拍秒拍秒发，度盘自动发货，农行招聘考试苦吃一次就够
✅ 24小时自动发货，喜欢直接拍，祝你早日上岸
✅ 虚拟资料可复制性不支持退换货，请理解</t>
        </is>
      </c>
      <c r="F286" s="2" t="str">
        <f>=HYPERLINK("https://img.alicdn.com/bao/uploaded/i3/2218487160281/O1CN01dryjxP1DwkQF3mau1_!!4611686018427387353-0-xy_item.jpg_790x10000Q90.jpg_.webp", "https://img.alicdn.com/bao/uploaded/i3/2218487160281/O1CN01dryjxP1DwkQF3mau1_!!4611686018427387353-0-xy_item.jpg_790x10000Q90.jpg_.webp")</f>
        <v>https://img.alicdn.com/bao/uploaded/i3/2218487160281/O1CN01dryjxP1DwkQF3mau1_!!4611686018427387353-0-xy_item.jpg_790x10000Q90.jpg_.webp</v>
      </c>
      <c r="G286"/>
      <c r="H286" s="2" t="str">
        <f>=HYPERLINK("https://www.goofish.com/item?spm=a21ybx.search.searchFeedList.18.428b3984Nd7G6J&amp;id=851162245968&amp;categoryId=201460910", "https://www.goofish.com/item?spm=a21ybx.search.searchFeedList.18.428b3984Nd7G6J&amp;id=851162245968&amp;categoryId=201460910")</f>
        <v>https://www.goofish.com/item?spm=a21ybx.search.searchFeedList.18.428b3984Nd7G6J&amp;id=851162245968&amp;categoryId=201460910</v>
      </c>
      <c r="I286">
        <v>851162245968</v>
      </c>
      <c r="J286"/>
      <c r="K286"/>
      <c r="L286"/>
    </row>
    <row r="287" ht="25.5" customHeight="1">
      <c r="A287" t="inlineStr">
        <is>
          <t>【秒发】四川事业单位11年真题公基职测综应</t>
        </is>
      </c>
      <c r="B287">
        <v>365</v>
      </c>
      <c r="C287" t="inlineStr">
        <is>
          <t>不好意思! 这个资源丢失了，请等管理员操作~</t>
        </is>
      </c>
      <c r="D287"/>
      <c r="E287" t="inlineStr">
        <is>
          <t>✅ 2015-2025年四川事业单位笔试真题，公基+职测+综合知识全覆盖
✅ 2024年11月及2025年4月最新真题已更新，紧跟考试趋势
✅ 所有试卷为Word及PDF无水印格式，方便打印练习
✅ 度盘+夸克双盘即时发送，看清楚科目年份再拍
✅ 11年真题备考有力支持，为您的上岸保驾护航
✅ 虚拟物品不接受退款，请确认需求后再拍</t>
        </is>
      </c>
      <c r="F287" s="2" t="str">
        <f>=HYPERLINK("https://img.alicdn.com/bao/uploaded/i2/O1CN01DlEZzC1eps3qp9Rbr_!!4611686018427383265-0-fleamarket.jpg_790x10000Q90.jpg_.webp", "https://img.alicdn.com/bao/uploaded/i2/O1CN01DlEZzC1eps3qp9Rbr_!!4611686018427383265-0-fleamarket.jpg_790x10000Q90.jpg_.webp")</f>
        <v>https://img.alicdn.com/bao/uploaded/i2/O1CN01DlEZzC1eps3qp9Rbr_!!4611686018427383265-0-fleamarket.jpg_790x10000Q90.jpg_.webp</v>
      </c>
      <c r="G287"/>
      <c r="H287" s="2" t="str">
        <f>=HYPERLINK("https://www.goofish.com/item?spm=a21ybx.search.searchFeedList.13.428b3984Nd7G6J&amp;id=972508141013&amp;categoryId=202036301", "https://www.goofish.com/item?spm=a21ybx.search.searchFeedList.13.428b3984Nd7G6J&amp;id=972508141013&amp;categoryId=202036301")</f>
        <v>https://www.goofish.com/item?spm=a21ybx.search.searchFeedList.13.428b3984Nd7G6J&amp;id=972508141013&amp;categoryId=202036301</v>
      </c>
      <c r="I287">
        <v>972508141013</v>
      </c>
      <c r="J287"/>
      <c r="K287"/>
      <c r="L287"/>
    </row>
    <row r="288" ht="25.5" customHeight="1">
      <c r="A288" t="inlineStr">
        <is>
          <t>【秒发】25江苏事业编计算机专技岗12年真题</t>
        </is>
      </c>
      <c r="B288">
        <v>366</v>
      </c>
      <c r="C288" t="inlineStr">
        <is>
          <t>不好意思! 这个资源丢失了，请等管理员操作~</t>
        </is>
      </c>
      <c r="D288"/>
      <c r="E288" t="inlineStr">
        <is>
          <t>✅ 2012-2023年江苏事业编计算机专技岗真题及解析视频全覆盖
✅ 主流讲师北欧小林土豆视频课，考点基础讲义应有尽有
✅ 计算机硬件操作系统软件网络数据库程序设计软件工程全覆盖
✅ 模拟题习题库充足，刷题备考必备
✅ 标价即卖价直接拍即可，24小时自动发货
✅ 虚拟商品售出不退不换，看好再拍</t>
        </is>
      </c>
      <c r="F288" s="2" t="str">
        <f>=HYPERLINK("https://img.alicdn.com/bao/uploaded/i4/O1CN018GbTNY2GUlB9jx31m_!!4611686018427381867-0-fleamarket.jpg_790x10000Q90.jpg_.webp", "https://img.alicdn.com/bao/uploaded/i4/O1CN018GbTNY2GUlB9jx31m_!!4611686018427381867-0-fleamarket.jpg_790x10000Q90.jpg_.webp")</f>
        <v>https://img.alicdn.com/bao/uploaded/i4/O1CN018GbTNY2GUlB9jx31m_!!4611686018427381867-0-fleamarket.jpg_790x10000Q90.jpg_.webp</v>
      </c>
      <c r="G288"/>
      <c r="H288" s="2" t="str">
        <f>=HYPERLINK("https://www.goofish.com/item?spm=a21ybx.search.searchFeedList.4.428b3984Nd7G6J&amp;id=937317482973&amp;categoryId=202036301", "https://www.goofish.com/item?spm=a21ybx.search.searchFeedList.4.428b3984Nd7G6J&amp;id=937317482973&amp;categoryId=202036301")</f>
        <v>https://www.goofish.com/item?spm=a21ybx.search.searchFeedList.4.428b3984Nd7G6J&amp;id=937317482973&amp;categoryId=202036301</v>
      </c>
      <c r="I288">
        <v>937317482973</v>
      </c>
      <c r="J288"/>
      <c r="K288"/>
      <c r="L288"/>
    </row>
    <row r="289" ht="25.5" customHeight="1">
      <c r="A289" t="inlineStr">
        <is>
          <t>【秒发】26山东专升本海纳智博师大库课资料</t>
        </is>
      </c>
      <c r="B289">
        <v>367</v>
      </c>
      <c r="C289" t="inlineStr">
        <is>
          <t>不好意思! 这个资源丢失了，请等管理员操作~</t>
        </is>
      </c>
      <c r="D289"/>
      <c r="E289" t="inlineStr">
        <is>
          <t>✅ 2026山东专升本内部资料，海纳智博师大库课四大机构全覆盖
✅ 真题章节测试习题答案考点分析齐全，配套网课资源应有尽有
✅ 政治高数全覆盖，适合备考专升本的同学早拍早用
✅ 下单自动发货秒发，24小时自动发货系统
✅ 虚拟商品售出不退不换，细节随时问我
✅ 标价即卖价直接拍即可，专升本备考必备</t>
        </is>
      </c>
      <c r="F289" s="2" t="str">
        <f>=HYPERLINK("https://img.alicdn.com/bao/uploaded/i2/2219253262750/O1CN0161XiYA1WBYINh4jar_!!4611686018427382174-0-xy_item.jpg_790x10000Q90.jpg_.webp", "https://img.alicdn.com/bao/uploaded/i2/2219253262750/O1CN0161XiYA1WBYINh4jar_!!4611686018427382174-0-xy_item.jpg_790x10000Q90.jpg_.webp")</f>
        <v>https://img.alicdn.com/bao/uploaded/i2/2219253262750/O1CN0161XiYA1WBYINh4jar_!!4611686018427382174-0-xy_item.jpg_790x10000Q90.jpg_.webp</v>
      </c>
      <c r="G289"/>
      <c r="H289" s="2" t="str">
        <f>=HYPERLINK("https://www.goofish.com/item?spm=a21ybx.search.searchFeedList.16.428b3984Nd7G6J&amp;id=1001841478291&amp;categoryId=202036301", "https://www.goofish.com/item?spm=a21ybx.search.searchFeedList.16.428b3984Nd7G6J&amp;id=1001841478291&amp;categoryId=202036301")</f>
        <v>https://www.goofish.com/item?spm=a21ybx.search.searchFeedList.16.428b3984Nd7G6J&amp;id=1001841478291&amp;categoryId=202036301</v>
      </c>
      <c r="I289">
        <v>1001841478291</v>
      </c>
      <c r="J289"/>
      <c r="K289"/>
      <c r="L289"/>
    </row>
    <row r="290" ht="25.5" customHeight="1">
      <c r="A290" t="inlineStr">
        <is>
          <t>【秒发】广东专插本政治14年真题带答案</t>
        </is>
      </c>
      <c r="B290">
        <v>368</v>
      </c>
      <c r="C290" t="inlineStr">
        <is>
          <t>不好意思! 这个资源丢失了，请等管理员操作~</t>
        </is>
      </c>
      <c r="D290"/>
      <c r="E290" t="inlineStr">
        <is>
          <t>✅ 广东专插本政治历年真题2012-2025年，14年真题全覆盖
✅ 真题带答案完整解析，非常适合刷套卷提升应试能力
✅ 电子版PDF格式，bd网盘自动发货，标价为整理费
✅ 直拍直发秒发，无需等待，随时可用
✅ 虚拟商品一旦售出不退不换，感谢理解
✅ 欢迎需要的朋友自助拍下，备考必备</t>
        </is>
      </c>
      <c r="F290" s="2" t="str">
        <f>=HYPERLINK("https://img.alicdn.com/bao/uploaded/i3/O1CN01NlhsZ2238h9TNDGM5_!!4611686018427387179-0-fleamarket.jpg_790x10000Q90.jpg_.webp", "https://img.alicdn.com/bao/uploaded/i3/O1CN01NlhsZ2238h9TNDGM5_!!4611686018427387179-0-fleamarket.jpg_790x10000Q90.jpg_.webp")</f>
        <v>https://img.alicdn.com/bao/uploaded/i3/O1CN01NlhsZ2238h9TNDGM5_!!4611686018427387179-0-fleamarket.jpg_790x10000Q90.jpg_.webp</v>
      </c>
      <c r="G290"/>
      <c r="H290" s="2" t="str">
        <f>=HYPERLINK("https://www.goofish.com/item?spm=a21ybx.search.searchFeedList.17.428b3984Nd7G6J&amp;id=1019556773781&amp;categoryId=202036301", "https://www.goofish.com/item?spm=a21ybx.search.searchFeedList.17.428b3984Nd7G6J&amp;id=1019556773781&amp;categoryId=202036301")</f>
        <v>https://www.goofish.com/item?spm=a21ybx.search.searchFeedList.17.428b3984Nd7G6J&amp;id=1019556773781&amp;categoryId=202036301</v>
      </c>
      <c r="I290">
        <v>1019556773781</v>
      </c>
      <c r="J290"/>
      <c r="K290"/>
      <c r="L290"/>
    </row>
    <row r="291" ht="25.5" customHeight="1">
      <c r="A291" t="inlineStr">
        <is>
          <t>【秒发】26江苏事业单位中公教材真题试卷</t>
        </is>
      </c>
      <c r="B291">
        <v>369</v>
      </c>
      <c r="C291" t="inlineStr">
        <is>
          <t>不好意思! 这个资源丢失了，请等管理员操作~</t>
        </is>
      </c>
      <c r="D291"/>
      <c r="E291" t="inlineStr">
        <is>
          <t>✅ 2026江苏省事业单位中公考试用书，综合知识能力素质全覆盖
✅ 教材历年真题全真模拟预测试卷题库应有尽有
✅ 南京苏州无锡等13市通用，省属事业编考试资料齐全
✅ 正版保障全新正版官方直发，下午4点前下单当天发货
✅ 一般地区包邮，物流查询不到可私聊客服查询
✅ 祝各位宝子一次性通过成功上岸，虚拟商品售出不退不换</t>
        </is>
      </c>
      <c r="F291" s="2" t="str">
        <f>=HYPERLINK("https://img.alicdn.com/bao/uploaded/i4/O1CN01uwcToe1ZOmYtcTsKn_!!4611686018427383121-0-fleamarket.jpg_790x10000Q90.jpg_.webp", "https://img.alicdn.com/bao/uploaded/i4/O1CN01uwcToe1ZOmYtcTsKn_!!4611686018427383121-0-fleamarket.jpg_790x10000Q90.jpg_.webp")</f>
        <v>https://img.alicdn.com/bao/uploaded/i4/O1CN01uwcToe1ZOmYtcTsKn_!!4611686018427383121-0-fleamarket.jpg_790x10000Q90.jpg_.webp</v>
      </c>
      <c r="G291"/>
      <c r="H291" s="2" t="str">
        <f>=HYPERLINK("https://www.goofish.com/item?spm=a21ybx.search.searchFeedList.12.428b3984Nd7G6J&amp;id=978742731198&amp;categoryId=127812005", "https://www.goofish.com/item?spm=a21ybx.search.searchFeedList.12.428b3984Nd7G6J&amp;id=978742731198&amp;categoryId=127812005")</f>
        <v>https://www.goofish.com/item?spm=a21ybx.search.searchFeedList.12.428b3984Nd7G6J&amp;id=978742731198&amp;categoryId=127812005</v>
      </c>
      <c r="I291">
        <v>978742731198</v>
      </c>
      <c r="J291"/>
      <c r="K291"/>
      <c r="L291"/>
    </row>
    <row r="292" ht="25.5" customHeight="1">
      <c r="A292" t="inlineStr">
        <is>
          <t>【秒发】26中考数学压轴题每日一题120题</t>
        </is>
      </c>
      <c r="B292">
        <v>370</v>
      </c>
      <c r="C292" t="inlineStr">
        <is>
          <t>不好意思! 这个资源丢失了，请等管理员操作~</t>
        </is>
      </c>
      <c r="D292"/>
      <c r="E292" t="inlineStr">
        <is>
          <t>✅ 2026中考数学压轴题每日一题120题，含二次函数相似三角形等8类题型
✅ 选自2025年全国各城市最新中考真题，附详细答案和思路分析
✅ 赠送2025中考压轴题100题+补充30题，题目文档PDF答案齐全
✅ Word+PDF电子版可编辑可打印，百度网盘秒拍秒发
✅ 24小时自动发货，电子资料可复制性售出不支持无理由退款
✅ 资源来源于互联网，版权归作者所有，侵权联系处理</t>
        </is>
      </c>
      <c r="F292" s="2" t="str">
        <f>=HYPERLINK("https://img.alicdn.com/bao/uploaded/i3/4023214328/O1CN017upPnK1hqHHpivapB_!!4611686018427379960-0-xy_item.jpg_790x10000Q90.jpg_.webp", "https://img.alicdn.com/bao/uploaded/i3/4023214328/O1CN017upPnK1hqHHpivapB_!!4611686018427379960-0-xy_item.jpg_790x10000Q90.jpg_.webp")</f>
        <v>https://img.alicdn.com/bao/uploaded/i3/4023214328/O1CN017upPnK1hqHHpivapB_!!4611686018427379960-0-xy_item.jpg_790x10000Q90.jpg_.webp</v>
      </c>
      <c r="G292"/>
      <c r="H292" s="2" t="str">
        <f>=HYPERLINK("https://www.goofish.com/item?spm=a21ybx.search.searchFeedList.28.428b3984Nd7G6J&amp;id=1008728680365&amp;categoryId=202036301", "https://www.goofish.com/item?spm=a21ybx.search.searchFeedList.28.428b3984Nd7G6J&amp;id=1008728680365&amp;categoryId=202036301")</f>
        <v>https://www.goofish.com/item?spm=a21ybx.search.searchFeedList.28.428b3984Nd7G6J&amp;id=1008728680365&amp;categoryId=202036301</v>
      </c>
      <c r="I292">
        <v>1008728680365</v>
      </c>
      <c r="J292"/>
      <c r="K292"/>
      <c r="L292"/>
    </row>
    <row r="293" ht="25.5" customHeight="1">
      <c r="A293" t="inlineStr">
        <is>
          <t>【秒发】26演出经纪人三色笔记真题题库</t>
        </is>
      </c>
      <c r="B293">
        <v>371</v>
      </c>
      <c r="C293" t="inlineStr">
        <is>
          <t>不好意思! 这个资源丢失了，请等管理员操作~</t>
        </is>
      </c>
      <c r="D293"/>
      <c r="E293" t="inlineStr">
        <is>
          <t>✅ 2026演出经纪人全科资料，思想政治法律基础政策经纪实务全覆盖
✅ 两科三色笔记是重点务必认真研读，牢记知识点高效备考
✅ 时政热点历年真题章节练习冲刺模拟应有尽有
✅ 文学艺术知识速记重要讲话文件，2026全新资料持续更新
✅ 百度网盘链接形式发货，可直接下单24小时自动发货
✅ 电子资料可复制性不支持退款，备考考生抓紧入手</t>
        </is>
      </c>
      <c r="F293" s="2" t="str">
        <f>=HYPERLINK("https://img.alicdn.com/bao/uploaded/i4/2210440210974/O1CN01Ilu7901J48tVAryUe_!!4611686018427382302-0-xy_item.jpg_790x10000Q90.jpg_.webp", "https://img.alicdn.com/bao/uploaded/i4/2210440210974/O1CN01Ilu7901J48tVAryUe_!!4611686018427382302-0-xy_item.jpg_790x10000Q90.jpg_.webp")</f>
        <v>https://img.alicdn.com/bao/uploaded/i4/2210440210974/O1CN01Ilu7901J48tVAryUe_!!4611686018427382302-0-xy_item.jpg_790x10000Q90.jpg_.webp</v>
      </c>
      <c r="G293"/>
      <c r="H293" s="2" t="str">
        <f>=HYPERLINK("https://www.goofish.com/item?spm=a21ybx.search.searchFeedList.15.428b3984Nd7G6J&amp;id=919974503952&amp;categoryId=202036301", "https://www.goofish.com/item?spm=a21ybx.search.searchFeedList.15.428b3984Nd7G6J&amp;id=919974503952&amp;categoryId=202036301")</f>
        <v>https://www.goofish.com/item?spm=a21ybx.search.searchFeedList.15.428b3984Nd7G6J&amp;id=919974503952&amp;categoryId=202036301</v>
      </c>
      <c r="I293">
        <v>919974503952</v>
      </c>
      <c r="J293"/>
      <c r="K293"/>
      <c r="L293"/>
    </row>
    <row r="294" ht="25.5" customHeight="1">
      <c r="A294" t="inlineStr">
        <is>
          <t>【秒发】26山香大红本教招教材10200题库</t>
        </is>
      </c>
      <c r="B294">
        <v>372</v>
      </c>
      <c r="C294" t="inlineStr">
        <is>
          <t>不好意思! 这个资源丢失了，请等管理员操作~</t>
        </is>
      </c>
      <c r="D294"/>
      <c r="E294" t="inlineStr">
        <is>
          <t>✅ 2026山香大红本教师招聘教育理论基础通用版教材上线
✅ 配套3600题+6600题，含答案共10200题刷题必备
✅ 2026全新版本资料，教师招聘考试专用
✅ 百度网盘自动发货，拍下秒发，省心省力
✅ 注意山香大红本只有教材没有课程，介意勿拍
✅ 虚拟商品售出不退不换，看好再拍</t>
        </is>
      </c>
      <c r="F294" s="2" t="str">
        <f>=HYPERLINK("https://img.alicdn.com/bao/uploaded/i1/2221511625999/O1CN01TQD3aT1uBb7U7cMih_!!4611686018427383055-53-xy_item.heic_790x10000Q90.jpg_.webp", "https://img.alicdn.com/bao/uploaded/i1/2221511625999/O1CN01TQD3aT1uBb7U7cMih_!!4611686018427383055-53-xy_item.heic_790x10000Q90.jpg_.webp")</f>
        <v>https://img.alicdn.com/bao/uploaded/i1/2221511625999/O1CN01TQD3aT1uBb7U7cMih_!!4611686018427383055-53-xy_item.heic_790x10000Q90.jpg_.webp</v>
      </c>
      <c r="G294"/>
      <c r="H294" s="2" t="str">
        <f>=HYPERLINK("https://www.goofish.com/item?spm=a21ybx.search.searchFeedList.29.428b3984Nd7G6J&amp;id=1018126442002&amp;categoryId=202036301", "https://www.goofish.com/item?spm=a21ybx.search.searchFeedList.29.428b3984Nd7G6J&amp;id=1018126442002&amp;categoryId=202036301")</f>
        <v>https://www.goofish.com/item?spm=a21ybx.search.searchFeedList.29.428b3984Nd7G6J&amp;id=1018126442002&amp;categoryId=202036301</v>
      </c>
      <c r="I294">
        <v>1018126442002</v>
      </c>
      <c r="J294"/>
      <c r="K294"/>
      <c r="L294"/>
    </row>
    <row r="295" ht="25.5" customHeight="1">
      <c r="A295" t="inlineStr">
        <is>
          <t>【秒发】26招商银行19年真题刷题题库技巧</t>
        </is>
      </c>
      <c r="B295">
        <v>373</v>
      </c>
      <c r="C295" t="inlineStr">
        <is>
          <t>不好意思! 这个资源丢失了，请等管理员操作~</t>
        </is>
      </c>
      <c r="D295"/>
      <c r="E295" t="inlineStr">
        <is>
          <t>✅ 2007-2025年招商银行笔试真题，19年真题全覆盖
✅ 25年招聘考试真题+全国真题汇编+专项刷题题库+应试技巧
✅ 行测综合英语信息技术等考点全覆盖，春招秋招备考必备
✅ 电子版百度网盘自动发货，拍下秒发链接，手机电脑都能用
✅ 直接复制粘贴学习方便，24小时自动发货
✅ 虚拟商品售出不退不换，有问题随时私聊</t>
        </is>
      </c>
      <c r="F295" s="2" t="str">
        <f>=HYPERLINK("https://img.alicdn.com/bao/uploaded/i1/O1CN01l49Q241YScH2cQi3f_!!4611686018427384290-0-fleamarket.jpg_790x10000Q90.jpg_.webp", "https://img.alicdn.com/bao/uploaded/i1/O1CN01l49Q241YScH2cQi3f_!!4611686018427384290-0-fleamarket.jpg_790x10000Q90.jpg_.webp")</f>
        <v>https://img.alicdn.com/bao/uploaded/i1/O1CN01l49Q241YScH2cQi3f_!!4611686018427384290-0-fleamarket.jpg_790x10000Q90.jpg_.webp</v>
      </c>
      <c r="G295"/>
      <c r="H295" s="2" t="str">
        <f>=HYPERLINK("https://www.goofish.com/item?spm=a21ybx.search.searchFeedList.8.428b3984Nd7G6J&amp;id=993801543773&amp;categoryId=202036301", "https://www.goofish.com/item?spm=a21ybx.search.searchFeedList.8.428b3984Nd7G6J&amp;id=993801543773&amp;categoryId=202036301")</f>
        <v>https://www.goofish.com/item?spm=a21ybx.search.searchFeedList.8.428b3984Nd7G6J&amp;id=993801543773&amp;categoryId=202036301</v>
      </c>
      <c r="I295">
        <v>993801543773</v>
      </c>
      <c r="J295"/>
      <c r="K295"/>
      <c r="L295"/>
    </row>
    <row r="296" ht="25.5" customHeight="1">
      <c r="A296" t="inlineStr">
        <is>
          <t>【秒发】26辅导员高职专科教师笔面全套资料</t>
        </is>
      </c>
      <c r="B296">
        <v>374</v>
      </c>
      <c r="C296" t="inlineStr">
        <is>
          <t>不好意思! 这个资源丢失了，请等管理员操作~</t>
        </is>
      </c>
      <c r="D296"/>
      <c r="E296" t="inlineStr">
        <is>
          <t>✅ 高校辅导员高职专科教师考试全套资料，必修考点核心题库全覆盖
✅ 全国真题时政热点面试专题，溪溪状元笔记笔面网课应有尽有
✅ 三月飞鸟背诵计划笔面大全套，政策文件原文背诵计划各高校真题齐全
✅ 分各省版全国高校笔面真题，辅导员重点及题库笔试刷题班讲义视频
✅ 网盘自动发货，直接拍即可，拍下自动发货
✅ 右下角2人小刀购买后自动免拼，虚拟商品售出不退不换</t>
        </is>
      </c>
      <c r="F296" s="2" t="str">
        <f>=HYPERLINK("https://img.alicdn.com/bao/uploaded/i1/2216005943308/O1CN01yHSBCr1aJ7Ieqz3q0_!!4611686018427379724-53-xy_item.heic_790x10000Q90.jpg_.webp", "https://img.alicdn.com/bao/uploaded/i1/2216005943308/O1CN01yHSBCr1aJ7Ieqz3q0_!!4611686018427379724-53-xy_item.heic_790x10000Q90.jpg_.webp")</f>
        <v>https://img.alicdn.com/bao/uploaded/i1/2216005943308/O1CN01yHSBCr1aJ7Ieqz3q0_!!4611686018427379724-53-xy_item.heic_790x10000Q90.jpg_.webp</v>
      </c>
      <c r="G296"/>
      <c r="H296" s="2" t="str">
        <f>=HYPERLINK("https://www.goofish.com/item?spm=a21ybx.search.searchFeedList.14.428b3984Nd7G6J&amp;id=1007122994558&amp;categoryId=202036301", "https://www.goofish.com/item?spm=a21ybx.search.searchFeedList.14.428b3984Nd7G6J&amp;id=1007122994558&amp;categoryId=202036301")</f>
        <v>https://www.goofish.com/item?spm=a21ybx.search.searchFeedList.14.428b3984Nd7G6J&amp;id=1007122994558&amp;categoryId=202036301</v>
      </c>
      <c r="I296">
        <v>1007122994558</v>
      </c>
      <c r="J296"/>
      <c r="K296"/>
      <c r="L296"/>
    </row>
    <row r="297" ht="25.5" customHeight="1">
      <c r="A297" t="inlineStr">
        <is>
          <t>【秒发】26软考软件设计师希赛VIP全套</t>
        </is>
      </c>
      <c r="B297">
        <v>375</v>
      </c>
      <c r="C297" t="inlineStr">
        <is>
          <t>不好意思! 这个资源丢失了，请等管理员操作~</t>
        </is>
      </c>
      <c r="D297"/>
      <c r="E297" t="inlineStr">
        <is>
          <t>✅ 2026软考软件设计师全套资料，希赛VIP课程讲义刷题题库全覆盖
✅ 历年真题答案解析第五版教材大纲刷题小程序应有尽有
✅ 官方教材课前预习资料齐全，确保全方位备考
✅ 什么样的价位什么样的质量和售后保证，优质服务
✅ 标价即卖价直接拍即可，24小时自动发货
✅ 虚拟商品售出不退不换，准备软考的同学抓紧入手</t>
        </is>
      </c>
      <c r="F297" s="2" t="str">
        <f>=HYPERLINK("https://img.alicdn.com/bao/uploaded/i4/2221515426253/O1CN01intywM1w3vifrkoGb_!!4611686018427382221-53-xy_item.heic_790x10000Q90.jpg_.webp", "https://img.alicdn.com/bao/uploaded/i4/2221515426253/O1CN01intywM1w3vifrkoGb_!!4611686018427382221-53-xy_item.heic_790x10000Q90.jpg_.webp")</f>
        <v>https://img.alicdn.com/bao/uploaded/i4/2221515426253/O1CN01intywM1w3vifrkoGb_!!4611686018427382221-53-xy_item.heic_790x10000Q90.jpg_.webp</v>
      </c>
      <c r="G297"/>
      <c r="H297" s="2" t="str">
        <f>=HYPERLINK("https://www.goofish.com/item?spm=a21ybx.search.searchFeedList.11.428b3984Nd7G6J&amp;id=1017611613310&amp;categoryId=202036301", "https://www.goofish.com/item?spm=a21ybx.search.searchFeedList.11.428b3984Nd7G6J&amp;id=1017611613310&amp;categoryId=202036301")</f>
        <v>https://www.goofish.com/item?spm=a21ybx.search.searchFeedList.11.428b3984Nd7G6J&amp;id=1017611613310&amp;categoryId=202036301</v>
      </c>
      <c r="I297">
        <v>1017611613310</v>
      </c>
      <c r="J297"/>
      <c r="K297"/>
      <c r="L297"/>
    </row>
    <row r="298" ht="25.5" customHeight="1">
      <c r="A298" t="inlineStr">
        <is>
          <t>【秒发】26高级会计师实务网课送25全套</t>
        </is>
      </c>
      <c r="B298">
        <v>376</v>
      </c>
      <c r="C298" t="inlineStr">
        <is>
          <t>不好意思! 这个资源丢失了，请等管理员操作~</t>
        </is>
      </c>
      <c r="D298"/>
      <c r="E298" t="inlineStr">
        <is>
          <t>✅ 2026高级会计师实务网课，基础精讲论文指导工作业绩全覆盖
✅ 评审详解案例分析真题模拟冲刺点睛课应有尽有
✅ 资料持续更新到考试结束，备考用很安心
✅ 送25年全套资料，正版题库考点覆盖广，遇到原题概率高
✅ 手机电脑平板都能用，拍下秒发标价就是售价
✅ 虚拟商品不退不换，需要直接拍细节私聊</t>
        </is>
      </c>
      <c r="F298" s="2" t="str">
        <f>=HYPERLINK("https://img.alicdn.com/bao/uploaded/i4/395817268/O1CN01OgHlU023Ynixrm5lj_!!4611686018427384116-0-xy_item.jpg_790x10000Q90.jpg_.webp", "https://img.alicdn.com/bao/uploaded/i4/395817268/O1CN01OgHlU023Ynixrm5lj_!!4611686018427384116-0-xy_item.jpg_790x10000Q90.jpg_.webp")</f>
        <v>https://img.alicdn.com/bao/uploaded/i4/395817268/O1CN01OgHlU023Ynixrm5lj_!!4611686018427384116-0-xy_item.jpg_790x10000Q90.jpg_.webp</v>
      </c>
      <c r="G298"/>
      <c r="H298" s="2" t="str">
        <f>=HYPERLINK("https://www.goofish.com/item?spm=a21ybx.search.searchFeedList.21.428b3984Nd7G6J&amp;id=1015291378550&amp;categoryId=201452411", "https://www.goofish.com/item?spm=a21ybx.search.searchFeedList.21.428b3984Nd7G6J&amp;id=1015291378550&amp;categoryId=201452411")</f>
        <v>https://www.goofish.com/item?spm=a21ybx.search.searchFeedList.21.428b3984Nd7G6J&amp;id=1015291378550&amp;categoryId=201452411</v>
      </c>
      <c r="I298">
        <v>1015291378550</v>
      </c>
      <c r="J298"/>
      <c r="K298"/>
      <c r="L298"/>
    </row>
    <row r="299" ht="25.5" customHeight="1">
      <c r="A299" t="inlineStr">
        <is>
          <t>【秒发】25统计建模大赛7年真题获奖论文</t>
        </is>
      </c>
      <c r="B299">
        <v>377</v>
      </c>
      <c r="C299" t="inlineStr">
        <is>
          <t>不好意思! 这个资源丢失了，请等管理员操作~</t>
        </is>
      </c>
      <c r="D299"/>
      <c r="E299" t="inlineStr">
        <is>
          <t>✅ 2017-2024全国大学生统计建模大赛往届真题+获奖论文
✅ 历年优秀论文代码附件齐全，25资料包有偿分享
✅ 适用大学生统计建模大赛参赛选手，备考必备
✅ 24小时自动秒发货，便捷高效省心无忧
✅ 素材来自网络公开渠道，仅供学习交流不用于商业
✅ 虚拟资料售出不退不换，18缺失介意勿拍</t>
        </is>
      </c>
      <c r="F299" s="2" t="str">
        <f>=HYPERLINK("https://img.alicdn.com/bao/uploaded/i1/O1CN01O3V2CK1cIJqcg6eLt_!!4611686018427381081-0-fleamarket.jpg_790x10000Q90.jpg_.webp", "https://img.alicdn.com/bao/uploaded/i1/O1CN01O3V2CK1cIJqcg6eLt_!!4611686018427381081-0-fleamarket.jpg_790x10000Q90.jpg_.webp")</f>
        <v>https://img.alicdn.com/bao/uploaded/i1/O1CN01O3V2CK1cIJqcg6eLt_!!4611686018427381081-0-fleamarket.jpg_790x10000Q90.jpg_.webp</v>
      </c>
      <c r="G299"/>
      <c r="H299" s="2" t="str">
        <f>=HYPERLINK("https://www.goofish.com/item?spm=a21ybx.search.searchFeedList.28.428b3984Nd7G6J&amp;id=1017933797996&amp;categoryId=202036301", "https://www.goofish.com/item?spm=a21ybx.search.searchFeedList.28.428b3984Nd7G6J&amp;id=1017933797996&amp;categoryId=202036301")</f>
        <v>https://www.goofish.com/item?spm=a21ybx.search.searchFeedList.28.428b3984Nd7G6J&amp;id=1017933797996&amp;categoryId=202036301</v>
      </c>
      <c r="I299">
        <v>1017933797996</v>
      </c>
      <c r="J299"/>
      <c r="K299"/>
      <c r="L299"/>
    </row>
    <row r="300" ht="25.5" customHeight="1">
      <c r="A300" t="inlineStr">
        <is>
          <t>【秒发】26PTE全网最全课程机经题库更新至2月</t>
        </is>
      </c>
      <c r="B300">
        <v>378</v>
      </c>
      <c r="C300" t="inlineStr">
        <is>
          <t>不好意思! 这个资源丢失了，请等管理员操作~</t>
        </is>
      </c>
      <c r="D300"/>
      <c r="E300" t="inlineStr">
        <is>
          <t>✅ 2026PTE全网最全课程合集机经真题题库，已更新至2月最新版
✅ 包含题型介绍模考课程讲解技巧方法模版词汇等所有备考内容
✅ 多机构猩际多墨萤火虫羊驼等多家机构课程打包齐全
✅ 适合英国澳洲WHV留学移民申请，含8.7改革后所有课程
✅ 虚拟商品售出不退不换，标价即售价自动秒发不用等待
✅ 可发双盘，买这一份就不用再找别家啦</t>
        </is>
      </c>
      <c r="F300" s="2" t="str">
        <f>=HYPERLINK("https://img.alicdn.com/bao/uploaded/i4/O1CN01jFPs7o1SXIeRNIyWd_!!4611686018427387312-0-fleamarket.jpg_790x10000Q90.jpg_.webp", "https://img.alicdn.com/bao/uploaded/i4/O1CN01jFPs7o1SXIeRNIyWd_!!4611686018427387312-0-fleamarket.jpg_790x10000Q90.jpg_.webp")</f>
        <v>https://img.alicdn.com/bao/uploaded/i4/O1CN01jFPs7o1SXIeRNIyWd_!!4611686018427387312-0-fleamarket.jpg_790x10000Q90.jpg_.webp</v>
      </c>
      <c r="G300"/>
      <c r="H300" s="2" t="str">
        <f>=HYPERLINK("https://www.goofish.com/item?spm=a21ybx.search.searchFeedList.13.428b3984Nd7G6J&amp;id=1028795115784&amp;categoryId=202036301", "https://www.goofish.com/item?spm=a21ybx.search.searchFeedList.13.428b3984Nd7G6J&amp;id=1028795115784&amp;categoryId=202036301")</f>
        <v>https://www.goofish.com/item?spm=a21ybx.search.searchFeedList.13.428b3984Nd7G6J&amp;id=1028795115784&amp;categoryId=202036301</v>
      </c>
      <c r="I300">
        <v>1028795115784</v>
      </c>
      <c r="J300"/>
      <c r="K300"/>
      <c r="L300"/>
    </row>
    <row r="301" ht="25.5" customHeight="1">
      <c r="A301" t="inlineStr">
        <is>
          <t>【秒发】36年六级真题解析复习资料</t>
        </is>
      </c>
      <c r="B301">
        <v>379</v>
      </c>
      <c r="C301" t="inlineStr">
        <is>
          <t>不好意思! 这个资源丢失了，请等管理员操作~</t>
        </is>
      </c>
      <c r="D301"/>
      <c r="E301" t="inlineStr">
        <is>
          <t>✅ 1990-2025年12月大学英语六级真题解析，36年真题全覆盖
✅ 已更新2025年12月最新真题解析，备考2026必备
✅ 历届真题解析词汇汇总模拟题听力音频原文应有尽有
✅ 翻译译文写作范文阅读全文翻译齐全，持续更新可放心购买
✅ Word及PDF无水印格式，度盘即时发送下载链接
✅ 虚拟商品售出不退不换，标价即售价直接拍</t>
        </is>
      </c>
      <c r="F301" s="2" t="str">
        <f>=HYPERLINK("https://img.alicdn.com/bao/uploaded/i2/O1CN01jUZ65c1eps5vzfKpt_!!4611686018427383265-2-fleamarket.png_790x10000.jpg_.webp", "https://img.alicdn.com/bao/uploaded/i2/O1CN01jUZ65c1eps5vzfKpt_!!4611686018427383265-2-fleamarket.png_790x10000.jpg_.webp")</f>
        <v>https://img.alicdn.com/bao/uploaded/i2/O1CN01jUZ65c1eps5vzfKpt_!!4611686018427383265-2-fleamarket.png_790x10000.jpg_.webp</v>
      </c>
      <c r="G301"/>
      <c r="H301" s="2" t="str">
        <f>=HYPERLINK("https://www.goofish.com/item?spm=a21ybx.search.searchFeedList.2.428b3984Nd7G6J&amp;id=950904169934&amp;categoryId=202036301", "https://www.goofish.com/item?spm=a21ybx.search.searchFeedList.2.428b3984Nd7G6J&amp;id=950904169934&amp;categoryId=202036301")</f>
        <v>https://www.goofish.com/item?spm=a21ybx.search.searchFeedList.2.428b3984Nd7G6J&amp;id=950904169934&amp;categoryId=202036301</v>
      </c>
      <c r="I301">
        <v>950904169934</v>
      </c>
      <c r="J301"/>
      <c r="K301"/>
      <c r="L301"/>
    </row>
    <row r="302" ht="25.5" customHeight="1">
      <c r="A302" t="inlineStr">
        <is>
          <t>【秒发】26军队文职13年真题解析全覆盖</t>
        </is>
      </c>
      <c r="B302">
        <v>380</v>
      </c>
      <c r="C302" t="inlineStr">
        <is>
          <t>不好意思! 这个资源丢失了，请等管理员操作~</t>
        </is>
      </c>
      <c r="D302"/>
      <c r="E302" t="inlineStr">
        <is>
          <t>✅ 2013-2025年军队文职历年真题答案解析，13年真题全覆盖
✅ 公共科目专业科目全覆盖，法学管理学汉语言护理等40+专业
✅ 送思维导图学霸笔记历年岗位表必备知识点面试刷题题库
✅ PDF电子版内容齐全资料整理清晰，备考军队文职必备
✅ 百度夸克双盘同时发货，手机平板电脑多端可用
✅ 拍下秒发系统自动发货，虚拟商品售出不退不换</t>
        </is>
      </c>
      <c r="F302" s="2" t="str">
        <f>=HYPERLINK("https://img.alicdn.com/bao/uploaded/i3/3408357231/O1CN01Jk5iOr23Hr3X1UMfu_!!4611686018427381615-0-xy_item.jpg_790x10000Q90.jpg_.webp", "https://img.alicdn.com/bao/uploaded/i3/3408357231/O1CN01Jk5iOr23Hr3X1UMfu_!!4611686018427381615-0-xy_item.jpg_790x10000Q90.jpg_.webp")</f>
        <v>https://img.alicdn.com/bao/uploaded/i3/3408357231/O1CN01Jk5iOr23Hr3X1UMfu_!!4611686018427381615-0-xy_item.jpg_790x10000Q90.jpg_.webp</v>
      </c>
      <c r="G302"/>
      <c r="H302" s="2" t="str">
        <f>=HYPERLINK("https://www.goofish.com/item?spm=a21ybx.search.searchFeedList.17.428b3984Nd7G6J&amp;id=994005521909&amp;categoryId=202036301", "https://www.goofish.com/item?spm=a21ybx.search.searchFeedList.17.428b3984Nd7G6J&amp;id=994005521909&amp;categoryId=202036301")</f>
        <v>https://www.goofish.com/item?spm=a21ybx.search.searchFeedList.17.428b3984Nd7G6J&amp;id=994005521909&amp;categoryId=202036301</v>
      </c>
      <c r="I302">
        <v>994005521909</v>
      </c>
      <c r="J302"/>
      <c r="K302"/>
      <c r="L302"/>
    </row>
    <row r="303" ht="25.5" customHeight="1">
      <c r="A303" t="inlineStr">
        <is>
          <t>【秒发】25中考化学总复习PPT真题专项训练</t>
        </is>
      </c>
      <c r="B303">
        <v>381</v>
      </c>
      <c r="C303" t="inlineStr">
        <is>
          <t>不好意思! 这个资源丢失了，请等管理员操作~</t>
        </is>
      </c>
      <c r="D303"/>
      <c r="E303" t="inlineStr">
        <is>
          <t>✅ 2025初中化学中考总复习资料包，全面覆盖考点助力冲刺高分
✅ 一轮复习知识清单专题练习实验复习讲练测应有尽有
✅ 二轮专题突破课件，2022-2024三年真题分类汇编全国通用
✅ 下单即送2024年一模二模三模及预测卷，超值赠送
✅ 百度网盘链接24小时自动发货，无需等待省心省力
✅ 虚拟资料可复制性售出不退换，下单前请确认需求</t>
        </is>
      </c>
      <c r="F303" s="2" t="str">
        <f>=HYPERLINK("https://img.alicdn.com/bao/uploaded/i1/O1CN01WMyJ4r1J48pXP7Jtx_!!4611686018427382302-53-fleamarket.heic_790x10000Q90.jpg_.webp", "https://img.alicdn.com/bao/uploaded/i1/O1CN01WMyJ4r1J48pXP7Jtx_!!4611686018427382302-53-fleamarket.heic_790x10000Q90.jpg_.webp")</f>
        <v>https://img.alicdn.com/bao/uploaded/i1/O1CN01WMyJ4r1J48pXP7Jtx_!!4611686018427382302-53-fleamarket.heic_790x10000Q90.jpg_.webp</v>
      </c>
      <c r="G303"/>
      <c r="H303" s="2" t="str">
        <f>=HYPERLINK("https://www.goofish.com/item?spm=a21ybx.search.searchFeedList.3.428b3984Nd7G6J&amp;id=935074835043&amp;categoryId=202036301", "https://www.goofish.com/item?spm=a21ybx.search.searchFeedList.3.428b3984Nd7G6J&amp;id=935074835043&amp;categoryId=202036301")</f>
        <v>https://www.goofish.com/item?spm=a21ybx.search.searchFeedList.3.428b3984Nd7G6J&amp;id=935074835043&amp;categoryId=202036301</v>
      </c>
      <c r="I303">
        <v>935074835043</v>
      </c>
      <c r="J303"/>
      <c r="K303"/>
      <c r="L303"/>
    </row>
    <row r="304" ht="25.5" customHeight="1">
      <c r="A304" t="inlineStr">
        <is>
          <t>【秒发】26德勤笔试12种题型真题题库</t>
        </is>
      </c>
      <c r="B304">
        <v>382</v>
      </c>
      <c r="C304" t="inlineStr">
        <is>
          <t>不好意思! 这个资源丢失了，请等管理员操作~</t>
        </is>
      </c>
      <c r="D304"/>
      <c r="E304" t="inlineStr">
        <is>
          <t>✅ 2026德勤笔试题库校招暑期寒假实习真题测评全覆盖
✅ 综合能力测评12种题型视频讲解解析应有尽有
✅ 录屏真题PDF套题可搜索汇总资料，测评随机组卷
✅ 德勤笔试不难多看真题问题不大，建议优先学习
✅ 求职测评笔试全面持续更新，求职季推荐购买全套一步到位
✅ 自动发货百度网盘，虚拟资料可复制性售出不退不换</t>
        </is>
      </c>
      <c r="F304" s="2" t="str">
        <f>=HYPERLINK("https://img.alicdn.com/bao/uploaded/i1/O1CN01HvMkuj1YlOVFoYskw_!!4611686018427387691-53-fleamarket.heic_790x10000Q90.jpg_.webp", "https://img.alicdn.com/bao/uploaded/i1/O1CN01HvMkuj1YlOVFoYskw_!!4611686018427387691-53-fleamarket.heic_790x10000Q90.jpg_.webp")</f>
        <v>https://img.alicdn.com/bao/uploaded/i1/O1CN01HvMkuj1YlOVFoYskw_!!4611686018427387691-53-fleamarket.heic_790x10000Q90.jpg_.webp</v>
      </c>
      <c r="G304"/>
      <c r="H304" s="2" t="str">
        <f>=HYPERLINK("https://www.goofish.com/item?spm=a21ybx.search.searchFeedList.15.428b3984Nd7G6J&amp;id=984104068922&amp;categoryId=202036301", "https://www.goofish.com/item?spm=a21ybx.search.searchFeedList.15.428b3984Nd7G6J&amp;id=984104068922&amp;categoryId=202036301")</f>
        <v>https://www.goofish.com/item?spm=a21ybx.search.searchFeedList.15.428b3984Nd7G6J&amp;id=984104068922&amp;categoryId=202036301</v>
      </c>
      <c r="I304">
        <v>984104068922</v>
      </c>
      <c r="J304"/>
      <c r="K304"/>
      <c r="L304"/>
    </row>
    <row r="305" ht="25.5" customHeight="1">
      <c r="A305" t="inlineStr">
        <is>
          <t>【秒发】26四六级全程班送25真题解析</t>
        </is>
      </c>
      <c r="B305">
        <v>383</v>
      </c>
      <c r="C305" t="inlineStr">
        <is>
          <t>不好意思! 这个资源丢失了，请等管理员操作~</t>
        </is>
      </c>
      <c r="D305"/>
      <c r="E305" t="inlineStr">
        <is>
          <t>✅ 26年6月英语四六级课程资料，四级六级全套全覆盖
✅ 启航星火有道笑过新东方六大机构全程班应有尽有
✅ 视频课课件听力写作翻译全套，田静绍雯建昆陈志超名师授课
✅ 送25年12月课程资料+历年真题答案解析，包更新到考试结束
✅ 夸克百度双盘分享，进群实时更新不迷路
✅ 24小时自动发货，虚拟产品售出不退不换，售后无忧</t>
        </is>
      </c>
      <c r="F305" s="2" t="str">
        <f>=HYPERLINK("https://img.alicdn.com/bao/uploaded/i1/O1CN01PBEJYX1skkHCLEmmL_!!4611686018427381661-53-fleamarket.heic_790x10000Q90.jpg_.webp", "https://img.alicdn.com/bao/uploaded/i1/O1CN01PBEJYX1skkHCLEmmL_!!4611686018427381661-53-fleamarket.heic_790x10000Q90.jpg_.webp")</f>
        <v>https://img.alicdn.com/bao/uploaded/i1/O1CN01PBEJYX1skkHCLEmmL_!!4611686018427381661-53-fleamarket.heic_790x10000Q90.jpg_.webp</v>
      </c>
      <c r="G305"/>
      <c r="H305" s="2" t="str">
        <f>=HYPERLINK("https://www.goofish.com/item?spm=a21ybx.search.searchFeedList.17.428b3984Nd7G6J&amp;id=1008076981754&amp;categoryId=127812005", "https://www.goofish.com/item?spm=a21ybx.search.searchFeedList.17.428b3984Nd7G6J&amp;id=1008076981754&amp;categoryId=127812005")</f>
        <v>https://www.goofish.com/item?spm=a21ybx.search.searchFeedList.17.428b3984Nd7G6J&amp;id=1008076981754&amp;categoryId=127812005</v>
      </c>
      <c r="I305">
        <v>1008076981754</v>
      </c>
      <c r="J305"/>
      <c r="K305"/>
      <c r="L305"/>
    </row>
    <row r="306" ht="25.5" customHeight="1">
      <c r="A306" t="inlineStr">
        <is>
          <t>【秒发】高中语文必修选修5册正版教材</t>
        </is>
      </c>
      <c r="B306">
        <v>384</v>
      </c>
      <c r="C306" t="inlineStr">
        <is>
          <t>不好意思! 这个资源丢失了，请等管理员操作~</t>
        </is>
      </c>
      <c r="D306"/>
      <c r="E306" t="inlineStr">
        <is>
          <t>✅ 高中语文必修上下选择性必修上中下5册全覆盖
✅ 人民教育出版社最新正版新高考新版，8-9成新
✅ 内容完整不缺页，适用于高中学习考公考研教师资格证考试
✅ 支持七天无理由退货，快递可拆开验货破损拒签
✅ 收到货后错印漏印漏发及时联系免费补发
✅ 虚拟商品发货后不退不换，有问题私聊沟通解决</t>
        </is>
      </c>
      <c r="F306" s="2" t="str">
        <f>=HYPERLINK("https://img.alicdn.com/bao/uploaded/i3/O1CN01ApD8ey1VeZkRz6TZJ_!!4611686018427383014-53-fleamarket.heic_790x10000Q90.jpg_.webp", "https://img.alicdn.com/bao/uploaded/i3/O1CN01ApD8ey1VeZkRz6TZJ_!!4611686018427383014-53-fleamarket.heic_790x10000Q90.jpg_.webp")</f>
        <v>https://img.alicdn.com/bao/uploaded/i3/O1CN01ApD8ey1VeZkRz6TZJ_!!4611686018427383014-53-fleamarket.heic_790x10000Q90.jpg_.webp</v>
      </c>
      <c r="G306"/>
      <c r="H306" s="2" t="str">
        <f>=HYPERLINK("https://www.goofish.com/item?spm=a21ybx.search.searchFeedList.25.428b3984Nd7G6J&amp;id=966865823329&amp;categoryId=127812005", "https://www.goofish.com/item?spm=a21ybx.search.searchFeedList.25.428b3984Nd7G6J&amp;id=966865823329&amp;categoryId=127812005")</f>
        <v>https://www.goofish.com/item?spm=a21ybx.search.searchFeedList.25.428b3984Nd7G6J&amp;id=966865823329&amp;categoryId=127812005</v>
      </c>
      <c r="I306">
        <v>966865823329</v>
      </c>
      <c r="J306"/>
      <c r="K306"/>
      <c r="L306"/>
    </row>
    <row r="307" ht="25.5" customHeight="1">
      <c r="A307" t="inlineStr">
        <is>
          <t>【秒发】26CPA税法马兆瑞刘颖等名师课</t>
        </is>
      </c>
      <c r="B307">
        <v>385</v>
      </c>
      <c r="C307" t="inlineStr">
        <is>
          <t>不好意思! 这个资源丢失了，请等管理员操作~</t>
        </is>
      </c>
      <c r="D307"/>
      <c r="E307" t="inlineStr">
        <is>
          <t>✅ CPA税法2026年2025年马兆瑞刘颖王颖张泉春奚卫华名师全覆盖
✅ 2026年持续更新中，25年精讲班习题强化班串讲班应有尽有
✅ 轻一轻二轻三真题2019-2025年齐全，所见即所得
✅ 夸克百度双盘发货，拍下不退直接发链接开始学习
✅ 人不是一直在线可以放心直接拍，看到会直接发链接
✅ 咨询请私聊看到会回复，CPA税法备考必备</t>
        </is>
      </c>
      <c r="F307" s="2" t="str">
        <f>=HYPERLINK("https://img.alicdn.com/bao/uploaded/i3/2215464206432/O1CN010MAkqH1xNucBzKXmc_!!4611686018427379808-53-xy_item.heic_790x10000Q90.jpg_.webp", "https://img.alicdn.com/bao/uploaded/i3/2215464206432/O1CN010MAkqH1xNucBzKXmc_!!4611686018427379808-53-xy_item.heic_790x10000Q90.jpg_.webp")</f>
        <v>https://img.alicdn.com/bao/uploaded/i3/2215464206432/O1CN010MAkqH1xNucBzKXmc_!!4611686018427379808-53-xy_item.heic_790x10000Q90.jpg_.webp</v>
      </c>
      <c r="G307"/>
      <c r="H307" s="2" t="str">
        <f>=HYPERLINK("https://www.goofish.com/item?spm=a21ybx.search.searchFeedList.22.428b3984Nd7G6J&amp;id=1017414384780&amp;categoryId=202036301", "https://www.goofish.com/item?spm=a21ybx.search.searchFeedList.22.428b3984Nd7G6J&amp;id=1017414384780&amp;categoryId=202036301")</f>
        <v>https://www.goofish.com/item?spm=a21ybx.search.searchFeedList.22.428b3984Nd7G6J&amp;id=1017414384780&amp;categoryId=202036301</v>
      </c>
      <c r="I307">
        <v>1017414384780</v>
      </c>
      <c r="J307"/>
      <c r="K307"/>
      <c r="L307"/>
    </row>
    <row r="308" ht="25.5" customHeight="1">
      <c r="A308" t="inlineStr">
        <is>
          <t>【秒发】26没咋了考研数学全程班资料</t>
        </is>
      </c>
      <c r="B308">
        <v>386</v>
      </c>
      <c r="C308" t="inlineStr">
        <is>
          <t>不好意思! 这个资源丢失了，请等管理员操作~</t>
        </is>
      </c>
      <c r="D308"/>
      <c r="E308" t="inlineStr">
        <is>
          <t>✅ 26没咋了考研数学全程班，咋子哥讲义视频课程齐全
✅ 高数线代概率基础强化课讲义视频真题模拟卷全覆盖
✅ 强化测试卷选填技巧课应有尽有，刷题提分必备
✅ 网盘自动发货秒拍秒发，电子资料免费分享
✅ 店主整理不涉及版权，如有侵权请联系删除
✅ 虚拟商品售出不退不换，喜欢直接拍自动发货</t>
        </is>
      </c>
      <c r="F308" s="2" t="str">
        <f>=HYPERLINK("https://img.alicdn.com/bao/uploaded/i4/2221166890967/O1CN01ey6Qr11J0w78DipsL_!!4611686018427383767-53-xy_item.heic_790x10000Q90.jpg_.webp", "https://img.alicdn.com/bao/uploaded/i4/2221166890967/O1CN01ey6Qr11J0w78DipsL_!!4611686018427383767-53-xy_item.heic_790x10000Q90.jpg_.webp")</f>
        <v>https://img.alicdn.com/bao/uploaded/i4/2221166890967/O1CN01ey6Qr11J0w78DipsL_!!4611686018427383767-53-xy_item.heic_790x10000Q90.jpg_.webp</v>
      </c>
      <c r="G308"/>
      <c r="H308" s="2" t="str">
        <f>=HYPERLINK("https://www.goofish.com/item?spm=a21ybx.search.searchFeedList.5.428b3984Nd7G6J&amp;id=1015177420972&amp;categoryId=202036301", "https://www.goofish.com/item?spm=a21ybx.search.searchFeedList.5.428b3984Nd7G6J&amp;id=1015177420972&amp;categoryId=202036301")</f>
        <v>https://www.goofish.com/item?spm=a21ybx.search.searchFeedList.5.428b3984Nd7G6J&amp;id=1015177420972&amp;categoryId=202036301</v>
      </c>
      <c r="I308">
        <v>1015177420972</v>
      </c>
      <c r="J308"/>
      <c r="K308"/>
      <c r="L308"/>
    </row>
    <row r="309" ht="25.5" customHeight="1">
      <c r="A309" t="inlineStr">
        <is>
          <t>【秒发】爱德思数学物理经济化学全套资料</t>
        </is>
      </c>
      <c r="B309">
        <v>387</v>
      </c>
      <c r="C309" t="inlineStr">
        <is>
          <t>不好意思! 这个资源丢失了，请等管理员操作~</t>
        </is>
      </c>
      <c r="D309"/>
      <c r="E309" t="inlineStr">
        <is>
          <t>✅ A Level爱德思数学物理经济化学资料包，真题笔记教材练习PPT全覆盖
✅ Edexcel复习笔记章节分类练习自学授课PPT应有尽有
✅ Textbook教材PDF往年-25年1月真题答案齐全
✅ 经济物理化学数学附赠考纲专项单元练习，数学赠词汇
✅ 可单独拍数物化经任一科目，专业整理靠谱全面
✅ 秒发货，虚拟商品售出不退不换，直接拍即可</t>
        </is>
      </c>
      <c r="F309" s="2" t="str">
        <f>=HYPERLINK("https://img.alicdn.com/bao/uploaded/i4/2221092766613/O1CN01kP97ae1yioHvjcIzc_!!4611686018427380629-53-xy_item.heic_790x10000Q90.jpg_.webp", "https://img.alicdn.com/bao/uploaded/i4/2221092766613/O1CN01kP97ae1yioHvjcIzc_!!4611686018427380629-53-xy_item.heic_790x10000Q90.jpg_.webp")</f>
        <v>https://img.alicdn.com/bao/uploaded/i4/2221092766613/O1CN01kP97ae1yioHvjcIzc_!!4611686018427380629-53-xy_item.heic_790x10000Q90.jpg_.webp</v>
      </c>
      <c r="G309"/>
      <c r="H309" s="2" t="str">
        <f>=HYPERLINK("https://www.goofish.com/item?spm=a21ybx.search.searchFeedList.7.428b3984Nd7G6J&amp;id=997307357303&amp;categoryId=202036301", "https://www.goofish.com/item?spm=a21ybx.search.searchFeedList.7.428b3984Nd7G6J&amp;id=997307357303&amp;categoryId=202036301")</f>
        <v>https://www.goofish.com/item?spm=a21ybx.search.searchFeedList.7.428b3984Nd7G6J&amp;id=997307357303&amp;categoryId=202036301</v>
      </c>
      <c r="I309">
        <v>997307357303</v>
      </c>
      <c r="J309"/>
      <c r="K309"/>
      <c r="L309"/>
    </row>
    <row r="310" ht="25.5" customHeight="1">
      <c r="A310" t="inlineStr">
        <is>
          <t>【秒发】26山东事业编757套真题含25年3月</t>
        </is>
      </c>
      <c r="B310">
        <v>388</v>
      </c>
      <c r="C310" t="inlineStr">
        <is>
          <t>不好意思! 这个资源丢失了，请等管理员操作~</t>
        </is>
      </c>
      <c r="D310"/>
      <c r="E310" t="inlineStr">
        <is>
          <t>✅ 26山东事业单位统考历年真题757套，含25年3月真题题本答案解析
✅ 职测公基综应真题388+116+167+86套，四个资料渠道全覆盖
✅ 内容覆盖历年考试重点题型齐全含答案解析，PDF格式通用
✅ 手机电脑都能用直接下载学习，夸克网盘秒发自动发货
✅ 自动拼小刀即刻领取，资料通过合法渠道获得仅供试用
✅ 虚拟商品售出不退不换，版权属于原出版机构</t>
        </is>
      </c>
      <c r="F310" s="2" t="str">
        <f>=HYPERLINK("https://img.alicdn.com/bao/uploaded/i2/O1CN01t70iak1FMgT1HWDE6_!!827700473-2-fleamarket.png_790x10000.jpg_.webp", "https://img.alicdn.com/bao/uploaded/i2/O1CN01t70iak1FMgT1HWDE6_!!827700473-2-fleamarket.png_790x10000.jpg_.webp")</f>
        <v>https://img.alicdn.com/bao/uploaded/i2/O1CN01t70iak1FMgT1HWDE6_!!827700473-2-fleamarket.png_790x10000.jpg_.webp</v>
      </c>
      <c r="G310"/>
      <c r="H310" s="2" t="str">
        <f>=HYPERLINK("https://www.goofish.com/item?spm=a21ybx.search.searchFeedList.9.428b3984Nd7G6J&amp;id=994503548877&amp;categoryId=202036301", "https://www.goofish.com/item?spm=a21ybx.search.searchFeedList.9.428b3984Nd7G6J&amp;id=994503548877&amp;categoryId=202036301")</f>
        <v>https://www.goofish.com/item?spm=a21ybx.search.searchFeedList.9.428b3984Nd7G6J&amp;id=994503548877&amp;categoryId=202036301</v>
      </c>
      <c r="I310">
        <v>994503548877</v>
      </c>
      <c r="J310"/>
      <c r="K310"/>
      <c r="L310"/>
    </row>
    <row r="311" ht="25.5" customHeight="1">
      <c r="A311" t="inlineStr">
        <is>
          <t>【秒发】雅思8分作文模板逻辑链笔记</t>
        </is>
      </c>
      <c r="B311">
        <v>389</v>
      </c>
      <c r="C311" t="inlineStr">
        <is>
          <t>不好意思! 这个资源丢失了，请等管理员操作~</t>
        </is>
      </c>
      <c r="D311"/>
      <c r="E311" t="inlineStr">
        <is>
          <t>✅ 雅思8分港中文上岸原创，大小作文模板逻辑链全覆盖
✅ 56条大作文逻辑链涵盖教育环境政府科技等话题
✅ 大作文框架逻辑链浓缩2页，20分钟写完一篇作文
✅ 小作文写作方法特殊词汇句式，掌握后小作文7+没问题
✅ 英国外教整理高频题机经，真实题库目前经常考的题目
✅ PDF和Excel形式，百度网盘发货，电子笔记售出不退不换</t>
        </is>
      </c>
      <c r="F311" s="2" t="str">
        <f>=HYPERLINK("https://img.alicdn.com/bao/uploaded/i4/O1CN01dZe8yA1hqjblF114m_!!4611686018427385689-0-fleamarket.jpg_790x10000Q90.jpg_.webp", "https://img.alicdn.com/bao/uploaded/i4/O1CN01dZe8yA1hqjblF114m_!!4611686018427385689-0-fleamarket.jpg_790x10000Q90.jpg_.webp")</f>
        <v>https://img.alicdn.com/bao/uploaded/i4/O1CN01dZe8yA1hqjblF114m_!!4611686018427385689-0-fleamarket.jpg_790x10000Q90.jpg_.webp</v>
      </c>
      <c r="G311"/>
      <c r="H311" s="2" t="str">
        <f>=HYPERLINK("https://www.goofish.com/item?spm=a21ybx.search.searchFeedList.11.428b3984Nd7G6J&amp;id=897113089770&amp;categoryId=202036301", "https://www.goofish.com/item?spm=a21ybx.search.searchFeedList.11.428b3984Nd7G6J&amp;id=897113089770&amp;categoryId=202036301")</f>
        <v>https://www.goofish.com/item?spm=a21ybx.search.searchFeedList.11.428b3984Nd7G6J&amp;id=897113089770&amp;categoryId=202036301</v>
      </c>
      <c r="I311">
        <v>897113089770</v>
      </c>
      <c r="J311"/>
      <c r="K311"/>
      <c r="L311"/>
    </row>
    <row r="312" ht="25.5" customHeight="1">
      <c r="A312" t="inlineStr">
        <is>
          <t>【秒发】26环评工程师九品天天静静飞课程</t>
        </is>
      </c>
      <c r="B312">
        <v>390</v>
      </c>
      <c r="C312" t="inlineStr">
        <is>
          <t>不好意思! 这个资源丢失了，请等管理员操作~</t>
        </is>
      </c>
      <c r="D312"/>
      <c r="E312" t="inlineStr">
        <is>
          <t>✅ 2026环评工程师九品天天静静飞翔飞严师课程全覆盖
✅ 持续更新课程视频真题课件教材，百度网盘持续更新
✅ 四大考试科目齐全：技术方法案例分析法律法规导则标准
✅ 环境影响评价工程师案例导则法规技法应有尽有
✅ 资源搞来不容易速度全面性多担待，26年课程持续更新
✅ 直接拍就行，虚拟商品售出不退不换</t>
        </is>
      </c>
      <c r="F312" s="2" t="str">
        <f>=HYPERLINK("https://img.alicdn.com/bao/uploaded/i2/2219431289978/O1CN01AerXOq2NZz4bxx10M_!!4611686018427380858-53-xy_item.heic_790x10000Q90.jpg_.webp", "https://img.alicdn.com/bao/uploaded/i2/2219431289978/O1CN01AerXOq2NZz4bxx10M_!!4611686018427380858-53-xy_item.heic_790x10000Q90.jpg_.webp")</f>
        <v>https://img.alicdn.com/bao/uploaded/i2/2219431289978/O1CN01AerXOq2NZz4bxx10M_!!4611686018427380858-53-xy_item.heic_790x10000Q90.jpg_.webp</v>
      </c>
      <c r="G312"/>
      <c r="H312" s="2" t="str">
        <f>=HYPERLINK("https://www.goofish.com/item?spm=a21ybx.search.searchFeedList.16.428b3984Nd7G6J&amp;id=1017436724431&amp;categoryId=202036301", "https://www.goofish.com/item?spm=a21ybx.search.searchFeedList.16.428b3984Nd7G6J&amp;id=1017436724431&amp;categoryId=202036301")</f>
        <v>https://www.goofish.com/item?spm=a21ybx.search.searchFeedList.16.428b3984Nd7G6J&amp;id=1017436724431&amp;categoryId=202036301</v>
      </c>
      <c r="I312">
        <v>1017436724431</v>
      </c>
      <c r="J312"/>
      <c r="K312"/>
      <c r="L312"/>
    </row>
    <row r="313" ht="25.5" customHeight="1">
      <c r="A313" t="inlineStr">
        <is>
          <t>【秒发】江苏事业编经济类9年真题可打印</t>
        </is>
      </c>
      <c r="B313">
        <v>391</v>
      </c>
      <c r="C313" t="inlineStr">
        <is>
          <t>不好意思! 这个资源丢失了，请等管理员操作~</t>
        </is>
      </c>
      <c r="D313"/>
      <c r="E313" t="inlineStr">
        <is>
          <t>✅ 江苏事业单位考试经济类会计审计专技岗历年真题
✅ 2016-2024年9年真题试卷答案，专业部分全覆盖
✅ PDF版可打印，方便刷题练习和模拟考试
✅ 电子版标价直拍，秒发网盘链接
✅ 虚拟商品售出不退不换，非纸质
✅ 欢迎需要的朋友自助拍下</t>
        </is>
      </c>
      <c r="F313" s="2" t="str">
        <f>=HYPERLINK("https://img.alicdn.com/bao/uploaded/i3/O1CN01VzTW7m1PwzwiAcsyf_!!4611686018427383394-0-fleamarket.jpg_790x10000Q90.jpg_.webp", "https://img.alicdn.com/bao/uploaded/i3/O1CN01VzTW7m1PwzwiAcsyf_!!4611686018427383394-0-fleamarket.jpg_790x10000Q90.jpg_.webp")</f>
        <v>https://img.alicdn.com/bao/uploaded/i3/O1CN01VzTW7m1PwzwiAcsyf_!!4611686018427383394-0-fleamarket.jpg_790x10000Q90.jpg_.webp</v>
      </c>
      <c r="G313"/>
      <c r="H313" s="2" t="str">
        <f>=HYPERLINK("https://www.goofish.com/item?spm=a21ybx.search.searchFeedList.6.428b3984Nd7G6J&amp;id=904296618797&amp;categoryId=202036301", "https://www.goofish.com/item?spm=a21ybx.search.searchFeedList.6.428b3984Nd7G6J&amp;id=904296618797&amp;categoryId=202036301")</f>
        <v>https://www.goofish.com/item?spm=a21ybx.search.searchFeedList.6.428b3984Nd7G6J&amp;id=904296618797&amp;categoryId=202036301</v>
      </c>
      <c r="I313">
        <v>904296618797</v>
      </c>
      <c r="J313"/>
      <c r="K313"/>
      <c r="L313"/>
    </row>
    <row r="314" ht="25.5" customHeight="1">
      <c r="A314" t="inlineStr">
        <is>
          <t>【秒发】26中考数学22个专项真题汇编解析</t>
        </is>
      </c>
      <c r="B314">
        <v>392</v>
      </c>
      <c r="C314" t="inlineStr">
        <is>
          <t>不好意思! 这个资源丢失了，请等管理员操作~</t>
        </is>
      </c>
      <c r="D314"/>
      <c r="E314" t="inlineStr">
        <is>
          <t>✅ 2026中考数学真题汇编专项分类练习电子版资料
✅ 22个专项全覆盖，实数函数圆多边形初中数学重点难点
✅ 包含代数式因式分解二次根式方程不等式统计概率等
✅ 电子版百度网盘自动发货，手机电脑平板都能用
✅ 随时下载随时看方便快捷，不发快递秒发链接
✅ 虚拟商品售出不退不换，有问题随时私聊</t>
        </is>
      </c>
      <c r="F314" s="2" t="str">
        <f>=HYPERLINK("https://img.alicdn.com/bao/uploaded/i1/2220296414903/O1CN01D4k9Iu1m5d1zkktO3_!!4611686018427381431-53-xy_item.heic_790x10000Q90.jpg_.webp", "https://img.alicdn.com/bao/uploaded/i1/2220296414903/O1CN01D4k9Iu1m5d1zkktO3_!!4611686018427381431-53-xy_item.heic_790x10000Q90.jpg_.webp")</f>
        <v>https://img.alicdn.com/bao/uploaded/i1/2220296414903/O1CN01D4k9Iu1m5d1zkktO3_!!4611686018427381431-53-xy_item.heic_790x10000Q90.jpg_.webp</v>
      </c>
      <c r="G314"/>
      <c r="H314" s="2" t="str">
        <f>=HYPERLINK("https://www.goofish.com/item?spm=a21ybx.search.searchFeedList.8.428b3984Nd7G6J&amp;id=1017230094616&amp;categoryId=202036301", "https://www.goofish.com/item?spm=a21ybx.search.searchFeedList.8.428b3984Nd7G6J&amp;id=1017230094616&amp;categoryId=202036301")</f>
        <v>https://www.goofish.com/item?spm=a21ybx.search.searchFeedList.8.428b3984Nd7G6J&amp;id=1017230094616&amp;categoryId=202036301</v>
      </c>
      <c r="I314">
        <v>1017230094616</v>
      </c>
      <c r="J314"/>
      <c r="K314"/>
      <c r="L314"/>
    </row>
    <row r="315" ht="25.5" customHeight="1">
      <c r="A315" t="inlineStr">
        <is>
          <t>【秒发】大学日语四六级真题考纲词汇</t>
        </is>
      </c>
      <c r="B315">
        <v>393</v>
      </c>
      <c r="C315" t="inlineStr">
        <is>
          <t>不好意思! 这个资源丢失了，请等管理员操作~</t>
        </is>
      </c>
      <c r="D315"/>
      <c r="E315" t="inlineStr">
        <is>
          <t>✅ 大学日语四六级考试指南与真题第三版，全国考试设计组编
✅ 考纲词汇手册配套齐全，ISBN真题9787562870487词汇9787562872085
✅ 现货速发48小时内发货，中通快递包邮
✅ 偏远地区内蒙古海南青海甘肃宁夏需邮费
✅ 新疆西藏不发货，标价即售价直接拍
✅ 虚拟商品发货后不退不换，看好再拍</t>
        </is>
      </c>
      <c r="F315" s="2" t="str">
        <f>=HYPERLINK("https://img.alicdn.com/bao/uploaded/i1/2220572657566/O1CN01PJ5B6M25lHjvfkS3s_!!4611686018427381662-53-xy_item.heic_790x10000Q90.jpg_.webp", "https://img.alicdn.com/bao/uploaded/i1/2220572657566/O1CN01PJ5B6M25lHjvfkS3s_!!4611686018427381662-53-xy_item.heic_790x10000Q90.jpg_.webp")</f>
        <v>https://img.alicdn.com/bao/uploaded/i1/2220572657566/O1CN01PJ5B6M25lHjvfkS3s_!!4611686018427381662-53-xy_item.heic_790x10000Q90.jpg_.webp</v>
      </c>
      <c r="G315"/>
      <c r="H315" s="2" t="str">
        <f>=HYPERLINK("https://www.goofish.com/item?spm=a21ybx.search.searchFeedList.22.428b3984Nd7G6J&amp;id=997216176897&amp;categoryId=127812005", "https://www.goofish.com/item?spm=a21ybx.search.searchFeedList.22.428b3984Nd7G6J&amp;id=997216176897&amp;categoryId=127812005")</f>
        <v>https://www.goofish.com/item?spm=a21ybx.search.searchFeedList.22.428b3984Nd7G6J&amp;id=997216176897&amp;categoryId=127812005</v>
      </c>
      <c r="I315">
        <v>997216176897</v>
      </c>
      <c r="J315"/>
      <c r="K315"/>
      <c r="L315"/>
    </row>
    <row r="316" ht="25.5" customHeight="1">
      <c r="A316" t="inlineStr">
        <is>
          <t>【秒发】26注安教材真题送40+家网课</t>
        </is>
      </c>
      <c r="B316">
        <v>394</v>
      </c>
      <c r="C316" t="inlineStr">
        <is>
          <t>不好意思! 这个资源丢失了，请等管理员操作~</t>
        </is>
      </c>
      <c r="D316"/>
      <c r="E316" t="inlineStr">
        <is>
          <t>✅ 2026中级注册安全工程师教材真题习题全套
✅ 建筑化工其他煤矿金属矿山道路七大专业全覆盖
✅ 应急管理出版社官方最新版，教材24版习题25版真题26版
✅ 送25+26年40多家网课永久更新+刷题软件+考点速记手册
✅ 教材+真题+习题全套12本，新疆西藏需另加邮费
✅ 全新正版其他地区包邮，虚拟商品售出不退不换</t>
        </is>
      </c>
      <c r="F316" s="2" t="str">
        <f>=HYPERLINK("https://img.alicdn.com/bao/uploaded/i3/2215344314132/O1CN01QgwT2h1gOVeUarUIZ_!!4611686018427385620-0-xy_item.jpg_790x10000Q90.jpg_.webp", "https://img.alicdn.com/bao/uploaded/i3/2215344314132/O1CN01QgwT2h1gOVeUarUIZ_!!4611686018427385620-0-xy_item.jpg_790x10000Q90.jpg_.webp")</f>
        <v>https://img.alicdn.com/bao/uploaded/i3/2215344314132/O1CN01QgwT2h1gOVeUarUIZ_!!4611686018427385620-0-xy_item.jpg_790x10000Q90.jpg_.webp</v>
      </c>
      <c r="G316"/>
      <c r="H316" s="2" t="str">
        <f>=HYPERLINK("https://www.goofish.com/item?spm=a21ybx.search.searchFeedList.14.428b3984Nd7G6J&amp;id=786694543696&amp;categoryId=127812005", "https://www.goofish.com/item?spm=a21ybx.search.searchFeedList.14.428b3984Nd7G6J&amp;id=786694543696&amp;categoryId=127812005")</f>
        <v>https://www.goofish.com/item?spm=a21ybx.search.searchFeedList.14.428b3984Nd7G6J&amp;id=786694543696&amp;categoryId=127812005</v>
      </c>
      <c r="I316">
        <v>786694543696</v>
      </c>
      <c r="J316"/>
      <c r="K316"/>
      <c r="L316"/>
    </row>
    <row r="317" ht="25.5" customHeight="1">
      <c r="A317" t="inlineStr">
        <is>
          <t>【秒发】高斯数学动画1420集+配套练习题</t>
        </is>
      </c>
      <c r="B317">
        <v>395</v>
      </c>
      <c r="C317" t="inlineStr">
        <is>
          <t>不好意思! 这个资源丢失了，请等管理员操作~</t>
        </is>
      </c>
      <c r="D317"/>
      <c r="E317" t="inlineStr">
        <is>
          <t>✅ 高斯数学动画全4套1420集，429+769+184+38节全覆盖
✅ 1-6年级思维拓展神器，看动画学奥数轻松掌握知识点
✅ 赠送练习题和真题练习PDF 6册，配套齐全
✅ 每集2-3分钟讲透知识点，由浅入深延伸到奥数思维
✅ 24小时自动发货，百度夸克双网盘拍下秒发
✅ 虚拟产品售出不退不换，标价即售价直接拍</t>
        </is>
      </c>
      <c r="F317" s="2" t="str">
        <f>=HYPERLINK("https://img.alicdn.com/bao/uploaded/i4/735184869/O1CN01pF4eLi1lq3YFnI68X_!!4611686018427381733-0-xy_item.jpg_790x10000Q90.jpg_.webp", "https://img.alicdn.com/bao/uploaded/i4/735184869/O1CN01pF4eLi1lq3YFnI68X_!!4611686018427381733-0-xy_item.jpg_790x10000Q90.jpg_.webp")</f>
        <v>https://img.alicdn.com/bao/uploaded/i4/735184869/O1CN01pF4eLi1lq3YFnI68X_!!4611686018427381733-0-xy_item.jpg_790x10000Q90.jpg_.webp</v>
      </c>
      <c r="G317"/>
      <c r="H317" s="2" t="str">
        <f>=HYPERLINK("https://www.goofish.com/item?spm=a21ybx.search.searchFeedList.17.428b3984Nd7G6J&amp;id=997768397043&amp;categoryId=202036301", "https://www.goofish.com/item?spm=a21ybx.search.searchFeedList.17.428b3984Nd7G6J&amp;id=997768397043&amp;categoryId=202036301")</f>
        <v>https://www.goofish.com/item?spm=a21ybx.search.searchFeedList.17.428b3984Nd7G6J&amp;id=997768397043&amp;categoryId=202036301</v>
      </c>
      <c r="I317">
        <v>997768397043</v>
      </c>
      <c r="J317"/>
      <c r="K317"/>
      <c r="L317"/>
    </row>
    <row r="318" ht="25.5" customHeight="1">
      <c r="A318" t="inlineStr">
        <is>
          <t>【秒发】剑桥PET全套资料39G视频教材真题</t>
        </is>
      </c>
      <c r="B318">
        <v>396</v>
      </c>
      <c r="C318" t="inlineStr">
        <is>
          <t>不好意思! 这个资源丢失了，请等管理员操作~</t>
        </is>
      </c>
      <c r="D318"/>
      <c r="E318" t="inlineStr">
        <is>
          <t>✅ 剑桥PET全套资料39G，网课视频教材PDF讲义听力真题全覆盖
✅ 考级真题配套齐全，所见即所得资料完整
✅ 网盘自动发货，拍下即可秒发无需等待
✅ 视频教材讲义听力真题应有尽有，备考PET必备
✅ 右下角2人小刀购买后自动免拼
✅ 虚拟商品售出不退不换，标价即售价直接拍</t>
        </is>
      </c>
      <c r="F318" s="2" t="str">
        <f>=HYPERLINK("https://img.alicdn.com/bao/uploaded/i3/2216005943308/O1CN01Ze3fcJ1aJ7IdIY2x8_!!4611686018427379724-53-xy_item.heic_790x10000Q90.jpg_.webp", "https://img.alicdn.com/bao/uploaded/i3/2216005943308/O1CN01Ze3fcJ1aJ7IdIY2x8_!!4611686018427379724-53-xy_item.heic_790x10000Q90.jpg_.webp")</f>
        <v>https://img.alicdn.com/bao/uploaded/i3/2216005943308/O1CN01Ze3fcJ1aJ7IdIY2x8_!!4611686018427379724-53-xy_item.heic_790x10000Q90.jpg_.webp</v>
      </c>
      <c r="G318"/>
      <c r="H318" s="2" t="str">
        <f>=HYPERLINK("https://www.goofish.com/item?spm=a21ybx.search.searchFeedList.20.428b3984Nd7G6J&amp;id=1006268443662&amp;categoryId=202036301", "https://www.goofish.com/item?spm=a21ybx.search.searchFeedList.20.428b3984Nd7G6J&amp;id=1006268443662&amp;categoryId=202036301")</f>
        <v>https://www.goofish.com/item?spm=a21ybx.search.searchFeedList.20.428b3984Nd7G6J&amp;id=1006268443662&amp;categoryId=202036301</v>
      </c>
      <c r="I318">
        <v>1006268443662</v>
      </c>
      <c r="J318"/>
      <c r="K318"/>
      <c r="L318"/>
    </row>
    <row r="319" ht="25.5" customHeight="1">
      <c r="A319" t="inlineStr">
        <is>
          <t>【秒发】老夏公务员面试330道题讲义</t>
        </is>
      </c>
      <c r="B319">
        <v>397</v>
      </c>
      <c r="C319" t="inlineStr">
        <is>
          <t>不好意思! 这个资源丢失了，请等管理员操作~</t>
        </is>
      </c>
      <c r="D319"/>
      <c r="E319" t="inlineStr">
        <is>
          <t>✅ 老夏公务员面试全套资料，25/26年电子版内容超全
✅ 89节视频课+真题100题PDF+30道母题+150道重点+逐字稿母题50道
✅ 2026最新PDF版，视频赠送之前版本，直接看讲义节约时间
✅ 老师念讲义清晰明了，330道题全覆盖面试备考必备
✅ 拍下自动发货，秒发网盘链接
✅ 虚拟商品售出不退不换，标价即售价直接拍</t>
        </is>
      </c>
      <c r="F319" s="2" t="str">
        <f>=HYPERLINK("https://img.alicdn.com/bao/uploaded/i2/O1CN01mMQsUC1R7ozweQKy6_!!4611686018427387297-53-fleamarket.heic_790x10000Q90.jpg_.webp", "https://img.alicdn.com/bao/uploaded/i2/O1CN01mMQsUC1R7ozweQKy6_!!4611686018427387297-53-fleamarket.heic_790x10000Q90.jpg_.webp")</f>
        <v>https://img.alicdn.com/bao/uploaded/i2/O1CN01mMQsUC1R7ozweQKy6_!!4611686018427387297-53-fleamarket.heic_790x10000Q90.jpg_.webp</v>
      </c>
      <c r="G319"/>
      <c r="H319" s="2" t="str">
        <f>=HYPERLINK("https://www.goofish.com/item?spm=a21ybx.search.searchFeedList.10.428b3984Nd7G6J&amp;id=1019883738168&amp;categoryId=202036301", "https://www.goofish.com/item?spm=a21ybx.search.searchFeedList.10.428b3984Nd7G6J&amp;id=1019883738168&amp;categoryId=202036301")</f>
        <v>https://www.goofish.com/item?spm=a21ybx.search.searchFeedList.10.428b3984Nd7G6J&amp;id=1019883738168&amp;categoryId=202036301</v>
      </c>
      <c r="I319">
        <v>1019883738168</v>
      </c>
      <c r="J319"/>
      <c r="K319"/>
      <c r="L319"/>
    </row>
    <row r="320" ht="25.5" customHeight="1">
      <c r="A320" t="inlineStr">
        <is>
          <t>【秒发】13-25袋鼠数学13年真题可打印</t>
        </is>
      </c>
      <c r="B320">
        <v>398</v>
      </c>
      <c r="C320" t="inlineStr">
        <is>
          <t>不好意思! 这个资源丢失了，请等管理员操作~</t>
        </is>
      </c>
      <c r="D320"/>
      <c r="E320" t="inlineStr">
        <is>
          <t>✅ 2013-2025年袋鼠数学考试各等级真题答案全覆盖
✅ ABCDEF六个等级1-12年级真题集PDF版，13年真题齐全
✅ 2025年3月29日考试最新真题，高清可打印
✅ 中英文思维挑战，全球规模最大含金量最大竞赛真题
✅ 网盘自动发货秒发，全网最快袋鼠赛题资源一手真题
✅ 资源通过合法渠道获得仅供试用，下载后24小时内删除</t>
        </is>
      </c>
      <c r="F320" s="2" t="str">
        <f>=HYPERLINK("https://img.alicdn.com/bao/uploaded/i4/O1CN01j9qwNg1FMgSLpKe1L_!!827700473-0-fleamarket.jpg_790x10000Q90.jpg_.webp", "https://img.alicdn.com/bao/uploaded/i4/O1CN01j9qwNg1FMgSLpKe1L_!!827700473-0-fleamarket.jpg_790x10000Q90.jpg_.webp")</f>
        <v>https://img.alicdn.com/bao/uploaded/i4/O1CN01j9qwNg1FMgSLpKe1L_!!827700473-0-fleamarket.jpg_790x10000Q90.jpg_.webp</v>
      </c>
      <c r="G320"/>
      <c r="H320" s="2" t="str">
        <f>=HYPERLINK("https://www.goofish.com/item?spm=a21ybx.search.searchFeedList.7.428b3984Nd7G6J&amp;id=1012574609067&amp;categoryId=202036301", "https://www.goofish.com/item?spm=a21ybx.search.searchFeedList.7.428b3984Nd7G6J&amp;id=1012574609067&amp;categoryId=202036301")</f>
        <v>https://www.goofish.com/item?spm=a21ybx.search.searchFeedList.7.428b3984Nd7G6J&amp;id=1012574609067&amp;categoryId=202036301</v>
      </c>
      <c r="I320">
        <v>1012574609067</v>
      </c>
      <c r="J320"/>
      <c r="K320"/>
      <c r="L320"/>
    </row>
    <row r="321" ht="25.5" customHeight="1">
      <c r="A321" t="inlineStr">
        <is>
          <t>【秒发】26演出经纪人题库全科9元激活码</t>
        </is>
      </c>
      <c r="B321">
        <v>399</v>
      </c>
      <c r="C321" t="inlineStr">
        <is>
          <t>不好意思! 这个资源丢失了，请等管理员操作~</t>
        </is>
      </c>
      <c r="D321"/>
      <c r="E321" t="inlineStr">
        <is>
          <t>✅ 2026演出经纪人考试题库激活码，慧考智学莽过教育均可开通
✅ 思想政治法律+演出市场政策经济实务两科齐全
✅ 章节练习历年真题预测试卷考前点题全覆盖
✅ 拍全科赠送三色笔记+思维导图，365天有效期持续更新
✅ 原价50现价5元一科9元全科，涵盖教材99%考点
✅ 手机平板电脑都可做题，激活码售出概不退货</t>
        </is>
      </c>
      <c r="F321" s="2" t="str">
        <f>=HYPERLINK("https://img.alicdn.com/bao/uploaded/i1/O1CN01IZoWSv1PSlqpDNt9t_!!4611686018427387392-0-fleamarket.jpg_790x10000Q90.jpg_.webp", "https://img.alicdn.com/bao/uploaded/i1/O1CN01IZoWSv1PSlqpDNt9t_!!4611686018427387392-0-fleamarket.jpg_790x10000Q90.jpg_.webp")</f>
        <v>https://img.alicdn.com/bao/uploaded/i1/O1CN01IZoWSv1PSlqpDNt9t_!!4611686018427387392-0-fleamarket.jpg_790x10000Q90.jpg_.webp</v>
      </c>
      <c r="G321"/>
      <c r="H321" s="2" t="str">
        <f>=HYPERLINK("https://www.goofish.com/item?spm=a21ybx.search.searchFeedList.2.428b3984Nd7G6J&amp;id=978260626706&amp;categoryId=202036301", "https://www.goofish.com/item?spm=a21ybx.search.searchFeedList.2.428b3984Nd7G6J&amp;id=978260626706&amp;categoryId=202036301")</f>
        <v>https://www.goofish.com/item?spm=a21ybx.search.searchFeedList.2.428b3984Nd7G6J&amp;id=978260626706&amp;categoryId=202036301</v>
      </c>
      <c r="I321">
        <v>978260626706</v>
      </c>
      <c r="J321"/>
      <c r="K321"/>
      <c r="L321"/>
    </row>
    <row r="322" ht="25.5" customHeight="1">
      <c r="A322" t="inlineStr">
        <is>
          <t>【秒发】2604近代史纲要视频资料持续更新</t>
        </is>
      </c>
      <c r="B322">
        <v>400</v>
      </c>
      <c r="C322" t="inlineStr">
        <is>
          <t>不好意思! 这个资源丢失了，请等管理员操作~</t>
        </is>
      </c>
      <c r="D322"/>
      <c r="E322" t="inlineStr">
        <is>
          <t>✅ 2604考期近代史纲要15043，全国可用公共课不分省份
✅ 精讲已更完+课件+真题汇编齐全，串讲持续更新中
✅ 夸克百度双盘发货，内容一样订阅更新后推送
✅ 2.99超值，图里有的都会发，具体内容看图片
✅ 电子资料下单后不退款，了解清楚再拍
✅ 拍下秒发，虚拟商品售出不退不换</t>
        </is>
      </c>
      <c r="F322" s="2" t="str">
        <f>=HYPERLINK("https://img.alicdn.com/bao/uploaded/i1/3622352723/O1CN01u9Gjs11VzBbafw5Xa_!!4611686018427385683-53-xy_item.heic_790x10000Q90.jpg_.webp", "https://img.alicdn.com/bao/uploaded/i1/3622352723/O1CN01u9Gjs11VzBbafw5Xa_!!4611686018427385683-53-xy_item.heic_790x10000Q90.jpg_.webp")</f>
        <v>https://img.alicdn.com/bao/uploaded/i1/3622352723/O1CN01u9Gjs11VzBbafw5Xa_!!4611686018427385683-53-xy_item.heic_790x10000Q90.jpg_.webp</v>
      </c>
      <c r="G322"/>
      <c r="H322" s="2" t="str">
        <f>=HYPERLINK("https://www.goofish.com/item?spm=a21ybx.search.searchFeedList.2.428b3984Nd7G6J&amp;id=1013208730863&amp;categoryId=202036301", "https://www.goofish.com/item?spm=a21ybx.search.searchFeedList.2.428b3984Nd7G6J&amp;id=1013208730863&amp;categoryId=202036301")</f>
        <v>https://www.goofish.com/item?spm=a21ybx.search.searchFeedList.2.428b3984Nd7G6J&amp;id=1013208730863&amp;categoryId=202036301</v>
      </c>
      <c r="I322">
        <v>1013208730863</v>
      </c>
      <c r="J322"/>
      <c r="K322"/>
      <c r="L322"/>
    </row>
    <row r="323" ht="25.5" customHeight="1">
      <c r="A323" t="inlineStr">
        <is>
          <t>【秒发】26军队文职题库全科激活码365天</t>
        </is>
      </c>
      <c r="B323">
        <v>401</v>
      </c>
      <c r="C323" t="inlineStr">
        <is>
          <t>不好意思! 这个资源丢失了，请等管理员操作~</t>
        </is>
      </c>
      <c r="D323"/>
      <c r="E323" t="inlineStr">
        <is>
          <t>✅ 2026军队文职题库APP，公共科目30+专业科目全覆盖
✅ 章节练习历年真题模拟试卷，系统自动更新预测考点
✅ 365天有效期，手机平板电脑网页端苹果系统通用
✅ 独立账号手机号激活码开通，精准分析考题助力通关
✅ 限时优惠标价可开全科，直接拍自动发激活码
✅ 激活码售出概不退换，虚拟商品看好再拍</t>
        </is>
      </c>
      <c r="F323" s="2" t="str">
        <f>=HYPERLINK("https://img.alicdn.com/bao/uploaded/i3/O1CN01Zo3bbr1tTAhdyjOOP_!!4611686018427381630-0-fleamarket.jpg_790x10000Q90.jpg_.webp", "https://img.alicdn.com/bao/uploaded/i3/O1CN01Zo3bbr1tTAhdyjOOP_!!4611686018427381630-0-fleamarket.jpg_790x10000Q90.jpg_.webp")</f>
        <v>https://img.alicdn.com/bao/uploaded/i3/O1CN01Zo3bbr1tTAhdyjOOP_!!4611686018427381630-0-fleamarket.jpg_790x10000Q90.jpg_.webp</v>
      </c>
      <c r="G323"/>
      <c r="H323" s="2" t="str">
        <f>=HYPERLINK("https://www.goofish.com/item?spm=a21ybx.search.searchFeedList.6.428b3984Nd7G6J&amp;id=1023334898417&amp;categoryId=202036301", "https://www.goofish.com/item?spm=a21ybx.search.searchFeedList.6.428b3984Nd7G6J&amp;id=1023334898417&amp;categoryId=202036301")</f>
        <v>https://www.goofish.com/item?spm=a21ybx.search.searchFeedList.6.428b3984Nd7G6J&amp;id=1023334898417&amp;categoryId=202036301</v>
      </c>
      <c r="I323">
        <v>1023334898417</v>
      </c>
      <c r="J323"/>
      <c r="K323"/>
      <c r="L323"/>
    </row>
    <row r="324" ht="25.5" customHeight="1">
      <c r="A324" t="inlineStr">
        <is>
          <t>【秒发】26金考卷5真9科含25真题PDF</t>
        </is>
      </c>
      <c r="B324">
        <v>402</v>
      </c>
      <c r="C324" t="inlineStr">
        <is>
          <t>不好意思! 这个资源丢失了，请等管理员操作~</t>
        </is>
      </c>
      <c r="D324"/>
      <c r="E324" t="inlineStr">
        <is>
          <t>✅ 2026版天星金考卷高考试题汇编，语数英物化生政史地九科全科
✅ 主书+答案PDF格式，A3试卷含答案，2025年真题齐全
✅ 2026新版全国通用，适合高三刷题冲刺必备
✅ 百度网盘24小时内发货，电子版方便随时学习
✅ 虚拟商品可复制性售出概不退换
✅ 文件来自网络公开渠道，仅供学习交流，版权方请联系删除</t>
        </is>
      </c>
      <c r="F324" s="2" t="str">
        <f>=HYPERLINK("https://img.alicdn.com/bao/uploaded/i1/2643807270/O1CN01Cqnb8K23ZiWjcL1Uu_!!4611686018427382822-53-xy_item.heic_790x10000Q90.jpg_.webp", "https://img.alicdn.com/bao/uploaded/i1/2643807270/O1CN01Cqnb8K23ZiWjcL1Uu_!!4611686018427382822-53-xy_item.heic_790x10000Q90.jpg_.webp")</f>
        <v>https://img.alicdn.com/bao/uploaded/i1/2643807270/O1CN01Cqnb8K23ZiWjcL1Uu_!!4611686018427382822-53-xy_item.heic_790x10000Q90.jpg_.webp</v>
      </c>
      <c r="G324"/>
      <c r="H324" s="2" t="str">
        <f>=HYPERLINK("https://www.goofish.com/item?spm=a21ybx.search.searchFeedList.3.428b3984Nd7G6J&amp;id=1019474230852&amp;categoryId=202036301", "https://www.goofish.com/item?spm=a21ybx.search.searchFeedList.3.428b3984Nd7G6J&amp;id=1019474230852&amp;categoryId=202036301")</f>
        <v>https://www.goofish.com/item?spm=a21ybx.search.searchFeedList.3.428b3984Nd7G6J&amp;id=1019474230852&amp;categoryId=202036301</v>
      </c>
      <c r="I324">
        <v>1019474230852</v>
      </c>
      <c r="J324"/>
      <c r="K324"/>
      <c r="L324"/>
    </row>
    <row r="325" ht="25.5" customHeight="1">
      <c r="A325" t="inlineStr">
        <is>
          <t>【秒发】26考研西综天天师兄全程班不加密</t>
        </is>
      </c>
      <c r="B325">
        <v>403</v>
      </c>
      <c r="C325" t="inlineStr">
        <is>
          <t>不好意思! 这个资源丢失了，请等管理员操作~</t>
        </is>
      </c>
      <c r="D325"/>
      <c r="E325" t="inlineStr">
        <is>
          <t>✅ 26考研西综天天师兄全程班，基础强化冲刺最后五小时全覆盖
✅ 病理生理内科外科生化齐全，高清视频+讲义+笔记+真题+导图
✅ 阶段测试每日计划答疑贴，内容很全查找方便
✅ 网盘秒发不加密文件清晰不混乱，手机电脑都能看
✅ 适合27考研西综提前备考复试复习自主学习
✅ 自动发货网盘链接，虚拟商品不退不换看好再拍</t>
        </is>
      </c>
      <c r="F325" s="2" t="str">
        <f>=HYPERLINK("https://img.alicdn.com/bao/uploaded/i1/3702242178/O1CN01cfSTLW1RxZl15zgMO_!!4611686018427386754-0-xy_item.jpg_790x10000Q90.jpg_.webp", "https://img.alicdn.com/bao/uploaded/i1/3702242178/O1CN01cfSTLW1RxZl15zgMO_!!4611686018427386754-0-xy_item.jpg_790x10000Q90.jpg_.webp")</f>
        <v>https://img.alicdn.com/bao/uploaded/i1/3702242178/O1CN01cfSTLW1RxZl15zgMO_!!4611686018427386754-0-xy_item.jpg_790x10000Q90.jpg_.webp</v>
      </c>
      <c r="G325"/>
      <c r="H325" s="2" t="str">
        <f>=HYPERLINK("https://www.goofish.com/item?spm=a21ybx.search.searchFeedList.25.428b3984Nd7G6J&amp;id=1024203650437&amp;categoryId=202036301", "https://www.goofish.com/item?spm=a21ybx.search.searchFeedList.25.428b3984Nd7G6J&amp;id=1024203650437&amp;categoryId=202036301")</f>
        <v>https://www.goofish.com/item?spm=a21ybx.search.searchFeedList.25.428b3984Nd7G6J&amp;id=1024203650437&amp;categoryId=202036301</v>
      </c>
      <c r="I325">
        <v>1024203650437</v>
      </c>
      <c r="J325"/>
      <c r="K325"/>
      <c r="L325"/>
    </row>
    <row r="326" ht="25.5" customHeight="1">
      <c r="A326" t="inlineStr">
        <is>
          <t>【秒发】25江苏事业编计算机专技岗12年真题</t>
        </is>
      </c>
      <c r="B326">
        <v>404</v>
      </c>
      <c r="C326" t="inlineStr">
        <is>
          <t>不好意思! 这个资源丢失了，请等管理员操作~</t>
        </is>
      </c>
      <c r="D326"/>
      <c r="E326" t="inlineStr">
        <is>
          <t>✅ 2012-2023年江苏事业单位计算机专技岗真题及解析视频
✅ 小林土豆老师视频课，考点基础讲义详细讲解
✅ 计算机硬件操作系统软件等重要知识点全覆盖
✅ 模拟题和习题库充足，帮助巩固所学内容
✅ 资料持续更新中，适合2025年及以后考试准备
✅ 标价即实价拍下即发，虚拟商品售出不退不换</t>
        </is>
      </c>
      <c r="F326" s="2" t="str">
        <f>=HYPERLINK("https://img.alicdn.com/bao/uploaded/i3/2221595961359/O1CN01azxckr1LuTNTYJVOj_!!4611686018427381775-0-xy_item.jpg_790x10000Q90.jpg_.webp", "https://img.alicdn.com/bao/uploaded/i3/2221595961359/O1CN01azxckr1LuTNTYJVOj_!!4611686018427381775-0-xy_item.jpg_790x10000Q90.jpg_.webp")</f>
        <v>https://img.alicdn.com/bao/uploaded/i3/2221595961359/O1CN01azxckr1LuTNTYJVOj_!!4611686018427381775-0-xy_item.jpg_790x10000Q90.jpg_.webp</v>
      </c>
      <c r="G326"/>
      <c r="H326" s="2" t="str">
        <f>=HYPERLINK("https://www.goofish.com/item?spm=a21ybx.search.searchFeedList.21.428b3984Nd7G6J&amp;id=1016509861187&amp;categoryId=202036301", "https://www.goofish.com/item?spm=a21ybx.search.searchFeedList.21.428b3984Nd7G6J&amp;id=1016509861187&amp;categoryId=202036301")</f>
        <v>https://www.goofish.com/item?spm=a21ybx.search.searchFeedList.21.428b3984Nd7G6J&amp;id=1016509861187&amp;categoryId=202036301</v>
      </c>
      <c r="I326">
        <v>1016509861187</v>
      </c>
      <c r="J326"/>
      <c r="K326"/>
      <c r="L326"/>
    </row>
    <row r="327" ht="25.5" customHeight="1">
      <c r="A327" t="inlineStr">
        <is>
          <t>【秒发】AP全科31年真题5元一科30元全包</t>
        </is>
      </c>
      <c r="B327">
        <v>405</v>
      </c>
      <c r="C327" t="inlineStr">
        <is>
          <t>不好意思! 这个资源丢失了，请等管理员操作~</t>
        </is>
      </c>
      <c r="D327"/>
      <c r="E327" t="inlineStr">
        <is>
          <t>✅ AP考试全科历年真题1994-2024，31年真题全覆盖
✅ 包含市面上所有题目，2024考试最新真题有选择有答案
✅ 生物化环科物微积分统计等38科齐全
✅ 一科5元两科10元全包30元，市面上最全资料
✅ 电子版网盘链接先浏览合适再保存，链接保存后不退款
✅ 虚拟商品售出不退不换，欢迎需要的朋友自助拍下</t>
        </is>
      </c>
      <c r="F327" s="2" t="str">
        <f>=HYPERLINK("https://img.alicdn.com/bao/uploaded/i2/O1CN01QbivD51b203EBdmCh_!!4611686018427383118-53-fleamarket.heic_790x10000Q90.jpg_.webp", "https://img.alicdn.com/bao/uploaded/i2/O1CN01QbivD51b203EBdmCh_!!4611686018427383118-53-fleamarket.heic_790x10000Q90.jpg_.webp")</f>
        <v>https://img.alicdn.com/bao/uploaded/i2/O1CN01QbivD51b203EBdmCh_!!4611686018427383118-53-fleamarket.heic_790x10000Q90.jpg_.webp</v>
      </c>
      <c r="G327"/>
      <c r="H327" s="2" t="str">
        <f>=HYPERLINK("https://www.goofish.com/item?spm=a21ybx.search.searchFeedList.12.428b3984Nd7G6J&amp;id=916267190739&amp;categoryId=202036301", "https://www.goofish.com/item?spm=a21ybx.search.searchFeedList.12.428b3984Nd7G6J&amp;id=916267190739&amp;categoryId=202036301")</f>
        <v>https://www.goofish.com/item?spm=a21ybx.search.searchFeedList.12.428b3984Nd7G6J&amp;id=916267190739&amp;categoryId=202036301</v>
      </c>
      <c r="I327">
        <v>916267190739</v>
      </c>
      <c r="J327"/>
      <c r="K327"/>
      <c r="L327"/>
    </row>
    <row r="328" ht="25.5" customHeight="1">
      <c r="A328" t="inlineStr">
        <is>
          <t>【秒发】26执业护士15年真题笔记背诵电子版</t>
        </is>
      </c>
      <c r="B328">
        <v>406</v>
      </c>
      <c r="C328" t="inlineStr">
        <is>
          <t>不好意思! 这个资源丢失了，请等管理员操作~</t>
        </is>
      </c>
      <c r="D328"/>
      <c r="E328" t="inlineStr">
        <is>
          <t>✅ 2011-2025年执业护士历年真题，已更新2025年完整真题
✅ 考点笔记易错高频考点章节练习题时间类考点齐全
✅ 图片专题中医新增点重要考点背诵模拟题应有尽有
✅ 先看笔记和新增点结合背诵，用章节练习巩固真题检验
✅ 百度网盘秒拍秒发，24小时自动发货，时效性拉满
✅ 电子资料可复制性售出不支持无理由退款，版权问题联系删除</t>
        </is>
      </c>
      <c r="F328" s="2" t="str">
        <f>=HYPERLINK("https://img.alicdn.com/bao/uploaded/i1/O1CN016fPVfm1WyYgP6H6iT_!!4611686018427386649-49-fleamarket.webp_790x10000Q90.jpg_.webp", "https://img.alicdn.com/bao/uploaded/i1/O1CN016fPVfm1WyYgP6H6iT_!!4611686018427386649-49-fleamarket.webp_790x10000Q90.jpg_.webp")</f>
        <v>https://img.alicdn.com/bao/uploaded/i1/O1CN016fPVfm1WyYgP6H6iT_!!4611686018427386649-49-fleamarket.webp_790x10000Q90.jpg_.webp</v>
      </c>
      <c r="G328"/>
      <c r="H328" s="2" t="str">
        <f>=HYPERLINK("https://www.goofish.com/item?spm=a21ybx.search.searchFeedList.28.428b3984Nd7G6J&amp;id=1021180226174&amp;categoryId=201459411", "https://www.goofish.com/item?spm=a21ybx.search.searchFeedList.28.428b3984Nd7G6J&amp;id=1021180226174&amp;categoryId=201459411")</f>
        <v>https://www.goofish.com/item?spm=a21ybx.search.searchFeedList.28.428b3984Nd7G6J&amp;id=1021180226174&amp;categoryId=201459411</v>
      </c>
      <c r="I328">
        <v>1021180226174</v>
      </c>
      <c r="J328"/>
      <c r="K328"/>
      <c r="L328"/>
    </row>
    <row r="329" ht="25.5" customHeight="1">
      <c r="A329" t="inlineStr">
        <is>
          <t>【秒发】BEC商务英语初高级全套课程真题</t>
        </is>
      </c>
      <c r="B329">
        <v>407</v>
      </c>
      <c r="C329" t="inlineStr">
        <is>
          <t>不好意思! 这个资源丢失了，请等管理员操作~</t>
        </is>
      </c>
      <c r="D329"/>
      <c r="E329" t="inlineStr">
        <is>
          <t>✅ 2025年BEC商务英语全套资料，初级中级高级全覆盖
✅ 学生用书音频同步辅导教师用书PDF应有尽有
✅ 新东方美森桃子姐名师课程视频讲义词汇齐全
✅ 真题详细解析音频陈小慰口试手册专项整理练习
✅ 赠职场英语课程实景学习口语沟通礼仪邮件写作
✅ 夸克链接永久有效，电子资料售出不退不换，版权方联系删除</t>
        </is>
      </c>
      <c r="F329" s="2" t="str">
        <f>=HYPERLINK("https://img.alicdn.com/bao/uploaded/i4/2220320765014/O1CN0112wL0t1muT0FIZ1Ir_!!4611686018427384918-0-xy_item.jpg_790x10000Q90.jpg_.webp", "https://img.alicdn.com/bao/uploaded/i4/2220320765014/O1CN0112wL0t1muT0FIZ1Ir_!!4611686018427384918-0-xy_item.jpg_790x10000Q90.jpg_.webp")</f>
        <v>https://img.alicdn.com/bao/uploaded/i4/2220320765014/O1CN0112wL0t1muT0FIZ1Ir_!!4611686018427384918-0-xy_item.jpg_790x10000Q90.jpg_.webp</v>
      </c>
      <c r="G329"/>
      <c r="H329" s="2" t="str">
        <f>=HYPERLINK("https://www.goofish.com/item?spm=a21ybx.search.searchFeedList.12.428b3984Nd7G6J&amp;id=970841477538&amp;categoryId=201457610", "https://www.goofish.com/item?spm=a21ybx.search.searchFeedList.12.428b3984Nd7G6J&amp;id=970841477538&amp;categoryId=201457610")</f>
        <v>https://www.goofish.com/item?spm=a21ybx.search.searchFeedList.12.428b3984Nd7G6J&amp;id=970841477538&amp;categoryId=201457610</v>
      </c>
      <c r="I329">
        <v>970841477538</v>
      </c>
      <c r="J329"/>
      <c r="K329"/>
      <c r="L329"/>
    </row>
    <row r="330" ht="25.5" customHeight="1">
      <c r="A330" t="inlineStr">
        <is>
          <t>【秒发】26考研法大魔方笔记全套PDF</t>
        </is>
      </c>
      <c r="B330">
        <v>408</v>
      </c>
      <c r="C330" t="inlineStr">
        <is>
          <t>不好意思! 这个资源丢失了，请等管理员操作~</t>
        </is>
      </c>
      <c r="D330"/>
      <c r="E330" t="inlineStr">
        <is>
          <t>✅ 26年考研法大魔方笔记，701+801和701+802全套全覆盖
✅ 宪法法理民法刑法民诉真题16-25年，配套真题检测
✅ 文件包含增补勘误，资料详实，适合考研保研期末复习
✅ 百度网盘自动发货，电子资料一经发出无法退货
✅ 白菜价性价比高，今年最新版，诚祝备考顺利
✅ 不包含咨询院校，如需咨询请单拍链接</t>
        </is>
      </c>
      <c r="F330" s="2" t="str">
        <f>=HYPERLINK("https://img.alicdn.com/bao/uploaded/i2/O1CN01FO8z3i1cGUF4qJnVP_!!4611686018427383125-53-fleamarket.heic_790x10000Q90.jpg_.webp", "https://img.alicdn.com/bao/uploaded/i2/O1CN01FO8z3i1cGUF4qJnVP_!!4611686018427383125-53-fleamarket.heic_790x10000Q90.jpg_.webp")</f>
        <v>https://img.alicdn.com/bao/uploaded/i2/O1CN01FO8z3i1cGUF4qJnVP_!!4611686018427383125-53-fleamarket.heic_790x10000Q90.jpg_.webp</v>
      </c>
      <c r="G330"/>
      <c r="H330" s="2" t="str">
        <f>=HYPERLINK("https://www.goofish.com/item?spm=a21ybx.search.searchFeedList.21.428b3984Nd7G6J&amp;id=985430585667&amp;categoryId=202036301", "https://www.goofish.com/item?spm=a21ybx.search.searchFeedList.21.428b3984Nd7G6J&amp;id=985430585667&amp;categoryId=202036301")</f>
        <v>https://www.goofish.com/item?spm=a21ybx.search.searchFeedList.21.428b3984Nd7G6J&amp;id=985430585667&amp;categoryId=202036301</v>
      </c>
      <c r="I330">
        <v>985430585667</v>
      </c>
      <c r="J330"/>
      <c r="K330"/>
      <c r="L330"/>
    </row>
    <row r="331" ht="25.5" customHeight="1">
      <c r="A331" t="inlineStr">
        <is>
          <t>【秒发】山东教招14市11年真题答案解析</t>
        </is>
      </c>
      <c r="B331">
        <v>409</v>
      </c>
      <c r="C331" t="inlineStr">
        <is>
          <t>不好意思! 这个资源丢失了，请等管理员操作~</t>
        </is>
      </c>
      <c r="D331"/>
      <c r="E331" t="inlineStr">
        <is>
          <t>✅ 山东教师招聘历年真题及答案解析2017-2025年
✅ 包含14个地区真题：德州菏泽济南济宁聊城临沂青岛等
✅ 考生回忆版真题，部分答案残缺，介意勿拍
✅ 电子版BD网盘直发，标价为整理费
✅ 直拍直发，一旦售出不退不换，感谢理解
✅ 官方不公布真题，可能存在材料不完整情况</t>
        </is>
      </c>
      <c r="F331" s="2" t="str">
        <f>=HYPERLINK("https://img.alicdn.com/bao/uploaded/i3/O1CN01El2geA2HZd3pWDrrM_!!4611686018427381677-0-fleamarket.jpg_790x10000Q90.jpg_.webp", "https://img.alicdn.com/bao/uploaded/i3/O1CN01El2geA2HZd3pWDrrM_!!4611686018427381677-0-fleamarket.jpg_790x10000Q90.jpg_.webp")</f>
        <v>https://img.alicdn.com/bao/uploaded/i3/O1CN01El2geA2HZd3pWDrrM_!!4611686018427381677-0-fleamarket.jpg_790x10000Q90.jpg_.webp</v>
      </c>
      <c r="G331"/>
      <c r="H331" s="2" t="str">
        <f>=HYPERLINK("https://www.goofish.com/item?spm=a21ybx.search.searchFeedList.27.428b3984Nd7G6J&amp;id=1013566121892&amp;categoryId=202036301", "https://www.goofish.com/item?spm=a21ybx.search.searchFeedList.27.428b3984Nd7G6J&amp;id=1013566121892&amp;categoryId=202036301")</f>
        <v>https://www.goofish.com/item?spm=a21ybx.search.searchFeedList.27.428b3984Nd7G6J&amp;id=1013566121892&amp;categoryId=202036301</v>
      </c>
      <c r="I331">
        <v>1013566121892</v>
      </c>
      <c r="J331"/>
      <c r="K331"/>
      <c r="L331"/>
    </row>
    <row r="332" ht="25.5" customHeight="1">
      <c r="A332" t="inlineStr">
        <is>
          <t>【秒发】26三桶油笔试真题模拟题校招必备</t>
        </is>
      </c>
      <c r="B332">
        <v>410</v>
      </c>
      <c r="C332" t="inlineStr">
        <is>
          <t>不好意思! 这个资源丢失了，请等管理员操作~</t>
        </is>
      </c>
      <c r="D332"/>
      <c r="E332" t="inlineStr">
        <is>
          <t>✅ 2026中石油中石化中海油笔试真题题库，发全部三桶油资料
✅ 包含25年真题大部分卖的不包含，真题到25年模拟题26届
✅ 笔试历年真题模拟题企业文化知识应有尽有
✅ 基础知识行测公共基础知识往年真题模拟题齐全
✅ 拍下秒发货网盘自动发货，不用问在不在直接拍
✅ 不支持仅退款，虚拟商品售出不退不换</t>
        </is>
      </c>
      <c r="F332" s="2" t="str">
        <f>=HYPERLINK("https://img.alicdn.com/bao/uploaded/i4/O1CN01W7JuTH1hG5z0LoAo6_!!4611686018427380825-0-fleamarket.jpg_790x10000Q90.jpg_.webp", "https://img.alicdn.com/bao/uploaded/i4/O1CN01W7JuTH1hG5z0LoAo6_!!4611686018427380825-0-fleamarket.jpg_790x10000Q90.jpg_.webp")</f>
        <v>https://img.alicdn.com/bao/uploaded/i4/O1CN01W7JuTH1hG5z0LoAo6_!!4611686018427380825-0-fleamarket.jpg_790x10000Q90.jpg_.webp</v>
      </c>
      <c r="G332"/>
      <c r="H332" s="2" t="str">
        <f>=HYPERLINK("https://www.goofish.com/item?spm=a21ybx.search.searchFeedList.5.428b3984Nd7G6J&amp;id=989253789039&amp;categoryId=202036301", "https://www.goofish.com/item?spm=a21ybx.search.searchFeedList.5.428b3984Nd7G6J&amp;id=989253789039&amp;categoryId=202036301")</f>
        <v>https://www.goofish.com/item?spm=a21ybx.search.searchFeedList.5.428b3984Nd7G6J&amp;id=989253789039&amp;categoryId=202036301</v>
      </c>
      <c r="I332">
        <v>989253789039</v>
      </c>
      <c r="J332"/>
      <c r="K332"/>
      <c r="L332"/>
    </row>
    <row r="333" ht="25.5" customHeight="1">
      <c r="A333" t="inlineStr">
        <is>
          <t>【秒发】26万唯中考分类卷九科送十年真题</t>
        </is>
      </c>
      <c r="B333">
        <v>411</v>
      </c>
      <c r="C333" t="inlineStr">
        <is>
          <t>不好意思! 这个资源丢失了，请等管理员操作~</t>
        </is>
      </c>
      <c r="D333"/>
      <c r="E333" t="inlineStr">
        <is>
          <t>✅ 2026万唯中考真题分类卷，语数英物化生地历道法九科全套
✅ 全国通用版高清电子版PDF格式，答案解析齐全
✅ 送十年中考真题，内容完整无空白缺失
✅ 夸克百度网盘自动发货链接，方便快捷
✅ 虚拟资料售出不退不换，需要直接拍
✅ 标价即售价，拍下秒发</t>
        </is>
      </c>
      <c r="F333" s="2" t="str">
        <f>=HYPERLINK("https://img.alicdn.com/bao/uploaded/i3/2239486271/O1CN01iOpJd51wCAqdGJz6U_!!4611686018427386175-53-xy_item.heic_790x10000Q90.jpg_.webp", "https://img.alicdn.com/bao/uploaded/i3/2239486271/O1CN01iOpJd51wCAqdGJz6U_!!4611686018427386175-53-xy_item.heic_790x10000Q90.jpg_.webp")</f>
        <v>https://img.alicdn.com/bao/uploaded/i3/2239486271/O1CN01iOpJd51wCAqdGJz6U_!!4611686018427386175-53-xy_item.heic_790x10000Q90.jpg_.webp</v>
      </c>
      <c r="G333"/>
      <c r="H333" s="2" t="str">
        <f>=HYPERLINK("https://www.goofish.com/item?spm=a21ybx.search.searchFeedList.12.428b3984Nd7G6J&amp;id=1026796357642&amp;categoryId=202036301", "https://www.goofish.com/item?spm=a21ybx.search.searchFeedList.12.428b3984Nd7G6J&amp;id=1026796357642&amp;categoryId=202036301")</f>
        <v>https://www.goofish.com/item?spm=a21ybx.search.searchFeedList.12.428b3984Nd7G6J&amp;id=1026796357642&amp;categoryId=202036301</v>
      </c>
      <c r="I333">
        <v>1026796357642</v>
      </c>
      <c r="J333"/>
      <c r="K333"/>
      <c r="L333"/>
    </row>
    <row r="334" ht="25.5" customHeight="1">
      <c r="A334" t="inlineStr">
        <is>
          <t>【秒发】26李林生物真题1400题基础培优</t>
        </is>
      </c>
      <c r="B334">
        <v>412</v>
      </c>
      <c r="C334" t="inlineStr">
        <is>
          <t>不好意思! 这个资源丢失了，请等管理员操作~</t>
        </is>
      </c>
      <c r="D334"/>
      <c r="E334" t="inlineStr">
        <is>
          <t>✅ 2026李林生物真题分类全刷，基础1000题+培优400题
✅ 高清PDF版，答案解析全，题型覆盖广
✅ 适合高三刷题备考用，提升生物成绩
✅ 拍下自动发百度网盘链接，秒发无需等待
✅ 辅导作业神器，随时可用，高效复习
✅ 虚拟商品不退不换，需要直接拍
✅ 资料仅供学习交流，版权归版权人所有
✅ 售价为资源查找整理加工费用，不涉及商用
✅ 扫描稍有瑕疵，放大镜勿拍，打印效果受客观因素影响</t>
        </is>
      </c>
      <c r="F334" s="2" t="str">
        <f>=HYPERLINK("https://img.alicdn.com/bao/uploaded/i1/2643807270/O1CN01YFiYkC23ZiWKBYRJS_!!4611686018427382822-0-xy_item.jpg_790x10000Q90.jpg_.webp", "https://img.alicdn.com/bao/uploaded/i1/2643807270/O1CN01YFiYkC23ZiWKBYRJS_!!4611686018427382822-0-xy_item.jpg_790x10000Q90.jpg_.webp")</f>
        <v>https://img.alicdn.com/bao/uploaded/i1/2643807270/O1CN01YFiYkC23ZiWKBYRJS_!!4611686018427382822-0-xy_item.jpg_790x10000Q90.jpg_.webp</v>
      </c>
      <c r="G334"/>
      <c r="H334" s="2" t="str">
        <f>=HYPERLINK("https://www.goofish.com/item?spm=a21ybx.search.searchFeedList.13.428b3984Nd7G6J&amp;id=1020589201410&amp;categoryId=202036301", "https://www.goofish.com/item?spm=a21ybx.search.searchFeedList.13.428b3984Nd7G6J&amp;id=1020589201410&amp;categoryId=202036301")</f>
        <v>https://www.goofish.com/item?spm=a21ybx.search.searchFeedList.13.428b3984Nd7G6J&amp;id=1020589201410&amp;categoryId=202036301</v>
      </c>
      <c r="I334">
        <v>1020589201410</v>
      </c>
      <c r="J334"/>
      <c r="K334"/>
      <c r="L334"/>
    </row>
    <row r="335" ht="25.5" customHeight="1">
      <c r="A335" t="inlineStr">
        <is>
          <t>【秒发】福建事业编真题380套含答案解析</t>
        </is>
      </c>
      <c r="B335">
        <v>413</v>
      </c>
      <c r="C335" t="inlineStr">
        <is>
          <t>不好意思! 这个资源丢失了，请等管理员操作~</t>
        </is>
      </c>
      <c r="D335"/>
      <c r="E335" t="inlineStr">
        <is>
          <t>✅ 福建事业单位&amp;事业编真题380套，含答案解析
✅ 福建各地市真题179套+公基综应真题+全国联考157套
✅ 覆盖省属、福州、厦门、泉州等全省真题
✅ 4个资源渠道，ABCDE类全覆盖
✅ 职测、公基、综应等科目齐全
✅ 非纸质电孑版，标价直拍秒发
✅ 虚拟商品不退不换，介意勿拍
✅ 除全国联考外一般无最新真题</t>
        </is>
      </c>
      <c r="F335" s="2" t="str">
        <f>=HYPERLINK("https://img.alicdn.com/bao/uploaded/i3/O1CN01nhCiYY1ucA5yhDfDQ_!!4611686018427383817-0-fleamarket.jpg_790x10000Q90.jpg_.webp", "https://img.alicdn.com/bao/uploaded/i3/O1CN01nhCiYY1ucA5yhDfDQ_!!4611686018427383817-0-fleamarket.jpg_790x10000Q90.jpg_.webp")</f>
        <v>https://img.alicdn.com/bao/uploaded/i3/O1CN01nhCiYY1ucA5yhDfDQ_!!4611686018427383817-0-fleamarket.jpg_790x10000Q90.jpg_.webp</v>
      </c>
      <c r="G335"/>
      <c r="H335" s="2" t="str">
        <f>=HYPERLINK("https://www.goofish.com/item?spm=a21ybx.search.searchFeedList.10.428b3984Nd7G6J&amp;id=1025598218697&amp;categoryId=202036301", "https://www.goofish.com/item?spm=a21ybx.search.searchFeedList.10.428b3984Nd7G6J&amp;id=1025598218697&amp;categoryId=202036301")</f>
        <v>https://www.goofish.com/item?spm=a21ybx.search.searchFeedList.10.428b3984Nd7G6J&amp;id=1025598218697&amp;categoryId=202036301</v>
      </c>
      <c r="I335">
        <v>1025598218697</v>
      </c>
      <c r="J335"/>
      <c r="K335"/>
      <c r="L335"/>
    </row>
    <row r="336" ht="25.5" customHeight="1">
      <c r="A336" t="inlineStr">
        <is>
          <t>【秒发】26上教资面试资料结构化试讲</t>
        </is>
      </c>
      <c r="B336">
        <v>414</v>
      </c>
      <c r="C336" t="inlineStr">
        <is>
          <t>不好意思! 这个资源丢失了，请等管理员操作~</t>
        </is>
      </c>
      <c r="D336"/>
      <c r="E336" t="inlineStr">
        <is>
          <t>✅ 2026上教资面试资料全新整理，26上免费包更新
✅ 结构化+试讲+真题+答辩高频考点全覆盖
✅ 结构化学霸笔记+真题17-25上+万能模板+逐字稿
✅ 教案大全+学科逐字稿模板+万能金句+教育时政
✅ 幼儿小学初中高中全学段，12个学科全覆盖
✅ 零基础适用，直接套用模板，解决面试所有问题
✅ 备考清单完整，无需到处找资料，一次通过面试
✅ 标价电子版，拍下自动发，非质量问题不退款</t>
        </is>
      </c>
      <c r="F336" s="2" t="str">
        <f>=HYPERLINK("https://img.alicdn.com/bao/uploaded/i2/2215049913831/O1CN01o89niG1eAeSFuXUPT_!!4611686018427381223-0-xy_item.jpg_790x10000Q90.jpg_.webp", "https://img.alicdn.com/bao/uploaded/i2/2215049913831/O1CN01o89niG1eAeSFuXUPT_!!4611686018427381223-0-xy_item.jpg_790x10000Q90.jpg_.webp")</f>
        <v>https://img.alicdn.com/bao/uploaded/i2/2215049913831/O1CN01o89niG1eAeSFuXUPT_!!4611686018427381223-0-xy_item.jpg_790x10000Q90.jpg_.webp</v>
      </c>
      <c r="G336"/>
      <c r="H336" s="2" t="str">
        <f>=HYPERLINK("https://www.goofish.com/item?spm=a21ybx.search.searchFeedList.2.428b3984Nd7G6J&amp;id=976446450891&amp;categoryId=127812005", "https://www.goofish.com/item?spm=a21ybx.search.searchFeedList.2.428b3984Nd7G6J&amp;id=976446450891&amp;categoryId=127812005")</f>
        <v>https://www.goofish.com/item?spm=a21ybx.search.searchFeedList.2.428b3984Nd7G6J&amp;id=976446450891&amp;categoryId=127812005</v>
      </c>
      <c r="I336">
        <v>976446450891</v>
      </c>
      <c r="J336"/>
      <c r="K336"/>
      <c r="L336"/>
    </row>
    <row r="337" ht="25.5" customHeight="1">
      <c r="A337" t="inlineStr">
        <is>
          <t>【秒发】26小学教资教材加真题全套4本</t>
        </is>
      </c>
      <c r="B337">
        <v>415</v>
      </c>
      <c r="C337" t="inlineStr">
        <is>
          <t>不好意思! 这个资源丢失了，请等管理员操作~</t>
        </is>
      </c>
      <c r="D337"/>
      <c r="E337" t="inlineStr">
        <is>
          <t>✅ 2026年国家教师资格证考试用书，小学教资
✅ 教育教学知识与能力+综合素质教材加真题
✅ 共4本一套，两本教材两本试卷，货量充足
✅ 考试必备资料，全面覆盖考点真题
✅ 价格实惠，需要的朋友直接拍</t>
        </is>
      </c>
      <c r="F337" s="2" t="str">
        <f>=HYPERLINK("https://img.alicdn.com/bao/uploaded/i2/O1CN01Ou3vWj21q5Q3aO2C7_!!4611686018427380203-53-fleamarket.heic_790x10000Q90.jpg_.webp", "https://img.alicdn.com/bao/uploaded/i2/O1CN01Ou3vWj21q5Q3aO2C7_!!4611686018427380203-53-fleamarket.heic_790x10000Q90.jpg_.webp")</f>
        <v>https://img.alicdn.com/bao/uploaded/i2/O1CN01Ou3vWj21q5Q3aO2C7_!!4611686018427380203-53-fleamarket.heic_790x10000Q90.jpg_.webp</v>
      </c>
      <c r="G337"/>
      <c r="H337" s="2" t="str">
        <f>=HYPERLINK("https://www.goofish.com/item?spm=a21ybx.search.searchFeedList.7.428b3984Nd7G6J&amp;id=742412408130&amp;categoryId=127812005", "https://www.goofish.com/item?spm=a21ybx.search.searchFeedList.7.428b3984Nd7G6J&amp;id=742412408130&amp;categoryId=127812005")</f>
        <v>https://www.goofish.com/item?spm=a21ybx.search.searchFeedList.7.428b3984Nd7G6J&amp;id=742412408130&amp;categoryId=127812005</v>
      </c>
      <c r="I337">
        <v>742412408130</v>
      </c>
      <c r="J337"/>
      <c r="K337"/>
      <c r="L337"/>
    </row>
    <row r="338" ht="25.5" customHeight="1">
      <c r="A338" t="inlineStr">
        <is>
          <t>【秒发】26三大运营商校招真题2015-25</t>
        </is>
      </c>
      <c r="B338">
        <v>416</v>
      </c>
      <c r="C338" t="inlineStr">
        <is>
          <t>不好意思! 这个资源丢失了，请等管理员操作~</t>
        </is>
      </c>
      <c r="D338"/>
      <c r="E338" t="inlineStr">
        <is>
          <t>✅ 2026三大电信运营商校招备考历年真题库
✅ 包含2015-25年真题，移动电信联通全覆盖
✅ 知识点笔记+考试题库+历年真题+模拟密卷
✅ 考试题目80%源于题库，提高通过率
✅ EPI+企业文化+心理测试，科目齐全
✅ 24小时内自动发货，佰渡网盘永久有效
✅ 标价即卖价，拍下即得全部，秒发货
✅ 赠性格测试，备考更全面</t>
        </is>
      </c>
      <c r="F338" s="2" t="str">
        <f>=HYPERLINK("https://img.alicdn.com/bao/uploaded/i1/O1CN01BHwEC31bo5gdTUOut_!!4611686018427387015-0-fleamarket.jpg_790x10000Q90.jpg_.webp", "https://img.alicdn.com/bao/uploaded/i1/O1CN01BHwEC31bo5gdTUOut_!!4611686018427387015-0-fleamarket.jpg_790x10000Q90.jpg_.webp")</f>
        <v>https://img.alicdn.com/bao/uploaded/i1/O1CN01BHwEC31bo5gdTUOut_!!4611686018427387015-0-fleamarket.jpg_790x10000Q90.jpg_.webp</v>
      </c>
      <c r="G338"/>
      <c r="H338" s="2" t="str">
        <f>=HYPERLINK("https://www.goofish.com/item?spm=a21ybx.search.searchFeedList.16.428b3984Nd7G6J&amp;id=981535005689&amp;categoryId=202036301", "https://www.goofish.com/item?spm=a21ybx.search.searchFeedList.16.428b3984Nd7G6J&amp;id=981535005689&amp;categoryId=202036301")</f>
        <v>https://www.goofish.com/item?spm=a21ybx.search.searchFeedList.16.428b3984Nd7G6J&amp;id=981535005689&amp;categoryId=202036301</v>
      </c>
      <c r="I338">
        <v>981535005689</v>
      </c>
      <c r="J338"/>
      <c r="K338"/>
      <c r="L338"/>
    </row>
    <row r="339" ht="25.5" customHeight="1">
      <c r="A339" t="inlineStr">
        <is>
          <t>【秒发】江西事业编真题582套含答案解析</t>
        </is>
      </c>
      <c r="B339">
        <v>417</v>
      </c>
      <c r="C339" t="inlineStr">
        <is>
          <t>不好意思! 这个资源丢失了，请等管理员操作~</t>
        </is>
      </c>
      <c r="D339"/>
      <c r="E339" t="inlineStr">
        <is>
          <t>✅ 江西事业单位真题582套，含答案和解析
✅ 省直、南昌、赣州等全省地市真题204套
✅ 公基真题109套+综应真题+职测真题全覆盖
✅ 全国事业单位联考ABCDE类真题157套
✅ 4个资源渠道，题目全面，备考刷题必备
✅ 24小时自动发货，秒发无需等待
✅ 非纸质电子版，标价即卖价，直接拍
✅ 虚拟资料不退不换，介意勿拍
✅ 整理费用，仅供交流学习使用</t>
        </is>
      </c>
      <c r="F339" s="2" t="str">
        <f>=HYPERLINK("https://img.alicdn.com/bao/uploaded/i1/O1CN01RLcLaa1Pwzw6dnZz1_!!4611686018427383394-0-fleamarket.jpg_790x10000Q90.jpg_.webp", "https://img.alicdn.com/bao/uploaded/i1/O1CN01RLcLaa1Pwzw6dnZz1_!!4611686018427383394-0-fleamarket.jpg_790x10000Q90.jpg_.webp")</f>
        <v>https://img.alicdn.com/bao/uploaded/i1/O1CN01RLcLaa1Pwzw6dnZz1_!!4611686018427383394-0-fleamarket.jpg_790x10000Q90.jpg_.webp</v>
      </c>
      <c r="G339"/>
      <c r="H339" s="2" t="str">
        <f>=HYPERLINK("https://www.goofish.com/item?spm=a21ybx.search.searchFeedList.10.428b3984Nd7G6J&amp;id=891715328648&amp;categoryId=202036301", "https://www.goofish.com/item?spm=a21ybx.search.searchFeedList.10.428b3984Nd7G6J&amp;id=891715328648&amp;categoryId=202036301")</f>
        <v>https://www.goofish.com/item?spm=a21ybx.search.searchFeedList.10.428b3984Nd7G6J&amp;id=891715328648&amp;categoryId=202036301</v>
      </c>
      <c r="I339">
        <v>891715328648</v>
      </c>
      <c r="J339"/>
      <c r="K339"/>
      <c r="L339"/>
    </row>
    <row r="340" ht="25.5" customHeight="1">
      <c r="A340" t="inlineStr">
        <is>
          <t>【秒发】26上教资网课名师押题真题视频</t>
        </is>
      </c>
      <c r="B340">
        <v>418</v>
      </c>
      <c r="C340" t="inlineStr">
        <is>
          <t>不好意思! 这个资源丢失了，请等管理员操作~</t>
        </is>
      </c>
      <c r="D340"/>
      <c r="E340" t="inlineStr">
        <is>
          <t>✅ 2026上教资网课，幼儿小学初中高中中职全覆盖
✅ 名师课程+押题+历年真题+高清视频+电子资料
✅ 系统班全程更新，适合0基础备考，资料齐全
✅ 重点笔记+真题+思维导图，一站式备考
✅ 拍下秒发网盘链接，全国通用支持多学段
✅ 内容丰富，直接上手，通过率高
✅ 电子资料，拍下不退不换，喜欢直接拍</t>
        </is>
      </c>
      <c r="F340" s="2" t="str">
        <f>=HYPERLINK("https://img.alicdn.com/bao/uploaded/i3/2221406896012/O1CN01Z8v9eP1uHYGQeRQNq_!!4611686018427387788-0-xy_item.jpg_790x10000Q90.jpg_.webp", "https://img.alicdn.com/bao/uploaded/i3/2221406896012/O1CN01Z8v9eP1uHYGQeRQNq_!!4611686018427387788-0-xy_item.jpg_790x10000Q90.jpg_.webp")</f>
        <v>https://img.alicdn.com/bao/uploaded/i3/2221406896012/O1CN01Z8v9eP1uHYGQeRQNq_!!4611686018427387788-0-xy_item.jpg_790x10000Q90.jpg_.webp</v>
      </c>
      <c r="G340"/>
      <c r="H340" s="2" t="str">
        <f>=HYPERLINK("https://www.goofish.com/item?spm=a21ybx.search.searchFeedList.7.428b3984Nd7G6J&amp;id=1011305729165&amp;categoryId=202036301", "https://www.goofish.com/item?spm=a21ybx.search.searchFeedList.7.428b3984Nd7G6J&amp;id=1011305729165&amp;categoryId=202036301")</f>
        <v>https://www.goofish.com/item?spm=a21ybx.search.searchFeedList.7.428b3984Nd7G6J&amp;id=1011305729165&amp;categoryId=202036301</v>
      </c>
      <c r="I340">
        <v>1011305729165</v>
      </c>
      <c r="J340"/>
      <c r="K340"/>
      <c r="L340"/>
    </row>
    <row r="341" ht="25.5" customHeight="1">
      <c r="A341" t="inlineStr">
        <is>
          <t>【秒发】25材料力学考研清风孙训方刘鸿文</t>
        </is>
      </c>
      <c r="B341">
        <v>419</v>
      </c>
      <c r="C341" t="inlineStr">
        <is>
          <t>不好意思! 这个资源丢失了，请等管理员操作~</t>
        </is>
      </c>
      <c r="D341"/>
      <c r="E341" t="inlineStr">
        <is>
          <t>✅ 2025材料力学考研资料，清风学长+孙训方+刘鸿文多位名师讲义
✅ 启航全程班课程+精讲班+考研真题，内容超全不断更
✅ 清风学长全程班系统讲解知识点，考研必备
✅ 孙训方考研精讲详细解析重点难点
✅ 刘鸿文考研精讲，配套讲义和习题
✅ 2025理论力学课程+材料力学课程，配套齐全
✅ 每天2-3小时学习计划，高效备考
✅ 百度网盘自动发货，秒发无需等待
✅ 断更包退，链接发出前支持无理由退款
✅ 链接发出后因资料可复制性不支持退款</t>
        </is>
      </c>
      <c r="F341" s="2" t="str">
        <f>=HYPERLINK("https://img.alicdn.com/bao/uploaded/i1/O1CN01n10ya7208Huw9p2OW_!!4611686018427387476-53-fleamarket.heic_790x10000Q90.jpg_.webp", "https://img.alicdn.com/bao/uploaded/i1/O1CN01n10ya7208Huw9p2OW_!!4611686018427387476-53-fleamarket.heic_790x10000Q90.jpg_.webp")</f>
        <v>https://img.alicdn.com/bao/uploaded/i1/O1CN01n10ya7208Huw9p2OW_!!4611686018427387476-53-fleamarket.heic_790x10000Q90.jpg_.webp</v>
      </c>
      <c r="G341"/>
      <c r="H341" s="2" t="str">
        <f>=HYPERLINK("https://www.goofish.com/item?spm=a21ybx.search.searchFeedList.18.428b3984Nd7G6J&amp;id=969715794966&amp;categoryId=202036301", "https://www.goofish.com/item?spm=a21ybx.search.searchFeedList.18.428b3984Nd7G6J&amp;id=969715794966&amp;categoryId=202036301")</f>
        <v>https://www.goofish.com/item?spm=a21ybx.search.searchFeedList.18.428b3984Nd7G6J&amp;id=969715794966&amp;categoryId=202036301</v>
      </c>
      <c r="I341">
        <v>969715794966</v>
      </c>
      <c r="J341"/>
      <c r="K341"/>
      <c r="L341"/>
    </row>
    <row r="342" ht="25.5" customHeight="1">
      <c r="A342" t="inlineStr">
        <is>
          <t>【秒发】袋鼠数学真题13-25年全级中英</t>
        </is>
      </c>
      <c r="B342">
        <v>420</v>
      </c>
      <c r="C342" t="inlineStr">
        <is>
          <t>不好意思! 这个资源丢失了，请等管理员操作~</t>
        </is>
      </c>
      <c r="D342"/>
      <c r="E342" t="inlineStr">
        <is>
          <t>✅ 2013-2025年袋鼠数学竞赛真题合集
✅ 1-12年级全等级A-F全覆盖，中英对照
✅ 答案解析详细，PDF高清版可打印
✅ 适合备考袋鼠数学、系统刷题、冲高分
✅ 资料持续更新，拍下自动发货秒发
✅ 网盘发货，包邮，虚拟资料不退不换</t>
        </is>
      </c>
      <c r="F342" s="2" t="str">
        <f>=HYPERLINK("https://img.alicdn.com/bao/uploaded/i3/311719069/O1CN015gUTda2Grf2e9p4cS_!!4611686018427384989-53-xy_item.heic_790x10000Q90.jpg_.webp", "https://img.alicdn.com/bao/uploaded/i3/311719069/O1CN015gUTda2Grf2e9p4cS_!!4611686018427384989-53-xy_item.heic_790x10000Q90.jpg_.webp")</f>
        <v>https://img.alicdn.com/bao/uploaded/i3/311719069/O1CN015gUTda2Grf2e9p4cS_!!4611686018427384989-53-xy_item.heic_790x10000Q90.jpg_.webp</v>
      </c>
      <c r="G342"/>
      <c r="H342" s="2" t="str">
        <f>=HYPERLINK("https://www.goofish.com/item?spm=a21ybx.search.searchFeedList.10.428b3984Nd7G6J&amp;id=1013212178322&amp;categoryId=202036301", "https://www.goofish.com/item?spm=a21ybx.search.searchFeedList.10.428b3984Nd7G6J&amp;id=1013212178322&amp;categoryId=202036301")</f>
        <v>https://www.goofish.com/item?spm=a21ybx.search.searchFeedList.10.428b3984Nd7G6J&amp;id=1013212178322&amp;categoryId=202036301</v>
      </c>
      <c r="I342">
        <v>1013212178322</v>
      </c>
      <c r="J342"/>
      <c r="K342"/>
      <c r="L342"/>
    </row>
    <row r="343" ht="25.5" customHeight="1">
      <c r="A343" t="inlineStr">
        <is>
          <t>【秒发】26春多分培优英语7-9年级下册</t>
        </is>
      </c>
      <c r="B343">
        <v>421</v>
      </c>
      <c r="C343" t="inlineStr">
        <is>
          <t>不好意思! 这个资源丢失了，请等管理员操作~</t>
        </is>
      </c>
      <c r="D343"/>
      <c r="E343" t="inlineStr">
        <is>
          <t>✅ 2026春多分培优七八九年级下册英语电子版
✅ 成都新题型专用，包含参考答案听力材料PPT
✅ 评讲PPT+默背清单+中考真题电子版
✅ 每套100分+50分，题量丰富分批发货
✅ 电子版资料，拍下秒发网盘链接支持打印
✅ 下单即发，不发快递，热门考试用书</t>
        </is>
      </c>
      <c r="F343" s="2" t="str">
        <f>=HYPERLINK("https://img.alicdn.com/bao/uploaded/i2/2219357306726/O1CN01TQcMvn1zYZ3htH60S_!!4611686018427387750-53-xy_item.heic_790x10000Q90.jpg_.webp", "https://img.alicdn.com/bao/uploaded/i2/2219357306726/O1CN01TQcMvn1zYZ3htH60S_!!4611686018427387750-53-xy_item.heic_790x10000Q90.jpg_.webp")</f>
        <v>https://img.alicdn.com/bao/uploaded/i2/2219357306726/O1CN01TQcMvn1zYZ3htH60S_!!4611686018427387750-53-xy_item.heic_790x10000Q90.jpg_.webp</v>
      </c>
      <c r="G343"/>
      <c r="H343" s="2" t="str">
        <f>=HYPERLINK("https://www.goofish.com/item?spm=a21ybx.search.searchFeedList.29.428b3984Nd7G6J&amp;id=1018413568196&amp;categoryId=202036301", "https://www.goofish.com/item?spm=a21ybx.search.searchFeedList.29.428b3984Nd7G6J&amp;id=1018413568196&amp;categoryId=202036301")</f>
        <v>https://www.goofish.com/item?spm=a21ybx.search.searchFeedList.29.428b3984Nd7G6J&amp;id=1018413568196&amp;categoryId=202036301</v>
      </c>
      <c r="I343">
        <v>1018413568196</v>
      </c>
      <c r="J343"/>
      <c r="K343"/>
      <c r="L343"/>
    </row>
    <row r="344" ht="25.5" customHeight="1">
      <c r="A344" t="inlineStr">
        <is>
          <t>【秒发】数学分析第五版华东师大高清PDF</t>
        </is>
      </c>
      <c r="B344">
        <v>422</v>
      </c>
      <c r="C344" t="inlineStr">
        <is>
          <t>不好意思! 这个资源丢失了，请等管理员操作~</t>
        </is>
      </c>
      <c r="D344"/>
      <c r="E344" t="inlineStr">
        <is>
          <t>✅ 数学分析第五版华东师范大学教材高清电子版
✅ 上下册完整，配套张天德课后习题详解辅导资料
✅ 无水印PDF，清晰可打印，内容可复制非影印
✅ 考研期末必备，数学专业工科学生适用
✅ 24小时自动发货，免拼秒发
✅ 百度网盘发送，学习无忧</t>
        </is>
      </c>
      <c r="F344" s="2" t="str">
        <f>=HYPERLINK("https://img.alicdn.com/bao/uploaded/i4/O1CN01RSBSEJ2DiYIOUWodt_!!4611686018427383539-0-fleamarket.jpg_790x10000Q90.jpg_.webp", "https://img.alicdn.com/bao/uploaded/i4/O1CN01RSBSEJ2DiYIOUWodt_!!4611686018427383539-0-fleamarket.jpg_790x10000Q90.jpg_.webp")</f>
        <v>https://img.alicdn.com/bao/uploaded/i4/O1CN01RSBSEJ2DiYIOUWodt_!!4611686018427383539-0-fleamarket.jpg_790x10000Q90.jpg_.webp</v>
      </c>
      <c r="G344"/>
      <c r="H344" s="2" t="str">
        <f>=HYPERLINK("https://www.goofish.com/item?spm=a21ybx.search.searchFeedList.13.428b3984Nd7G6J&amp;id=991166772793&amp;categoryId=202036301", "https://www.goofish.com/item?spm=a21ybx.search.searchFeedList.13.428b3984Nd7G6J&amp;id=991166772793&amp;categoryId=202036301")</f>
        <v>https://www.goofish.com/item?spm=a21ybx.search.searchFeedList.13.428b3984Nd7G6J&amp;id=991166772793&amp;categoryId=202036301</v>
      </c>
      <c r="I344">
        <v>991166772793</v>
      </c>
      <c r="J344"/>
      <c r="K344"/>
      <c r="L344"/>
    </row>
    <row r="345" ht="25.5" customHeight="1">
      <c r="A345" t="inlineStr">
        <is>
          <t>【秒发】26导游证雷大大网课真题全套资料</t>
        </is>
      </c>
      <c r="B345">
        <v>423</v>
      </c>
      <c r="C345" t="inlineStr">
        <is>
          <t>不好意思! 这个资源丢失了，请等管理员操作~</t>
        </is>
      </c>
      <c r="D345"/>
      <c r="E345" t="inlineStr">
        <is>
          <t>✅ 2026导游证考试全套备考资料，包更包更
✅ 雷大大25网课+三四色笔记+历年真题15-24年
✅ 中英文导游词200问，涵盖31个省份全覆盖
✅ 电子教材25最新第十版+速记宝典+思维导图
✅ 科目12345笔试面试一起发，24网课25网课
✅ 赠送25年押题班及押题卷+付费版电子PDF题库
✅ 百度夸克双盘发货，24小时自动发货
✅ 时政陆续更新，新资料及时更新
✅ 电子资料不退不换，整理费用，侵权下架</t>
        </is>
      </c>
      <c r="F345" s="2" t="str">
        <f>=HYPERLINK("https://img.alicdn.com/bao/uploaded/i2/3085423832/O1CN01FGPQJk1eB6qibBoJV_!!4611686018427385048-53-xy_item.heic_790x10000Q90.jpg_.webp", "https://img.alicdn.com/bao/uploaded/i2/3085423832/O1CN01FGPQJk1eB6qibBoJV_!!4611686018427385048-53-xy_item.heic_790x10000Q90.jpg_.webp")</f>
        <v>https://img.alicdn.com/bao/uploaded/i2/3085423832/O1CN01FGPQJk1eB6qibBoJV_!!4611686018427385048-53-xy_item.heic_790x10000Q90.jpg_.webp</v>
      </c>
      <c r="G345"/>
      <c r="H345" s="2" t="str">
        <f>=HYPERLINK("https://www.goofish.com/item?spm=a21ybx.search.searchFeedList.13.428b3984Nd7G6J&amp;id=1025577955692&amp;categoryId=202036301", "https://www.goofish.com/item?spm=a21ybx.search.searchFeedList.13.428b3984Nd7G6J&amp;id=1025577955692&amp;categoryId=202036301")</f>
        <v>https://www.goofish.com/item?spm=a21ybx.search.searchFeedList.13.428b3984Nd7G6J&amp;id=1025577955692&amp;categoryId=202036301</v>
      </c>
      <c r="I345">
        <v>1025577955692</v>
      </c>
      <c r="J345"/>
      <c r="K345"/>
      <c r="L345"/>
    </row>
    <row r="346" ht="25.5" customHeight="1">
      <c r="A346" t="inlineStr">
        <is>
          <t>【秒发】马工程管理学二版PDF真题题库</t>
        </is>
      </c>
      <c r="B346">
        <v>424</v>
      </c>
      <c r="C346" t="inlineStr">
        <is>
          <t>不好意思! 这个资源丢失了，请等管理员操作~</t>
        </is>
      </c>
      <c r="D346"/>
      <c r="E346" t="inlineStr">
        <is>
          <t>✅ 马工程管理学第二版PDF高清电子版
✅ 第一版+版本对比，完整版全覆盖
✅ 考研真题精选+章节题库+课后习题全套
✅ 笔记+学习指南与练习，复习必备
✅ 24小时自动发货，拍下秒发
✅ 百度网盘发送，管理学考研必选</t>
        </is>
      </c>
      <c r="F346" s="2" t="str">
        <f>=HYPERLINK("https://img.alicdn.com/bao/uploaded/i1/2221520183081/O1CN01jlVgCv1Yd9PAg0YX2_!!4611686018427387689-0-xy_item.jpg_790x10000Q90.jpg_.webp", "https://img.alicdn.com/bao/uploaded/i1/2221520183081/O1CN01jlVgCv1Yd9PAg0YX2_!!4611686018427387689-0-xy_item.jpg_790x10000Q90.jpg_.webp")</f>
        <v>https://img.alicdn.com/bao/uploaded/i1/2221520183081/O1CN01jlVgCv1Yd9PAg0YX2_!!4611686018427387689-0-xy_item.jpg_790x10000Q90.jpg_.webp</v>
      </c>
      <c r="G346"/>
      <c r="H346" s="2" t="str">
        <f>=HYPERLINK("https://www.goofish.com/item?spm=a21ybx.search.searchFeedList.4.428b3984Nd7G6J&amp;id=1028942825318&amp;categoryId=202036301", "https://www.goofish.com/item?spm=a21ybx.search.searchFeedList.4.428b3984Nd7G6J&amp;id=1028942825318&amp;categoryId=202036301")</f>
        <v>https://www.goofish.com/item?spm=a21ybx.search.searchFeedList.4.428b3984Nd7G6J&amp;id=1028942825318&amp;categoryId=202036301</v>
      </c>
      <c r="I346">
        <v>1028942825318</v>
      </c>
      <c r="J346"/>
      <c r="K346"/>
      <c r="L346"/>
    </row>
    <row r="347" ht="25.5" customHeight="1">
      <c r="A347" t="inlineStr">
        <is>
          <t>【秒发】26天津人地会考真题模拟绿本</t>
        </is>
      </c>
      <c r="B347">
        <v>425</v>
      </c>
      <c r="C347" t="inlineStr">
        <is>
          <t>不好意思! 这个资源丢失了，请等管理员操作~</t>
        </is>
      </c>
      <c r="D347"/>
      <c r="E347" t="inlineStr">
        <is>
          <t>✅ 2026新版一飞冲天天津地生会考专用版
✅ 初中地理生物中考会考真题模拟题全套
✅ 主书及答案齐全，A4版面无水印
✅ 地理赠送24-23年部分区模拟试卷
✅ 生物赠送24-21年部分区模拟试卷
✅ 发网盘下载链接，自己下载打印学习
✅ 天津专用，其他省市勿拍，拍错不退
✅ 资料可复制性发出不退不换
✅ 不会下载或不能打印不予退款</t>
        </is>
      </c>
      <c r="F347" s="2" t="str">
        <f>=HYPERLINK("https://img.alicdn.com/bao/uploaded/i1/O1CN0113N9r828M2m0tlkjb_!!4611686018427380173-0-fleamarket.jpg_790x10000Q90.jpg_.webp", "https://img.alicdn.com/bao/uploaded/i1/O1CN0113N9r828M2m0tlkjb_!!4611686018427380173-0-fleamarket.jpg_790x10000Q90.jpg_.webp")</f>
        <v>https://img.alicdn.com/bao/uploaded/i1/O1CN0113N9r828M2m0tlkjb_!!4611686018427380173-0-fleamarket.jpg_790x10000Q90.jpg_.webp</v>
      </c>
      <c r="G347"/>
      <c r="H347" s="2" t="str">
        <f>=HYPERLINK("https://www.goofish.com/item?spm=a21ybx.search.searchFeedList.15.428b3984Nd7G6J&amp;id=1020489341229&amp;categoryId=202036301", "https://www.goofish.com/item?spm=a21ybx.search.searchFeedList.15.428b3984Nd7G6J&amp;id=1020489341229&amp;categoryId=202036301")</f>
        <v>https://www.goofish.com/item?spm=a21ybx.search.searchFeedList.15.428b3984Nd7G6J&amp;id=1020489341229&amp;categoryId=202036301</v>
      </c>
      <c r="I347">
        <v>1020489341229</v>
      </c>
      <c r="J347"/>
      <c r="K347"/>
      <c r="L347"/>
    </row>
    <row r="348" ht="25.5" customHeight="1">
      <c r="A348" t="inlineStr">
        <is>
          <t>【秒发】安徽对口单招校考真题21-24年</t>
        </is>
      </c>
      <c r="B348">
        <v>426</v>
      </c>
      <c r="C348" t="inlineStr">
        <is>
          <t>不好意思! 这个资源丢失了，请等管理员操作~</t>
        </is>
      </c>
      <c r="D348"/>
      <c r="E348" t="inlineStr">
        <is>
          <t>✅ 安徽对口单招各院校历年校考真题21-24年
✅ 基本涵盖安徽各地区各学校单招校考真题
✅ 包含校考大纲+报考指南，备考资料齐全
✅ 电子资料发货后不支持退换
✅ 仅交流使用，非商业目的，整理费用
✅ 非纸质电子版，标价即卖价
✅ 一旦售出不退不换，感谢理解</t>
        </is>
      </c>
      <c r="F348" s="2" t="str">
        <f>=HYPERLINK("https://img.alicdn.com/bao/uploaded/i1/2222076276495/O1CN01TjZ0401xqlZhrTr4u_!!4611686018427383567-53-xy_item.heic_790x10000Q90.jpg_.webp", "https://img.alicdn.com/bao/uploaded/i1/2222076276495/O1CN01TjZ0401xqlZhrTr4u_!!4611686018427383567-53-xy_item.heic_790x10000Q90.jpg_.webp")</f>
        <v>https://img.alicdn.com/bao/uploaded/i1/2222076276495/O1CN01TjZ0401xqlZhrTr4u_!!4611686018427383567-53-xy_item.heic_790x10000Q90.jpg_.webp</v>
      </c>
      <c r="G348"/>
      <c r="H348" s="2" t="str">
        <f>=HYPERLINK("https://www.goofish.com/item?spm=a21ybx.search.searchFeedList.9.428b3984Nd7G6J&amp;id=1030849630481&amp;categoryId=202036301", "https://www.goofish.com/item?spm=a21ybx.search.searchFeedList.9.428b3984Nd7G6J&amp;id=1030849630481&amp;categoryId=202036301")</f>
        <v>https://www.goofish.com/item?spm=a21ybx.search.searchFeedList.9.428b3984Nd7G6J&amp;id=1030849630481&amp;categoryId=202036301</v>
      </c>
      <c r="I348">
        <v>1030849630481</v>
      </c>
      <c r="J348"/>
      <c r="K348"/>
      <c r="L348"/>
    </row>
    <row r="349" ht="25.5" customHeight="1">
      <c r="A349" t="inlineStr">
        <is>
          <t>【秒发】26中公教资科三语文真题试卷教材</t>
        </is>
      </c>
      <c r="B349">
        <v>427</v>
      </c>
      <c r="C349" t="inlineStr">
        <is>
          <t>不好意思! 这个资源丢失了，请等管理员操作~</t>
        </is>
      </c>
      <c r="D349"/>
      <c r="E349" t="inlineStr">
        <is>
          <t>✅ 中公教资科三初高中学科知识与能力教材真题
✅ 语文等26个学科都有货，发2026版本最新版
✅ 全新正版未拆封，有课程兑换码激活课程
✅ 公共科目每科12套真题4套预测
✅ 学科每科10套真题4套预测
✅ 包邮发货，偏远地区补运费
✅ 不满意支持退换货，包售后</t>
        </is>
      </c>
      <c r="F349" s="2" t="str">
        <f>=HYPERLINK("https://img.alicdn.com/bao/uploaded/i3/O1CN0106fi0I1HdkRX3CCpf_!!4611686018427382557-0-fleamarket.jpg_790x10000Q90.jpg_.webp", "https://img.alicdn.com/bao/uploaded/i3/O1CN0106fi0I1HdkRX3CCpf_!!4611686018427382557-0-fleamarket.jpg_790x10000Q90.jpg_.webp")</f>
        <v>https://img.alicdn.com/bao/uploaded/i3/O1CN0106fi0I1HdkRX3CCpf_!!4611686018427382557-0-fleamarket.jpg_790x10000Q90.jpg_.webp</v>
      </c>
      <c r="G349"/>
      <c r="H349" s="2" t="str">
        <f>=HYPERLINK("https://www.goofish.com/item?spm=a21ybx.search.searchFeedList.27.428b3984Nd7G6J&amp;id=761986280992&amp;categoryId=127812005", "https://www.goofish.com/item?spm=a21ybx.search.searchFeedList.27.428b3984Nd7G6J&amp;id=761986280992&amp;categoryId=127812005")</f>
        <v>https://www.goofish.com/item?spm=a21ybx.search.searchFeedList.27.428b3984Nd7G6J&amp;id=761986280992&amp;categoryId=127812005</v>
      </c>
      <c r="I349">
        <v>761986280992</v>
      </c>
      <c r="J349"/>
      <c r="K349"/>
      <c r="L349"/>
    </row>
    <row r="350" ht="25.5" customHeight="1">
      <c r="A350" t="inlineStr">
        <is>
          <t>【秒发】YMO世界少年杯数学竞赛20-35届真题</t>
        </is>
      </c>
      <c r="B350">
        <v>428</v>
      </c>
      <c r="C350" t="inlineStr">
        <is>
          <t>不好意思! 这个资源丢失了，请等管理员操作~</t>
        </is>
      </c>
      <c r="D350"/>
      <c r="E350" t="inlineStr">
        <is>
          <t>✅ YMO世界少年杯数学竞赛历届真题全套
✅ 初赛复赛国赛20-35届真题答案部分视频讲解
✅ 1-6年级全年级都有，部分7-9年级
✅ 初赛20-31届视频讲解，复赛20-28届视频讲解
✅ 国赛26-34届真题，内容齐全
✅ 小学奥数竞赛备考必备，系统刷题
✅ 24小时自动秒发，百度网盘发货
✅ 部分有水印，介意勿拍
✅ 标价即卖价，直接拍即可</t>
        </is>
      </c>
      <c r="F350" s="2" t="str">
        <f>=HYPERLINK("https://img.alicdn.com/bao/uploaded/i2/O1CN01NoJmlv1r0emm8MfKk_!!4611686018427379905-0-fleamarket.jpg_790x10000Q90.jpg_.webp", "https://img.alicdn.com/bao/uploaded/i2/O1CN01NoJmlv1r0emm8MfKk_!!4611686018427379905-0-fleamarket.jpg_790x10000Q90.jpg_.webp")</f>
        <v>https://img.alicdn.com/bao/uploaded/i2/O1CN01NoJmlv1r0emm8MfKk_!!4611686018427379905-0-fleamarket.jpg_790x10000Q90.jpg_.webp</v>
      </c>
      <c r="G350"/>
      <c r="H350" s="2" t="str">
        <f>=HYPERLINK("https://www.goofish.com/item?spm=a21ybx.search.searchFeedList.7.428b3984Nd7G6J&amp;id=903182940089&amp;categoryId=202036301", "https://www.goofish.com/item?spm=a21ybx.search.searchFeedList.7.428b3984Nd7G6J&amp;id=903182940089&amp;categoryId=202036301")</f>
        <v>https://www.goofish.com/item?spm=a21ybx.search.searchFeedList.7.428b3984Nd7G6J&amp;id=903182940089&amp;categoryId=202036301</v>
      </c>
      <c r="I350">
        <v>903182940089</v>
      </c>
      <c r="J350"/>
      <c r="K350"/>
      <c r="L350"/>
    </row>
    <row r="351" ht="25.5" customHeight="1">
      <c r="A351" t="inlineStr">
        <is>
          <t>【秒发】26软考高级信息系统项目管理师</t>
        </is>
      </c>
      <c r="B351">
        <v>429</v>
      </c>
      <c r="C351" t="inlineStr">
        <is>
          <t>不好意思! 这个资源丢失了，请等管理员操作~</t>
        </is>
      </c>
      <c r="D351"/>
      <c r="E351" t="inlineStr">
        <is>
          <t>✅ 2026年5月软考高级信息系统项目管理师全套
✅ 第四版视频教程课程真题论文习题0基础齐全
✅ 拍后先发25年课程26开课后免费上传持续更新
✅ 25年6位老师全部更完拒绝断更滞更
✅ 精讲刷题母题班高频考点习题强化押题班等
✅ 电子版教材三色笔记学霸笔记历年真题章节习题
✅ 百度网盘自动发货电子资料不退不换
✅ 店主十年IT人24年已考过顶级质量售后</t>
        </is>
      </c>
      <c r="F351" s="2" t="str">
        <f>=HYPERLINK("https://img.alicdn.com/bao/uploaded/i4/2221520183081/O1CN011LOQ5k1Yd9OgAfZ8q_!!4611686018427387689-0-xy_item.jpg_790x10000Q90.jpg_.webp", "https://img.alicdn.com/bao/uploaded/i4/2221520183081/O1CN011LOQ5k1Yd9OgAfZ8q_!!4611686018427387689-0-xy_item.jpg_790x10000Q90.jpg_.webp")</f>
        <v>https://img.alicdn.com/bao/uploaded/i4/2221520183081/O1CN011LOQ5k1Yd9OgAfZ8q_!!4611686018427387689-0-xy_item.jpg_790x10000Q90.jpg_.webp</v>
      </c>
      <c r="G351"/>
      <c r="H351" s="2" t="str">
        <f>=HYPERLINK("https://www.goofish.com/item?spm=a21ybx.search.searchFeedList.24.428b3984Nd7G6J&amp;id=1012778167963&amp;categoryId=202036301", "https://www.goofish.com/item?spm=a21ybx.search.searchFeedList.24.428b3984Nd7G6J&amp;id=1012778167963&amp;categoryId=202036301")</f>
        <v>https://www.goofish.com/item?spm=a21ybx.search.searchFeedList.24.428b3984Nd7G6J&amp;id=1012778167963&amp;categoryId=202036301</v>
      </c>
      <c r="I351">
        <v>1012778167963</v>
      </c>
      <c r="J351"/>
      <c r="K351"/>
      <c r="L351"/>
    </row>
    <row r="352" ht="25.5" customHeight="1">
      <c r="A352" t="inlineStr">
        <is>
          <t>【秒发】26广州小升初MK分班考真题88套</t>
        </is>
      </c>
      <c r="B352">
        <v>430</v>
      </c>
      <c r="C352" t="inlineStr">
        <is>
          <t>不好意思! 这个资源丢失了，请等管理员操作~</t>
        </is>
      </c>
      <c r="D352"/>
      <c r="E352" t="inlineStr">
        <is>
          <t>✅ 2026广州小升初密考MK真题分班考真题
✅ 语数英三科齐全，最新版大众口中的88套
✅ 天河省实育才实验广大附中执信中学等名校真题
✅ 白云省实金广实验番禺华附十几所学校真题
✅ 2026广东十大名校招生真题卷
✅ 数学多数奥数题，网盘发送
✅ 电子产品发送后不退，看清楚再拍</t>
        </is>
      </c>
      <c r="F352" s="2" t="str">
        <f>=HYPERLINK("https://img.alicdn.com/bao/uploaded/i2/2220964009247/O1CN01H6pOh92IBBX4HY8Ok_!!4611686018427385119-0-xy_item.jpg_790x10000Q90.jpg_.webp", "https://img.alicdn.com/bao/uploaded/i2/2220964009247/O1CN01H6pOh92IBBX4HY8Ok_!!4611686018427385119-0-xy_item.jpg_790x10000Q90.jpg_.webp")</f>
        <v>https://img.alicdn.com/bao/uploaded/i2/2220964009247/O1CN01H6pOh92IBBX4HY8Ok_!!4611686018427385119-0-xy_item.jpg_790x10000Q90.jpg_.webp</v>
      </c>
      <c r="G352"/>
      <c r="H352" s="2" t="str">
        <f>=HYPERLINK("https://www.goofish.com/item?spm=a21ybx.search.searchFeedList.27.428b3984Nd7G6J&amp;id=1003181923263&amp;categoryId=202036301", "https://www.goofish.com/item?spm=a21ybx.search.searchFeedList.27.428b3984Nd7G6J&amp;id=1003181923263&amp;categoryId=202036301")</f>
        <v>https://www.goofish.com/item?spm=a21ybx.search.searchFeedList.27.428b3984Nd7G6J&amp;id=1003181923263&amp;categoryId=202036301</v>
      </c>
      <c r="I352">
        <v>1003181923263</v>
      </c>
      <c r="J352"/>
      <c r="K352"/>
      <c r="L352"/>
    </row>
    <row r="353" ht="25.5" customHeight="1">
      <c r="A353" t="inlineStr">
        <is>
          <t>【秒发】27考研数学真题87-26年高清无水印</t>
        </is>
      </c>
      <c r="B353">
        <v>431</v>
      </c>
      <c r="C353" t="inlineStr">
        <is>
          <t>不好意思! 这个资源丢失了，请等管理员操作~</t>
        </is>
      </c>
      <c r="D353"/>
      <c r="E353" t="inlineStr">
        <is>
          <t>✅ 2027考研数学历年真题一二三高清无水印
✅ 1987-2026年真题答案解析齐全
✅ 26年解析已更新，内容完整详细
✅ 送考研数学公式大全高分笔记思维导图答题卡
✅ 百度夸克网盘链接24小时自动发货
✅ 电子资料可复制性发货后不支持退款</t>
        </is>
      </c>
      <c r="F353" s="2" t="str">
        <f>=HYPERLINK("https://img.alicdn.com/bao/uploaded/i1/2220368930019/O1CN01x58EdP1C0kdgjMj5X_!!4611686018427380963-53-xy_item.heic_790x10000Q90.jpg_.webp", "https://img.alicdn.com/bao/uploaded/i1/2220368930019/O1CN01x58EdP1C0kdgjMj5X_!!4611686018427380963-53-xy_item.heic_790x10000Q90.jpg_.webp")</f>
        <v>https://img.alicdn.com/bao/uploaded/i1/2220368930019/O1CN01x58EdP1C0kdgjMj5X_!!4611686018427380963-53-xy_item.heic_790x10000Q90.jpg_.webp</v>
      </c>
      <c r="G353"/>
      <c r="H353" s="2" t="str">
        <f>=HYPERLINK("https://www.goofish.com/item?spm=a21ybx.search.searchFeedList.6.428b3984Nd7G6J&amp;id=959282821773&amp;categoryId=202036301", "https://www.goofish.com/item?spm=a21ybx.search.searchFeedList.6.428b3984Nd7G6J&amp;id=959282821773&amp;categoryId=202036301")</f>
        <v>https://www.goofish.com/item?spm=a21ybx.search.searchFeedList.6.428b3984Nd7G6J&amp;id=959282821773&amp;categoryId=202036301</v>
      </c>
      <c r="I353">
        <v>959282821773</v>
      </c>
      <c r="J353"/>
      <c r="K353"/>
      <c r="L353"/>
    </row>
    <row r="354" ht="25.5" customHeight="1">
      <c r="A354" t="inlineStr">
        <is>
          <t>【秒发】江苏职教高考语数外真题16-25年</t>
        </is>
      </c>
      <c r="B354">
        <v>432</v>
      </c>
      <c r="C354" t="inlineStr">
        <is>
          <t>不好意思! 这个资源丢失了，请等管理员操作~</t>
        </is>
      </c>
      <c r="D354"/>
      <c r="E354" t="inlineStr">
        <is>
          <t>✅ 近九年江苏职教高考文化课真题16-25年
✅ 语数外三科齐全含答案无水印
✅ 可直接打印使用，方便备考刷题
✅ 24小时自动发货，拍下秒发
✅ 非纸质电子版，标价即卖价
✅ 一旦售出不退不换，欢迎自助下单</t>
        </is>
      </c>
      <c r="F354" s="2" t="str">
        <f>=HYPERLINK("https://img.alicdn.com/bao/uploaded/i1/O1CN01EKHZRC1OxcsqZcakb_!!4611686018427386780-0-fleamarket.jpg_790x10000Q90.jpg_.webp", "https://img.alicdn.com/bao/uploaded/i1/O1CN01EKHZRC1OxcsqZcakb_!!4611686018427386780-0-fleamarket.jpg_790x10000Q90.jpg_.webp")</f>
        <v>https://img.alicdn.com/bao/uploaded/i1/O1CN01EKHZRC1OxcsqZcakb_!!4611686018427386780-0-fleamarket.jpg_790x10000Q90.jpg_.webp</v>
      </c>
      <c r="G354"/>
      <c r="H354" s="2" t="str">
        <f>=HYPERLINK("https://www.goofish.com/item?spm=a21ybx.search.searchFeedList.11.428b3984Nd7G6J&amp;id=922463294585&amp;categoryId=202036301", "https://www.goofish.com/item?spm=a21ybx.search.searchFeedList.11.428b3984Nd7G6J&amp;id=922463294585&amp;categoryId=202036301")</f>
        <v>https://www.goofish.com/item?spm=a21ybx.search.searchFeedList.11.428b3984Nd7G6J&amp;id=922463294585&amp;categoryId=202036301</v>
      </c>
      <c r="I354">
        <v>922463294585</v>
      </c>
      <c r="J354"/>
      <c r="K354"/>
      <c r="L354"/>
    </row>
    <row r="355" ht="25.5" customHeight="1">
      <c r="A355" t="inlineStr">
        <is>
          <t>【秒发】25天津中考真题9科空白卷解析卷</t>
        </is>
      </c>
      <c r="B355">
        <v>433</v>
      </c>
      <c r="C355" t="inlineStr">
        <is>
          <t>不好意思! 这个资源丢失了，请等管理员操作~</t>
        </is>
      </c>
      <c r="D355"/>
      <c r="E355" t="inlineStr">
        <is>
          <t>✅ 25天津历年中考真题试卷电子版齐全
✅ 英语语文数学物理化学9科全覆盖
✅ 空白卷+解析卷都有答案Word版可编辑
✅ 可打印，备考刷题必备
✅ 24小时自动秒发百度网盘
✅ 部分未公布试卷没有，年份较远无解析卷
✅ 介意勿拍，标价即卖价直接拍</t>
        </is>
      </c>
      <c r="F355" s="2" t="str">
        <f>=HYPERLINK("https://img.alicdn.com/bao/uploaded/i2/O1CN01pARw7g1r0emnG6Vtr_!!4611686018427379905-0-fleamarket.jpg_790x10000Q90.jpg_.webp", "https://img.alicdn.com/bao/uploaded/i2/O1CN01pARw7g1r0emnG6Vtr_!!4611686018427379905-0-fleamarket.jpg_790x10000Q90.jpg_.webp")</f>
        <v>https://img.alicdn.com/bao/uploaded/i2/O1CN01pARw7g1r0emnG6Vtr_!!4611686018427379905-0-fleamarket.jpg_790x10000Q90.jpg_.webp</v>
      </c>
      <c r="G355"/>
      <c r="H355" s="2" t="str">
        <f>=HYPERLINK("https://www.goofish.com/item?spm=a21ybx.search.searchFeedList.7.428b3984Nd7G6J&amp;id=936367057724&amp;categoryId=202036301", "https://www.goofish.com/item?spm=a21ybx.search.searchFeedList.7.428b3984Nd7G6J&amp;id=936367057724&amp;categoryId=202036301")</f>
        <v>https://www.goofish.com/item?spm=a21ybx.search.searchFeedList.7.428b3984Nd7G6J&amp;id=936367057724&amp;categoryId=202036301</v>
      </c>
      <c r="I355">
        <v>936367057724</v>
      </c>
      <c r="J355"/>
      <c r="K355"/>
      <c r="L355"/>
    </row>
    <row r="356" ht="25.5" customHeight="1">
      <c r="A356" t="inlineStr">
        <is>
          <t>【秒发】广州中考真题08-25年7科高清PDF</t>
        </is>
      </c>
      <c r="B356">
        <v>434</v>
      </c>
      <c r="C356" t="inlineStr">
        <is>
          <t>不好意思! 这个资源丢失了，请等管理员操作~</t>
        </is>
      </c>
      <c r="D356"/>
      <c r="E356" t="inlineStr">
        <is>
          <t>✅ 广州中考真题合集2008-2025年全套科目
✅ 数理化政史英语语7个科目全覆盖
✅ 2025年最新真题已更新
✅ 高清无水印PDF，可打印可编辑
✅ 每个科目原卷版和解析版齐全
✅ 百度网盘24小时自动秒发
✅ 标价即卖价，需要直接拍</t>
        </is>
      </c>
      <c r="F356" s="2" t="str">
        <f>=HYPERLINK("https://img.alicdn.com/bao/uploaded/i1/O1CN01c3IR0v2Bc1RIle1Y2_!!4611686018427386982-0-fleamarket.jpg_790x10000Q90.jpg_.webp", "https://img.alicdn.com/bao/uploaded/i1/O1CN01c3IR0v2Bc1RIle1Y2_!!4611686018427386982-0-fleamarket.jpg_790x10000Q90.jpg_.webp")</f>
        <v>https://img.alicdn.com/bao/uploaded/i1/O1CN01c3IR0v2Bc1RIle1Y2_!!4611686018427386982-0-fleamarket.jpg_790x10000Q90.jpg_.webp</v>
      </c>
      <c r="G356"/>
      <c r="H356" s="2" t="str">
        <f>=HYPERLINK("https://www.goofish.com/item?spm=a21ybx.search.searchFeedList.25.428b3984Nd7G6J&amp;id=1018883750102&amp;categoryId=202036301", "https://www.goofish.com/item?spm=a21ybx.search.searchFeedList.25.428b3984Nd7G6J&amp;id=1018883750102&amp;categoryId=202036301")</f>
        <v>https://www.goofish.com/item?spm=a21ybx.search.searchFeedList.25.428b3984Nd7G6J&amp;id=1018883750102&amp;categoryId=202036301</v>
      </c>
      <c r="I356">
        <v>1018883750102</v>
      </c>
      <c r="J356"/>
      <c r="K356"/>
      <c r="L356"/>
    </row>
    <row r="357" ht="25.5" customHeight="1">
      <c r="A357" t="inlineStr">
        <is>
          <t>【秒发】26临床执业医师真题20-25年答案解析</t>
        </is>
      </c>
      <c r="B357">
        <v>435</v>
      </c>
      <c r="C357" t="inlineStr">
        <is>
          <t>不好意思! 这个资源丢失了，请等管理员操作~</t>
        </is>
      </c>
      <c r="D357"/>
      <c r="E357" t="inlineStr">
        <is>
          <t>✅ 2026临床执业医师真题电子版历年笔试题
✅ 2020-2025年真题含答案解析齐全
✅ 四个单元全覆盖，题目答案分开方便做题
✅ 解析详细，真题含金量高必做
✅ 认准小雅资料，已更新25年真题
✅ 百度网盘秒发，电子版整理不易
✅ 发出不退换，希望理解好评</t>
        </is>
      </c>
      <c r="F357" s="2" t="str">
        <f>=HYPERLINK("https://img.alicdn.com/bao/uploaded/i4/O1CN01Tzraky1Rcxvi8uROY_!!4611686018427380133-0-fleamarket.jpg_790x10000Q90.jpg_.webp", "https://img.alicdn.com/bao/uploaded/i4/O1CN01Tzraky1Rcxvi8uROY_!!4611686018427380133-0-fleamarket.jpg_790x10000Q90.jpg_.webp")</f>
        <v>https://img.alicdn.com/bao/uploaded/i4/O1CN01Tzraky1Rcxvi8uROY_!!4611686018427380133-0-fleamarket.jpg_790x10000Q90.jpg_.webp</v>
      </c>
      <c r="G357"/>
      <c r="H357" s="2" t="str">
        <f>=HYPERLINK("https://www.goofish.com/item?spm=a21ybx.search.searchFeedList.24.428b3984Nd7G6J&amp;id=1017836367647&amp;categoryId=202036301", "https://www.goofish.com/item?spm=a21ybx.search.searchFeedList.24.428b3984Nd7G6J&amp;id=1017836367647&amp;categoryId=202036301")</f>
        <v>https://www.goofish.com/item?spm=a21ybx.search.searchFeedList.24.428b3984Nd7G6J&amp;id=1017836367647&amp;categoryId=202036301</v>
      </c>
      <c r="I357">
        <v>1017836367647</v>
      </c>
      <c r="J357"/>
      <c r="K357"/>
      <c r="L357"/>
    </row>
    <row r="358" ht="25.5" customHeight="1">
      <c r="A358" t="inlineStr">
        <is>
          <t>【秒发】26春天津真题圈小学初中下册电子版</t>
        </is>
      </c>
      <c r="B358">
        <v>436</v>
      </c>
      <c r="C358" t="inlineStr">
        <is>
          <t>不好意思! 这个资源丢失了，请等管理员操作~</t>
        </is>
      </c>
      <c r="D358"/>
      <c r="E358" t="inlineStr">
        <is>
          <t>✅ 2026春天津专版真题圈试卷电子版
✅ 小学3456年级语文数学英语人教齐全
✅ 初中七八年级语文数学英语物理全覆盖
✅ 英语人教精通版无听力
✅ 24小时自动发货度盘链接
✅ 电子版可自行打印，发货后不退换
✅ 标价为单本价格，整理费用辛苦费
✅ 仅交流使用不商业目的，侵权删除</t>
        </is>
      </c>
      <c r="F358" s="2" t="str">
        <f>=HYPERLINK("https://img.alicdn.com/bao/uploaded/i2/O1CN01tCmInu1aiJ61ziMPT_!!4611686018427381763-0-fleamarket.jpg_790x10000Q90.jpg_.webp", "https://img.alicdn.com/bao/uploaded/i2/O1CN01tCmInu1aiJ61ziMPT_!!4611686018427381763-0-fleamarket.jpg_790x10000Q90.jpg_.webp")</f>
        <v>https://img.alicdn.com/bao/uploaded/i2/O1CN01tCmInu1aiJ61ziMPT_!!4611686018427381763-0-fleamarket.jpg_790x10000Q90.jpg_.webp</v>
      </c>
      <c r="G358"/>
      <c r="H358" s="2" t="str">
        <f>=HYPERLINK("https://www.goofish.com/item?spm=a21ybx.search.searchFeedList.2.428b3984Nd7G6J&amp;id=1027363230111&amp;categoryId=202036301", "https://www.goofish.com/item?spm=a21ybx.search.searchFeedList.2.428b3984Nd7G6J&amp;id=1027363230111&amp;categoryId=202036301")</f>
        <v>https://www.goofish.com/item?spm=a21ybx.search.searchFeedList.2.428b3984Nd7G6J&amp;id=1027363230111&amp;categoryId=202036301</v>
      </c>
      <c r="I358">
        <v>1027363230111</v>
      </c>
      <c r="J358"/>
      <c r="K358"/>
      <c r="L358"/>
    </row>
    <row r="359" ht="25.5" customHeight="1">
      <c r="A359" t="inlineStr">
        <is>
          <t>【秒发】26注安管理赵春晓精讲班视频讲义</t>
        </is>
      </c>
      <c r="B359">
        <v>437</v>
      </c>
      <c r="C359" t="inlineStr">
        <is>
          <t>不好意思! 这个资源丢失了，请等管理员操作~</t>
        </is>
      </c>
      <c r="D359"/>
      <c r="E359" t="inlineStr">
        <is>
          <t>✅ 2026年注安管理赵春晓精讲班网课
✅ 赵春晓2026中级注册安全工程师管理教材精讲
✅ 视频讲义齐全，课程持续更新中
✅ 精讲班课程更新完毕，直接拍即可
✅ 中级注安师备考2026必备
✅ 网盘链接发货，电子资料可复制性
✅ 一经发货概不退换，看清下单</t>
        </is>
      </c>
      <c r="F359" s="2" t="str">
        <f>=HYPERLINK("https://img.alicdn.com/bao/uploaded/i3/4006867642/O1CN01d8OyyM26K5rSsSK9d_!!4611686018427384506-53-xy_item.heic_790x10000Q90.jpg_.webp", "https://img.alicdn.com/bao/uploaded/i3/4006867642/O1CN01d8OyyM26K5rSsSK9d_!!4611686018427384506-53-xy_item.heic_790x10000Q90.jpg_.webp")</f>
        <v>https://img.alicdn.com/bao/uploaded/i3/4006867642/O1CN01d8OyyM26K5rSsSK9d_!!4611686018427384506-53-xy_item.heic_790x10000Q90.jpg_.webp</v>
      </c>
      <c r="G359"/>
      <c r="H359" s="2" t="str">
        <f>=HYPERLINK("https://www.goofish.com/item?spm=a21ybx.search.searchFeedList.19.428b3984Nd7G6J&amp;id=1029474773025&amp;categoryId=202036301", "https://www.goofish.com/item?spm=a21ybx.search.searchFeedList.19.428b3984Nd7G6J&amp;id=1029474773025&amp;categoryId=202036301")</f>
        <v>https://www.goofish.com/item?spm=a21ybx.search.searchFeedList.19.428b3984Nd7G6J&amp;id=1029474773025&amp;categoryId=202036301</v>
      </c>
      <c r="I359">
        <v>1029474773025</v>
      </c>
      <c r="J359"/>
      <c r="K359"/>
      <c r="L359"/>
    </row>
    <row r="360" ht="25.5" customHeight="1">
      <c r="A360" t="inlineStr">
        <is>
          <t>【秒发】27考研英语柴荣全程班送26真题</t>
        </is>
      </c>
      <c r="B360">
        <v>438</v>
      </c>
      <c r="C360" t="inlineStr">
        <is>
          <t>不好意思! 这个资源丢失了，请等管理员操作~</t>
        </is>
      </c>
      <c r="D360"/>
      <c r="E360" t="inlineStr">
        <is>
          <t>✅ 27考研英语柴荣全程班英语一英语二通用
✅ 持续更新到考前，百度夸克双发不加密
✅ 词汇语法长难句小三门翻译写作全都有
✅ 基础班强化班冲刺班全覆盖内容超全
✅ 赠送26考研英语全程班加往年真题
✅ 24小时自动秒发拍下立马发链接
✅ 手机电脑都能看随时复习不用等
✅ 断更立马退售后无忧买一次管全程</t>
        </is>
      </c>
      <c r="F360" s="2" t="str">
        <f>=HYPERLINK("https://img.alicdn.com/bao/uploaded/i1/2222108200476/O1CN01p10Q6e1FO3ects8nl_!!4611686018427383324-0-xy_item.jpg_790x10000Q90.jpg_.webp", "https://img.alicdn.com/bao/uploaded/i1/2222108200476/O1CN01p10Q6e1FO3ects8nl_!!4611686018427383324-0-xy_item.jpg_790x10000Q90.jpg_.webp")</f>
        <v>https://img.alicdn.com/bao/uploaded/i1/2222108200476/O1CN01p10Q6e1FO3ects8nl_!!4611686018427383324-0-xy_item.jpg_790x10000Q90.jpg_.webp</v>
      </c>
      <c r="G360"/>
      <c r="H360" s="2" t="str">
        <f>=HYPERLINK("https://www.goofish.com/item?spm=a21ybx.search.searchFeedList.24.428b3984Nd7G6J&amp;id=1030794700185&amp;categoryId=202036301", "https://www.goofish.com/item?spm=a21ybx.search.searchFeedList.24.428b3984Nd7G6J&amp;id=1030794700185&amp;categoryId=202036301")</f>
        <v>https://www.goofish.com/item?spm=a21ybx.search.searchFeedList.24.428b3984Nd7G6J&amp;id=1030794700185&amp;categoryId=202036301</v>
      </c>
      <c r="I360">
        <v>1030794700185</v>
      </c>
      <c r="J360"/>
      <c r="K360"/>
      <c r="L360"/>
    </row>
  </sheetData>
  <dataValidations count="1">
    <dataValidation allowBlank="false" sqref="D2:D359" type="list">
      <formula1>"是,否"</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